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eveloping\Workspace\Backend\iaas\src\main\resources\"/>
    </mc:Choice>
  </mc:AlternateContent>
  <xr:revisionPtr revIDLastSave="0" documentId="8_{9871FCA5-F3B2-4D95-9DFB-DD6DADF5FEDA}" xr6:coauthVersionLast="47" xr6:coauthVersionMax="47" xr10:uidLastSave="{00000000-0000-0000-0000-000000000000}"/>
  <bookViews>
    <workbookView xWindow="-110" yWindow="-110" windowWidth="19420" windowHeight="10420" tabRatio="835" xr2:uid="{00000000-000D-0000-FFFF-FFFF00000000}"/>
  </bookViews>
  <sheets>
    <sheet name="IAAS" sheetId="19" r:id="rId1"/>
    <sheet name="Commun Infrastructrure" sheetId="2" state="hidden" r:id="rId2"/>
    <sheet name="Equi broui tact" sheetId="3" state="hidden" r:id="rId3"/>
    <sheet name="Commutation Télépho" sheetId="4" state="hidden" r:id="rId4"/>
    <sheet name="Energie et Maintenance" sheetId="5" state="hidden" r:id="rId5"/>
    <sheet name="Travaux Téléphonique" sheetId="6" state="hidden" r:id="rId6"/>
    <sheet name="Pédagogique et Didactique" sheetId="7" state="hidden" r:id="rId7"/>
    <sheet name="Antenne Pylone" sheetId="8" state="hidden" r:id="rId8"/>
    <sheet name="Accessoir piles batterie" sheetId="9" state="hidden" r:id="rId9"/>
    <sheet name="Visioconférence" sheetId="10" state="hidden" r:id="rId10"/>
    <sheet name="Réseau Interconnexion à Fib " sheetId="11" state="hidden" r:id="rId11"/>
  </sheets>
  <definedNames>
    <definedName name="_xlnm._FilterDatabase" localSheetId="0" hidden="1">IAAS!$A$2:$S$120</definedName>
    <definedName name="aaaa" localSheetId="8">#REF!</definedName>
    <definedName name="aaaa" localSheetId="7">#REF!</definedName>
    <definedName name="aaaa" localSheetId="1">#REF!</definedName>
    <definedName name="aaaa" localSheetId="3">#REF!</definedName>
    <definedName name="aaaa" localSheetId="4">#REF!</definedName>
    <definedName name="aaaa" localSheetId="2">#REF!</definedName>
    <definedName name="aaaa" localSheetId="6">#REF!</definedName>
    <definedName name="aaaa" localSheetId="10">#REF!</definedName>
    <definedName name="aaaa" localSheetId="5">#REF!</definedName>
    <definedName name="aaaa" localSheetId="9">#REF!</definedName>
    <definedName name="aaaa">#REF!</definedName>
    <definedName name="b" localSheetId="8">#REF!</definedName>
    <definedName name="b" localSheetId="7">#REF!</definedName>
    <definedName name="b" localSheetId="1">#REF!</definedName>
    <definedName name="b" localSheetId="3">#REF!</definedName>
    <definedName name="b" localSheetId="4">#REF!</definedName>
    <definedName name="b" localSheetId="2">#REF!</definedName>
    <definedName name="b" localSheetId="6">#REF!</definedName>
    <definedName name="b" localSheetId="10">#REF!</definedName>
    <definedName name="b" localSheetId="5">#REF!</definedName>
    <definedName name="b" localSheetId="9">#REF!</definedName>
    <definedName name="b">#REF!</definedName>
    <definedName name="_xlnm.Database" localSheetId="8">#REF!</definedName>
    <definedName name="_xlnm.Database" localSheetId="7">#REF!</definedName>
    <definedName name="_xlnm.Database" localSheetId="1">#REF!</definedName>
    <definedName name="_xlnm.Database" localSheetId="3">#REF!</definedName>
    <definedName name="_xlnm.Database" localSheetId="4">#REF!</definedName>
    <definedName name="_xlnm.Database" localSheetId="2">#REF!</definedName>
    <definedName name="_xlnm.Database" localSheetId="6">#REF!</definedName>
    <definedName name="_xlnm.Database" localSheetId="10">#REF!</definedName>
    <definedName name="_xlnm.Database" localSheetId="5">#REF!</definedName>
    <definedName name="_xlnm.Database" localSheetId="9">#REF!</definedName>
    <definedName name="_xlnm.Database">#REF!</definedName>
    <definedName name="consolidation" localSheetId="3">#REF!</definedName>
    <definedName name="consolidation" localSheetId="2">#REF!</definedName>
    <definedName name="consolidation" localSheetId="10">#REF!</definedName>
    <definedName name="consolidation" localSheetId="9">#REF!</definedName>
    <definedName name="consolidation">#REF!</definedName>
    <definedName name="fvg" localSheetId="8">#REF!</definedName>
    <definedName name="fvg" localSheetId="3">#REF!</definedName>
    <definedName name="fvg" localSheetId="2">#REF!</definedName>
    <definedName name="fvg" localSheetId="10">#REF!</definedName>
    <definedName name="fvg" localSheetId="9">#REF!</definedName>
    <definedName name="fvg">#REF!</definedName>
    <definedName name="HTML_CodePage" hidden="1">1256</definedName>
    <definedName name="HTML_Control" localSheetId="8" hidden="1">{"'PLAN2002'!$B$1:$U$67","'PLAN2002'!$Q$46"}</definedName>
    <definedName name="HTML_Control" localSheetId="7" hidden="1">{"'PLAN2002'!$B$1:$U$67","'PLAN2002'!$Q$46"}</definedName>
    <definedName name="HTML_Control" localSheetId="1" hidden="1">{"'PLAN2002'!$B$1:$U$67","'PLAN2002'!$Q$46"}</definedName>
    <definedName name="HTML_Control" localSheetId="3" hidden="1">{"'PLAN2002'!$B$1:$U$67","'PLAN2002'!$Q$46"}</definedName>
    <definedName name="HTML_Control" localSheetId="4" hidden="1">{"'PLAN2002'!$B$1:$U$67","'PLAN2002'!$Q$46"}</definedName>
    <definedName name="HTML_Control" localSheetId="2" hidden="1">{"'PLAN2002'!$B$1:$U$67","'PLAN2002'!$Q$46"}</definedName>
    <definedName name="HTML_Control" localSheetId="6" hidden="1">{"'PLAN2002'!$B$1:$U$67","'PLAN2002'!$Q$46"}</definedName>
    <definedName name="HTML_Control" localSheetId="10" hidden="1">{"'PLAN2002'!$B$1:$U$67","'PLAN2002'!$Q$46"}</definedName>
    <definedName name="HTML_Control" localSheetId="5" hidden="1">{"'PLAN2002'!$B$1:$U$67","'PLAN2002'!$Q$46"}</definedName>
    <definedName name="HTML_Control" localSheetId="9" hidden="1">{"'PLAN2002'!$B$1:$U$67","'PLAN2002'!$Q$46"}</definedName>
    <definedName name="HTML_Control" hidden="1">{"'PLAN2002'!$B$1:$U$67","'PLAN2002'!$Q$46"}</definedName>
    <definedName name="HTML_Description" hidden="1">""</definedName>
    <definedName name="HTML_Email" hidden="1">""</definedName>
    <definedName name="HTML_Header" hidden="1">"PLAN2002"</definedName>
    <definedName name="HTML_LastUpdate" hidden="1">"18/04/04"</definedName>
    <definedName name="HTML_LineAfter" hidden="1">FALSE</definedName>
    <definedName name="HTML_LineBefore" hidden="1">FALSE</definedName>
    <definedName name="HTML_Name" hidden="1">"SDF"</definedName>
    <definedName name="HTML_OBDlg2" hidden="1">TRUE</definedName>
    <definedName name="HTML_OBDlg4" hidden="1">TRUE</definedName>
    <definedName name="HTML_OS" hidden="1">0</definedName>
    <definedName name="HTML_PathFile" hidden="1">"C:\WINDOWS\Desktop\APPL1\MyHTML.htm"</definedName>
    <definedName name="HTML_Title" hidden="1">"PLAN DE FORMATION 2002-2003"</definedName>
    <definedName name="_xlnm.Print_Area" localSheetId="8">'Accessoir piles batterie'!$A$1:$E$30</definedName>
    <definedName name="_xlnm.Print_Area" localSheetId="7">'Antenne Pylone'!$A$1:$E$4</definedName>
    <definedName name="_xlnm.Print_Area" localSheetId="1">'Commun Infrastructrure'!$A$1:$E$25</definedName>
    <definedName name="_xlnm.Print_Area" localSheetId="3">'Commutation Télépho'!$A$1:$E$63</definedName>
    <definedName name="_xlnm.Print_Area" localSheetId="4">'Energie et Maintenance'!$A$1:$E$43</definedName>
    <definedName name="_xlnm.Print_Area" localSheetId="2">'Equi broui tact'!$A$1:$E$3</definedName>
    <definedName name="_xlnm.Print_Area" localSheetId="6">'Pédagogique et Didactique'!$A$1:$E$13</definedName>
    <definedName name="_xlnm.Print_Area" localSheetId="10">'Réseau Interconnexion à Fib '!$A$1:$E$17</definedName>
    <definedName name="_xlnm.Print_Area" localSheetId="5">'Travaux Téléphonique'!$A$1:$E$4</definedName>
    <definedName name="_xlnm.Print_Area" localSheetId="9">Visioconférence!$A$1:$E$7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19" l="1"/>
  <c r="I72" i="19"/>
  <c r="I73" i="19"/>
  <c r="I74" i="19"/>
  <c r="I77" i="19"/>
  <c r="I78" i="19"/>
  <c r="I79" i="19"/>
  <c r="I80" i="19"/>
  <c r="I81" i="19"/>
  <c r="I68" i="19"/>
  <c r="I70" i="19"/>
  <c r="I82" i="19"/>
  <c r="I83" i="19"/>
  <c r="I71" i="19"/>
  <c r="I75" i="19"/>
  <c r="I84" i="19"/>
  <c r="I85" i="19"/>
  <c r="I86" i="19"/>
  <c r="I87" i="19"/>
  <c r="I88" i="19"/>
  <c r="I89" i="19"/>
  <c r="I90" i="19"/>
  <c r="I91" i="19"/>
  <c r="I92" i="19"/>
  <c r="I76" i="19"/>
  <c r="I10" i="19" l="1"/>
  <c r="I32" i="19" l="1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4" i="19"/>
  <c r="I5" i="19"/>
  <c r="I6" i="19"/>
  <c r="I7" i="19"/>
  <c r="I8" i="19"/>
  <c r="I9" i="19"/>
  <c r="I3" i="19"/>
  <c r="I33" i="19"/>
  <c r="I11" i="19"/>
  <c r="I13" i="19"/>
  <c r="I12" i="19"/>
  <c r="I14" i="19"/>
  <c r="I15" i="19"/>
  <c r="I16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4" i="19"/>
  <c r="I35" i="19"/>
  <c r="F15" i="11" l="1"/>
  <c r="F10" i="11"/>
  <c r="E7" i="10"/>
  <c r="E6" i="10"/>
  <c r="E5" i="10"/>
  <c r="E4" i="10"/>
  <c r="E3" i="10"/>
  <c r="E2" i="10"/>
  <c r="E1" i="10"/>
  <c r="E4" i="8"/>
  <c r="E3" i="8"/>
  <c r="E2" i="8"/>
  <c r="E1" i="8"/>
  <c r="E13" i="7"/>
  <c r="E12" i="7"/>
  <c r="E11" i="7"/>
  <c r="E10" i="7"/>
  <c r="E9" i="7"/>
  <c r="E8" i="7"/>
  <c r="E7" i="7"/>
  <c r="E6" i="7"/>
  <c r="E5" i="7"/>
  <c r="E4" i="7"/>
  <c r="E3" i="7"/>
  <c r="E2" i="7"/>
  <c r="E1" i="7"/>
  <c r="E3" i="6"/>
  <c r="D2" i="6"/>
  <c r="E1" i="6"/>
  <c r="E43" i="5"/>
  <c r="E42" i="5"/>
  <c r="E41" i="5"/>
  <c r="E40" i="5"/>
  <c r="E39" i="5"/>
  <c r="E38" i="5"/>
  <c r="E37" i="5"/>
  <c r="E36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E3" i="3"/>
  <c r="E1" i="3"/>
  <c r="E25" i="2"/>
  <c r="E24" i="2"/>
  <c r="E23" i="2"/>
  <c r="E22" i="2"/>
  <c r="E19" i="2"/>
  <c r="E18" i="2"/>
  <c r="E17" i="2"/>
  <c r="E16" i="2"/>
  <c r="E15" i="2"/>
  <c r="E14" i="2"/>
  <c r="E13" i="2"/>
  <c r="E12" i="2"/>
  <c r="E11" i="2"/>
  <c r="E10" i="2"/>
  <c r="E9" i="2"/>
  <c r="E7" i="2"/>
  <c r="E6" i="2"/>
  <c r="E5" i="2"/>
  <c r="E4" i="2"/>
  <c r="E3" i="2"/>
  <c r="E2" i="2"/>
  <c r="E1" i="2"/>
  <c r="F18" i="5" l="1"/>
  <c r="G45" i="4"/>
  <c r="G46" i="4"/>
  <c r="F17" i="5"/>
  <c r="F19" i="5" l="1"/>
  <c r="G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BP</author>
  </authors>
  <commentList>
    <comment ref="B1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BP:</t>
        </r>
        <r>
          <rPr>
            <sz val="9"/>
            <color indexed="81"/>
            <rFont val="Tahoma"/>
            <family val="2"/>
          </rPr>
          <t xml:space="preserve">
104 unités CGN
02 2024 DTSCC et 02 2026 DTSCC</t>
        </r>
      </text>
    </comment>
  </commentList>
</comments>
</file>

<file path=xl/sharedStrings.xml><?xml version="1.0" encoding="utf-8"?>
<sst xmlns="http://schemas.openxmlformats.org/spreadsheetml/2006/main" count="643" uniqueCount="344">
  <si>
    <t>N°</t>
  </si>
  <si>
    <t>Station Radio de Communication par Satéllite Fixe et/ou Mobile</t>
  </si>
  <si>
    <t>VSAT/IP</t>
  </si>
  <si>
    <t>Mise à niveau du HUB Central dy Système V-SAT IP du MDN</t>
  </si>
  <si>
    <t>Réalisation d'un HUB redondant du Système V-SAT IP du MDN</t>
  </si>
  <si>
    <t>Station V-SAT IP in the move montée sur toyota V8</t>
  </si>
  <si>
    <t xml:space="preserve">Station thuraya IP marine </t>
  </si>
  <si>
    <t>Station Radio de Communication par Satéllite Transportable</t>
  </si>
  <si>
    <t>Poste Portatif de Communication par Satellite</t>
  </si>
  <si>
    <t>Terminaux de Données satéllitaires</t>
  </si>
  <si>
    <t>Récepteur GPS</t>
  </si>
  <si>
    <t>Station de Base</t>
  </si>
  <si>
    <t>Station Relais Fixe/ Mobile</t>
  </si>
  <si>
    <t>Station Relais Portable</t>
  </si>
  <si>
    <t>Poste Terminal Portatif</t>
  </si>
  <si>
    <t>Station mobile /Fixe</t>
  </si>
  <si>
    <t>Commutateur Numérique</t>
  </si>
  <si>
    <t>Reseaux/ Système Radio téléphonie</t>
  </si>
  <si>
    <t xml:space="preserve">Réseaux </t>
  </si>
  <si>
    <t>Consolidation du projet d'extension du réseau de radiotéléphonie sous la norme P25</t>
  </si>
  <si>
    <t>Licence AVL pour suivi GPS des terinaux TETRA</t>
  </si>
  <si>
    <t xml:space="preserve">lot </t>
  </si>
  <si>
    <t xml:space="preserve">Licence et Logiciel pour la mise à niveau du réseau </t>
  </si>
  <si>
    <t>lot</t>
  </si>
  <si>
    <t>Station FH Troposphérique d'Infrastructure Fixe/ Transportable</t>
  </si>
  <si>
    <t>Station FHN à Visibilité Directe d'infrastructure Fixe/ Transportable</t>
  </si>
  <si>
    <t>Station Radio Rurale</t>
  </si>
  <si>
    <t>Equipements de lien Numérique à visibilité Directe</t>
  </si>
  <si>
    <t xml:space="preserve">Brouilleurs de Fréquence Portable </t>
  </si>
  <si>
    <t>Brouilleurs de Fréquence Mobile</t>
  </si>
  <si>
    <t xml:space="preserve">Detecteur de Fréquences </t>
  </si>
  <si>
    <t>Autocommutateur Téléphonique GP Analogique/Numérique/IP</t>
  </si>
  <si>
    <t>Autocommutateur Téléphonique 3000D</t>
  </si>
  <si>
    <t>Autocommutateur Téléphonique 1000D</t>
  </si>
  <si>
    <t>Mise à jour autocommutateur MX-One</t>
  </si>
  <si>
    <t>Autocommutateur Téléphonique MC  Analogique/Numérique/IP</t>
  </si>
  <si>
    <t>Autocommutateur Téléphonique 500 D</t>
  </si>
  <si>
    <t>Autocommutateur Téléphonique 300 D</t>
  </si>
  <si>
    <t>Autocommutateur Téléphonique 200 D</t>
  </si>
  <si>
    <t xml:space="preserve">Lot portant mise à jour et extension de PABX </t>
  </si>
  <si>
    <t>Autocommutateur Téléphonique PC Analogique/Numérique/IP</t>
  </si>
  <si>
    <t>Autocommutateur Téléphonique 100 D</t>
  </si>
  <si>
    <t>Autocommutateur Téléphonique 50 D</t>
  </si>
  <si>
    <t>Autocommutateur de Transit Analogique/Numérique /IP</t>
  </si>
  <si>
    <t>Commuatteur de Messagerie Analogique/Numérique/IP</t>
  </si>
  <si>
    <t>Serveur de Messagerie Electronique</t>
  </si>
  <si>
    <t xml:space="preserve">Système Radio méssagerie Bipeur </t>
  </si>
  <si>
    <t>Système d'Intercommunication Analogique /Numérique/IP</t>
  </si>
  <si>
    <t xml:space="preserve">Extension du réseau téléphonique MX-ONE </t>
  </si>
  <si>
    <t>Système d'Intercommunication</t>
  </si>
  <si>
    <t>Réalisation d'un serveur Vocal Interactif</t>
  </si>
  <si>
    <t>Télécopieur</t>
  </si>
  <si>
    <t>Télé-imprimeur</t>
  </si>
  <si>
    <t>Terminal de Données Numériques/IP</t>
  </si>
  <si>
    <t>Appareil Téléphonique d'Infrastructure Analogique/Numérique/IP</t>
  </si>
  <si>
    <t>Apparei TPH IP-Phone</t>
  </si>
  <si>
    <t>Appareil Téléphonique d'infrastructure</t>
  </si>
  <si>
    <t>Appareil Téléphonique d'infrastructure analogique avec afficheur</t>
  </si>
  <si>
    <t>Appareil Téléphonique Numérique</t>
  </si>
  <si>
    <t>Appareil Téléphonique Visiophone</t>
  </si>
  <si>
    <t>Appareil Téléphonique Sans Fil</t>
  </si>
  <si>
    <t>Appareil Téléphonique DECT "GAP"</t>
  </si>
  <si>
    <t>Appareil Téléphonique Céllulaire "GSM"</t>
  </si>
  <si>
    <t>Tablette Avec/ Sans puce</t>
  </si>
  <si>
    <t>Système Parloire</t>
  </si>
  <si>
    <t>Equipements Passerelles Téléphoniques</t>
  </si>
  <si>
    <t>Centraux Téléphoniques de Campagne</t>
  </si>
  <si>
    <t>Centraux Téléphoniques de Campagne 100 D Numérique</t>
  </si>
  <si>
    <t>Centraux Téléphoniques de Campagne 50 D Numérique</t>
  </si>
  <si>
    <t>Centraux Téléphoniques de Campagne 40 D Numérique</t>
  </si>
  <si>
    <t>Centraux Téléphoniques de Campagne 20 D Numérique</t>
  </si>
  <si>
    <t>Centraux Téléphoniques de Campagne 10 D Numérique</t>
  </si>
  <si>
    <t xml:space="preserve">Appareil Téléphonique de Campagne </t>
  </si>
  <si>
    <t>Station Fibre Optique</t>
  </si>
  <si>
    <t>Equipement à fibres optiques OTN  2,5 Gbits/10GE</t>
  </si>
  <si>
    <t>Equipement à fibres optiques OTN  10 Gbits/40GE</t>
  </si>
  <si>
    <t>Equipement à fibres optiques OTN  622 Gbits/01GE</t>
  </si>
  <si>
    <t>Plateforme de multiplixage en longueur d'ondes : next génération dense wavelenghth division multiplixing (NGDWDM)</t>
  </si>
  <si>
    <t>Equipement Internet Protocol-Multi Protocol Label Switching (IP-MPLS)</t>
  </si>
  <si>
    <t xml:space="preserve">Gateway téléphoniques  </t>
  </si>
  <si>
    <t>Station Fibre Optique 622 Mbits</t>
  </si>
  <si>
    <t>Station Fibre Optique 155 Mbits SDH</t>
  </si>
  <si>
    <t>Equipements de ligne à Fibre Optique</t>
  </si>
  <si>
    <t>Equipement Transmissions ( Marché à Commande AT)</t>
  </si>
  <si>
    <t>Chambre de passage TPH</t>
  </si>
  <si>
    <t>Distrubition FO (ODF frame 576 CORE)</t>
  </si>
  <si>
    <t xml:space="preserve">Convertisseur  Fibre Optique </t>
  </si>
  <si>
    <t>Passerelle VOICE Over IP</t>
  </si>
  <si>
    <t>Multiplexeurs</t>
  </si>
  <si>
    <t>Routeur Optique</t>
  </si>
  <si>
    <t>Routeur de voix</t>
  </si>
  <si>
    <t xml:space="preserve">Routeur (Intégrateur TPH pour réseau tactique) </t>
  </si>
  <si>
    <t>Switch  Power over Ethernet</t>
  </si>
  <si>
    <t>Modem</t>
  </si>
  <si>
    <t>Chargeurs Solaires pour Moyens des Transmissions</t>
  </si>
  <si>
    <t>Onduleurs des Moyens des Transmissions</t>
  </si>
  <si>
    <t xml:space="preserve">Onduleur Rackable 19" </t>
  </si>
  <si>
    <t>Stabilisateur de tension</t>
  </si>
  <si>
    <t xml:space="preserve">Convertisseur de Tension Electrique </t>
  </si>
  <si>
    <t>Redresseur de Tension Electrique</t>
  </si>
  <si>
    <t>Kits de Mise à la Terre</t>
  </si>
  <si>
    <t>Moyens de Protection pour Equipements de Transmissions</t>
  </si>
  <si>
    <t>Système Paratonnerre</t>
  </si>
  <si>
    <t>Système Parafoudre</t>
  </si>
  <si>
    <t>Station de Charge et Entretien des Batteries des Moyens Transmissions</t>
  </si>
  <si>
    <t xml:space="preserve">Chargeur/Recycleur de batteries </t>
  </si>
  <si>
    <t>Atelier de Maintenance Transmissions Fixe</t>
  </si>
  <si>
    <t>Atelier  de maintenance Transmissions Mobile</t>
  </si>
  <si>
    <t>Equipements de Maintenance Transmissions pour Magazin pièce de Rechange Mobile</t>
  </si>
  <si>
    <t xml:space="preserve">Valise, Caisse d'outillage d'Intervention Transmissions </t>
  </si>
  <si>
    <t>lot d'agent</t>
  </si>
  <si>
    <t>lot d'équipe</t>
  </si>
  <si>
    <t>Bobine DR8</t>
  </si>
  <si>
    <t>Bobine DRL31</t>
  </si>
  <si>
    <t>Valise technicien Fil</t>
  </si>
  <si>
    <t>Valise technicien Radio</t>
  </si>
  <si>
    <t>Valise electronicien</t>
  </si>
  <si>
    <t>Valise technicien commutation</t>
  </si>
  <si>
    <t>Valise electromécanicien</t>
  </si>
  <si>
    <t xml:space="preserve">Equipements et Accéssoires de Métrologie </t>
  </si>
  <si>
    <t>Equipements de mesures et lot de programmation Radi HF Harris</t>
  </si>
  <si>
    <t>Equipements de métrologie</t>
  </si>
  <si>
    <t>Lot de programmation pour Rdio VHF Tactique</t>
  </si>
  <si>
    <t>Table de travail Radio</t>
  </si>
  <si>
    <t xml:space="preserve">Table de travail de commutation </t>
  </si>
  <si>
    <t xml:space="preserve">Table de travail Energie </t>
  </si>
  <si>
    <t>Table de Maintenance équipé de Moyens d'énergie</t>
  </si>
  <si>
    <t>Testeur de Batterie</t>
  </si>
  <si>
    <t>Appareil de mesure de la résistance de mise à la terre</t>
  </si>
  <si>
    <t>Détecteur de Câble à Fibre Optique</t>
  </si>
  <si>
    <t>Traceur de Càble à Fibre Optique</t>
  </si>
  <si>
    <t>Testeur de Ligne Téléphonique</t>
  </si>
  <si>
    <t>Traceur de Câble Téléphonique</t>
  </si>
  <si>
    <t>Station de Soudage /Désoudage à air Chaud</t>
  </si>
  <si>
    <t>Station de Prototypage pour Circuit Imprimé</t>
  </si>
  <si>
    <t>Kit de Grimpeur de Pylônes des Sites Relais</t>
  </si>
  <si>
    <t xml:space="preserve">Lot d'équipement et accéssoires de métrologie </t>
  </si>
  <si>
    <t>Station de Soufflage de Cable</t>
  </si>
  <si>
    <t>Soudouse de Cable à Fibre Optique</t>
  </si>
  <si>
    <t>Station Torpie pour Traverse de Route</t>
  </si>
  <si>
    <t xml:space="preserve">Manchons de Raccordement Fibres optiques </t>
  </si>
  <si>
    <t>Lot</t>
  </si>
  <si>
    <t>Simulateur Transmission</t>
  </si>
  <si>
    <t>Laboratoire de Langue</t>
  </si>
  <si>
    <t>Laboratoire de lecteur Son (Morse)</t>
  </si>
  <si>
    <t>Laboratoire Scientifique (Pedagogique et Didactique)</t>
  </si>
  <si>
    <t xml:space="preserve">Laboratoire scientifique </t>
  </si>
  <si>
    <t>Laboratoire de reconnaissance radio électronique</t>
  </si>
  <si>
    <t xml:space="preserve">Laboratoire de brouillage radio électronique </t>
  </si>
  <si>
    <t>Laboratoire de protection radio électronique</t>
  </si>
  <si>
    <t>Laboratoire électronique deds systèmes d'armes et systèmes embarqués</t>
  </si>
  <si>
    <t>Laboratoire prototypage des circuits imprimés</t>
  </si>
  <si>
    <t xml:space="preserve">laboratoire analyseur des réseaux véctoriels avec accessoires  </t>
  </si>
  <si>
    <t xml:space="preserve">Plateforme expérimentale d'un microreseau </t>
  </si>
  <si>
    <t>Système d'Enseingnement Assisté par ordinateur</t>
  </si>
  <si>
    <t xml:space="preserve">Antenne </t>
  </si>
  <si>
    <t>Pylon Telecom</t>
  </si>
  <si>
    <t>Système de Balisage Nocturne de Pylone et Accessoires</t>
  </si>
  <si>
    <t>Schelter Telecom</t>
  </si>
  <si>
    <t>Unité Collective Radio HF</t>
  </si>
  <si>
    <t>Unité Collective Radio VHF</t>
  </si>
  <si>
    <t>Unité Collective Radio V/UHF sol-Air</t>
  </si>
  <si>
    <t xml:space="preserve">Unité Collective Reception  Radio </t>
  </si>
  <si>
    <t>Unité Collective FH</t>
  </si>
  <si>
    <t xml:space="preserve">Unité Collective Radio par Satéllite </t>
  </si>
  <si>
    <t>Unité Collective Radio Téléphonique</t>
  </si>
  <si>
    <t>Unité Collective Commutation d'Infrastructure</t>
  </si>
  <si>
    <t>Unité Collective Commutation de Campagne</t>
  </si>
  <si>
    <t>Unité Collective Commutation Energie</t>
  </si>
  <si>
    <t>Cables Coax, Connectique et Accessoires</t>
  </si>
  <si>
    <t>Accessoires Unité Collective Brouilleur de Fréquence Mobile/Portable</t>
  </si>
  <si>
    <t>Accessoires Unité Collective Brouilleur de Fréquence Grand public</t>
  </si>
  <si>
    <t>Batteries</t>
  </si>
  <si>
    <t>Piles</t>
  </si>
  <si>
    <t>Accessoires d'Installation Fibres Optiques et Téléphonique</t>
  </si>
  <si>
    <t xml:space="preserve">Accesoires et Raccordement Fibres Optiques et Téléphoniques </t>
  </si>
  <si>
    <t>Accessoires de Monteur de Ligne</t>
  </si>
  <si>
    <t>Connectiques</t>
  </si>
  <si>
    <t>9.4- Consommable Fax TTY</t>
  </si>
  <si>
    <t>Equipements et Outillage Mécanique</t>
  </si>
  <si>
    <t>Equipements et Outillage Electrique</t>
  </si>
  <si>
    <t>Equipements et Outillage Electronique</t>
  </si>
  <si>
    <t>Equipements et Outillage Téléphonique</t>
  </si>
  <si>
    <t>Cable Téléphonique Multipaires</t>
  </si>
  <si>
    <t>Cable à Fibre Optique</t>
  </si>
  <si>
    <t>Cable FTP</t>
  </si>
  <si>
    <t>Cable Téléphonique de Campagne</t>
  </si>
  <si>
    <t>Câble Electriques</t>
  </si>
  <si>
    <t>Fil Emaillé</t>
  </si>
  <si>
    <t>Système de Visioconférence</t>
  </si>
  <si>
    <t xml:space="preserve">Réalisation d'une solution de visioconférence dotée des moyens multimédia et moyens d'archivage </t>
  </si>
  <si>
    <t>Système de Visioconférence Fixe</t>
  </si>
  <si>
    <t>Système de Visioconférence Portable</t>
  </si>
  <si>
    <t>Terminaux de Visioconférence</t>
  </si>
  <si>
    <t>Codec</t>
  </si>
  <si>
    <t>Equipement et Accessoires de Systèmes de Visioconférence</t>
  </si>
  <si>
    <t>Changement du support des liens 2Mb/s du cuivre vers la fibre optique CGN</t>
  </si>
  <si>
    <t>Réalisation et rénovation du réseau tph interne des unités du CGN</t>
  </si>
  <si>
    <t>Réseaux d'Interconnexion interne et extérne des Unités CFT</t>
  </si>
  <si>
    <t>Réseaux d'Interconnexion interne et extérne des Unités CFN</t>
  </si>
  <si>
    <t>Réseaux d'Interconnexion interne et extérne des Unités CFA</t>
  </si>
  <si>
    <t>Réseaux d'Interconnexion interne et extérne des Unités CFDAT</t>
  </si>
  <si>
    <t>Réseaux d'Interconnexion interne et extérne des Unités CGR</t>
  </si>
  <si>
    <t>Réseaux d'Interconnexion interne et extérne des Unités DCSSM</t>
  </si>
  <si>
    <t>Réseaux d'Interconnexion interne et extérne des Unités  DCM</t>
  </si>
  <si>
    <t>Réseaux d'Interconnexion interne et extérneu des unités du DCC</t>
  </si>
  <si>
    <t>Réseaux d'Interconnexion interne et extérneu des unités du DCNSI</t>
  </si>
  <si>
    <t>Réseaux d'Interconnexion interne et extérneu des unités du DCI</t>
  </si>
  <si>
    <t>Réseaux d'Interconnexion interne et extérneu des unités du DJM</t>
  </si>
  <si>
    <t>Réseaux d'Interconnexion interne et extérneu des unités du DSN</t>
  </si>
  <si>
    <t>Réseaux d'Interconnexion interne et extérneu des unités du DGRT</t>
  </si>
  <si>
    <t>Réseaux d'Interconnexion interne et extérneu des unités du DGSI</t>
  </si>
  <si>
    <t>Réseaux d'Interconnexion interne et extérneu des unités du DTSCC</t>
  </si>
  <si>
    <t>Name</t>
  </si>
  <si>
    <t>Code</t>
  </si>
  <si>
    <t>Package</t>
  </si>
  <si>
    <t>Sub-Package</t>
  </si>
  <si>
    <t>common</t>
  </si>
  <si>
    <t>administration</t>
  </si>
  <si>
    <t>Country</t>
  </si>
  <si>
    <t>State</t>
  </si>
  <si>
    <t>Locality</t>
  </si>
  <si>
    <t>Structure</t>
  </si>
  <si>
    <t>StructureType</t>
  </si>
  <si>
    <t>Job</t>
  </si>
  <si>
    <t>Employee</t>
  </si>
  <si>
    <t>Person</t>
  </si>
  <si>
    <t>MilitaryCategory</t>
  </si>
  <si>
    <t>MilitaryRank</t>
  </si>
  <si>
    <t>utility</t>
  </si>
  <si>
    <t>communication</t>
  </si>
  <si>
    <t>document</t>
  </si>
  <si>
    <t>MailNature</t>
  </si>
  <si>
    <t>MailType</t>
  </si>
  <si>
    <t>Mail</t>
  </si>
  <si>
    <t>DocumentType</t>
  </si>
  <si>
    <t>Document</t>
  </si>
  <si>
    <t>environment</t>
  </si>
  <si>
    <t>Bloc</t>
  </si>
  <si>
    <t>Shelf</t>
  </si>
  <si>
    <t>Floor</t>
  </si>
  <si>
    <t>ShelfFloor</t>
  </si>
  <si>
    <t>Room</t>
  </si>
  <si>
    <t>ArchiveBox</t>
  </si>
  <si>
    <t>File</t>
  </si>
  <si>
    <t>Currency</t>
  </si>
  <si>
    <t>business</t>
  </si>
  <si>
    <t>ApprovalStatus</t>
  </si>
  <si>
    <t>RealizationDirector</t>
  </si>
  <si>
    <t>RealizationNature</t>
  </si>
  <si>
    <t>RealizationStatus</t>
  </si>
  <si>
    <t>provider</t>
  </si>
  <si>
    <t>plan</t>
  </si>
  <si>
    <t>consultation</t>
  </si>
  <si>
    <t>amendment</t>
  </si>
  <si>
    <t>contract</t>
  </si>
  <si>
    <t>Domain</t>
  </si>
  <si>
    <t>Rubric</t>
  </si>
  <si>
    <t>Item</t>
  </si>
  <si>
    <t>BudgetType</t>
  </si>
  <si>
    <t>FinancialOperation</t>
  </si>
  <si>
    <t>ItemStatus</t>
  </si>
  <si>
    <t>PlannedItem</t>
  </si>
  <si>
    <t>ItemDistribution</t>
  </si>
  <si>
    <t>BudgetModification</t>
  </si>
  <si>
    <t>EconomicDomain</t>
  </si>
  <si>
    <t>EconomicNature</t>
  </si>
  <si>
    <t>ExclusionType</t>
  </si>
  <si>
    <t>Provider</t>
  </si>
  <si>
    <t>ProviderRepresentator</t>
  </si>
  <si>
    <t>ProviderExclusion</t>
  </si>
  <si>
    <t>AwardMethod</t>
  </si>
  <si>
    <t>ConsultationPhase</t>
  </si>
  <si>
    <t>ConsultationStep</t>
  </si>
  <si>
    <t>Consultation</t>
  </si>
  <si>
    <t>Submission</t>
  </si>
  <si>
    <t>ContractType</t>
  </si>
  <si>
    <t>ContractPhase</t>
  </si>
  <si>
    <t>ContractStep</t>
  </si>
  <si>
    <t>Contract</t>
  </si>
  <si>
    <t>ContractItem</t>
  </si>
  <si>
    <t>AmendmentPhase</t>
  </si>
  <si>
    <t>AmendmentType</t>
  </si>
  <si>
    <t>AmendmentStep</t>
  </si>
  <si>
    <t>Amendment</t>
  </si>
  <si>
    <t>security</t>
  </si>
  <si>
    <t>audit</t>
  </si>
  <si>
    <t>Group</t>
  </si>
  <si>
    <t>User</t>
  </si>
  <si>
    <t>Role</t>
  </si>
  <si>
    <t>Permission</t>
  </si>
  <si>
    <t>Authority</t>
  </si>
  <si>
    <t>Data Type</t>
  </si>
  <si>
    <t>Dynamic</t>
  </si>
  <si>
    <t>Static</t>
  </si>
  <si>
    <t>Schema</t>
  </si>
  <si>
    <t>Data</t>
  </si>
  <si>
    <t>system</t>
  </si>
  <si>
    <t>T_01_01_06</t>
  </si>
  <si>
    <t>Folder</t>
  </si>
  <si>
    <t>core</t>
  </si>
  <si>
    <t>Model</t>
  </si>
  <si>
    <t>DTO</t>
  </si>
  <si>
    <t>Repository</t>
  </si>
  <si>
    <t>Service</t>
  </si>
  <si>
    <t>Controller</t>
  </si>
  <si>
    <t>Entity</t>
  </si>
  <si>
    <t>UI</t>
  </si>
  <si>
    <t>Frontend (React - Type Script)</t>
  </si>
  <si>
    <t>Backend (Spring - Java)</t>
  </si>
  <si>
    <t>DB</t>
  </si>
  <si>
    <t>Clearance</t>
  </si>
  <si>
    <t>authentication</t>
  </si>
  <si>
    <t>RefreshToken</t>
  </si>
  <si>
    <t>network</t>
  </si>
  <si>
    <t>Zone</t>
  </si>
  <si>
    <t>Region</t>
  </si>
  <si>
    <t>Location</t>
  </si>
  <si>
    <t>Product</t>
  </si>
  <si>
    <t>OperationnalStatus</t>
  </si>
  <si>
    <t>Alloy</t>
  </si>
  <si>
    <t>FacilityType</t>
  </si>
  <si>
    <t>EquipmentType</t>
  </si>
  <si>
    <t>Infrastructure</t>
  </si>
  <si>
    <t>Facility</t>
  </si>
  <si>
    <t>Station</t>
  </si>
  <si>
    <t>Terminal</t>
  </si>
  <si>
    <t>HydrocarbonField</t>
  </si>
  <si>
    <t>PipelineSystem</t>
  </si>
  <si>
    <t>Pipeline</t>
  </si>
  <si>
    <t>PipelineSegment</t>
  </si>
  <si>
    <t>Equipment</t>
  </si>
  <si>
    <t>Vendor</t>
  </si>
  <si>
    <t>fournisseur</t>
  </si>
  <si>
    <t>Partenaire</t>
  </si>
  <si>
    <t>CompanyType</t>
  </si>
  <si>
    <t>VendorType</t>
  </si>
  <si>
    <t>StationType</t>
  </si>
  <si>
    <t>TerminalType</t>
  </si>
  <si>
    <t>HydrocarbonFieldType</t>
  </si>
  <si>
    <t>PartnerType</t>
  </si>
  <si>
    <t>type</t>
  </si>
  <si>
    <t>Partner</t>
  </si>
  <si>
    <t>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</si>
</sst>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.00\ _€"/>
    <numFmt numFmtId="166" formatCode="_-* #,##0.00\ _€_-;\-* #,##0.00\ _€_-;_-* &quot;-&quot;??\ _€_-;_-@_-"/>
  </numFmts>
  <fonts count="18" x14ac:knownFonts="1">
    <font>
      <sz val="11"/>
      <color theme="1"/>
      <name val="Arial Narrow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0" fontId="1" fillId="0" borderId="0"/>
    <xf numFmtId="0" fontId="6" fillId="0" borderId="0"/>
    <xf numFmtId="0" fontId="11" fillId="0" borderId="0"/>
    <xf numFmtId="166" fontId="6" fillId="0" borderId="0" applyFont="0" applyFill="0" applyBorder="0" applyAlignment="0" applyProtection="0"/>
    <xf numFmtId="0" fontId="1" fillId="0" borderId="0"/>
  </cellStyleXfs>
  <cellXfs count="83">
    <xf numFmtId="0" fontId="0" fillId="0" borderId="0" xfId="0"/>
    <xf numFmtId="0" fontId="2" fillId="0" borderId="0" xfId="2" applyFont="1" applyAlignment="1">
      <alignment vertical="center" wrapText="1"/>
    </xf>
    <xf numFmtId="0" fontId="3" fillId="0" borderId="0" xfId="2" applyFont="1" applyFill="1" applyAlignment="1">
      <alignment vertical="center"/>
    </xf>
    <xf numFmtId="4" fontId="3" fillId="0" borderId="0" xfId="2" applyNumberFormat="1" applyFont="1" applyFill="1" applyAlignment="1">
      <alignment vertical="center"/>
    </xf>
    <xf numFmtId="0" fontId="5" fillId="0" borderId="0" xfId="2" applyFont="1" applyFill="1" applyAlignment="1">
      <alignment vertical="center"/>
    </xf>
    <xf numFmtId="164" fontId="5" fillId="0" borderId="1" xfId="3" applyNumberFormat="1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horizontal="left" vertical="center" wrapText="1" readingOrder="1"/>
    </xf>
    <xf numFmtId="164" fontId="5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166" fontId="5" fillId="0" borderId="3" xfId="1" applyFont="1" applyFill="1" applyBorder="1" applyAlignment="1">
      <alignment horizontal="center" vertical="center"/>
    </xf>
    <xf numFmtId="166" fontId="4" fillId="0" borderId="4" xfId="1" applyFont="1" applyFill="1" applyBorder="1" applyAlignment="1">
      <alignment horizontal="center" vertical="center"/>
    </xf>
    <xf numFmtId="4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164" fontId="4" fillId="0" borderId="3" xfId="2" applyNumberFormat="1" applyFont="1" applyFill="1" applyBorder="1" applyAlignment="1">
      <alignment horizontal="center" vertical="center" wrapText="1"/>
    </xf>
    <xf numFmtId="166" fontId="5" fillId="0" borderId="2" xfId="1" applyFont="1" applyFill="1" applyBorder="1" applyAlignment="1">
      <alignment horizontal="center" vertical="center"/>
    </xf>
    <xf numFmtId="166" fontId="4" fillId="0" borderId="7" xfId="1" applyFont="1" applyFill="1" applyBorder="1" applyAlignment="1">
      <alignment horizontal="center" vertical="center"/>
    </xf>
    <xf numFmtId="166" fontId="5" fillId="0" borderId="8" xfId="1" applyFont="1" applyFill="1" applyBorder="1" applyAlignment="1">
      <alignment horizontal="center" vertical="center"/>
    </xf>
    <xf numFmtId="166" fontId="4" fillId="0" borderId="10" xfId="1" applyFont="1" applyFill="1" applyBorder="1" applyAlignment="1">
      <alignment horizontal="center" vertical="center"/>
    </xf>
    <xf numFmtId="166" fontId="4" fillId="0" borderId="0" xfId="1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horizontal="left" vertical="center" wrapText="1"/>
    </xf>
    <xf numFmtId="165" fontId="8" fillId="0" borderId="0" xfId="2" applyNumberFormat="1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vertical="center"/>
    </xf>
    <xf numFmtId="166" fontId="4" fillId="0" borderId="0" xfId="1" applyFont="1" applyAlignment="1">
      <alignment horizontal="center" vertical="center"/>
    </xf>
    <xf numFmtId="166" fontId="4" fillId="0" borderId="0" xfId="1" applyFont="1" applyFill="1" applyAlignment="1">
      <alignment horizontal="center" vertical="center" wrapText="1"/>
    </xf>
    <xf numFmtId="166" fontId="4" fillId="0" borderId="0" xfId="1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8" fillId="0" borderId="0" xfId="2" applyFont="1" applyFill="1" applyAlignment="1">
      <alignment vertical="center" wrapText="1"/>
    </xf>
    <xf numFmtId="166" fontId="3" fillId="0" borderId="0" xfId="2" applyNumberFormat="1" applyFont="1" applyFill="1" applyAlignment="1">
      <alignment vertical="center"/>
    </xf>
    <xf numFmtId="164" fontId="5" fillId="0" borderId="1" xfId="4" applyNumberFormat="1" applyFont="1" applyFill="1" applyBorder="1" applyAlignment="1">
      <alignment horizontal="center" vertical="center" wrapText="1"/>
    </xf>
    <xf numFmtId="0" fontId="5" fillId="0" borderId="3" xfId="4" applyFont="1" applyFill="1" applyBorder="1" applyAlignment="1">
      <alignment horizontal="left" vertical="center" wrapText="1" readingOrder="1"/>
    </xf>
    <xf numFmtId="164" fontId="5" fillId="0" borderId="9" xfId="4" applyNumberFormat="1" applyFont="1" applyFill="1" applyBorder="1" applyAlignment="1">
      <alignment horizontal="center" vertical="center" wrapText="1"/>
    </xf>
    <xf numFmtId="0" fontId="5" fillId="0" borderId="8" xfId="4" applyFont="1" applyFill="1" applyBorder="1" applyAlignment="1">
      <alignment horizontal="left" vertical="center" wrapText="1" readingOrder="1"/>
    </xf>
    <xf numFmtId="164" fontId="4" fillId="0" borderId="8" xfId="2" applyNumberFormat="1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vertical="center"/>
    </xf>
    <xf numFmtId="166" fontId="5" fillId="0" borderId="0" xfId="1" applyFont="1" applyAlignment="1">
      <alignment vertical="center"/>
    </xf>
    <xf numFmtId="166" fontId="5" fillId="0" borderId="0" xfId="1" applyFont="1" applyFill="1" applyBorder="1" applyAlignment="1">
      <alignment vertical="center" wrapText="1"/>
    </xf>
    <xf numFmtId="166" fontId="5" fillId="0" borderId="0" xfId="1" applyFont="1" applyFill="1" applyBorder="1" applyAlignment="1">
      <alignment vertical="center"/>
    </xf>
    <xf numFmtId="166" fontId="5" fillId="0" borderId="0" xfId="1" applyFont="1" applyFill="1" applyAlignment="1">
      <alignment vertical="center"/>
    </xf>
    <xf numFmtId="166" fontId="5" fillId="0" borderId="0" xfId="2" applyNumberFormat="1" applyFont="1" applyFill="1" applyBorder="1" applyAlignment="1">
      <alignment vertical="center"/>
    </xf>
    <xf numFmtId="166" fontId="12" fillId="0" borderId="3" xfId="1" applyFont="1" applyFill="1" applyBorder="1" applyAlignment="1">
      <alignment horizontal="center" vertical="center"/>
    </xf>
    <xf numFmtId="166" fontId="4" fillId="0" borderId="3" xfId="1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vertical="center" wrapText="1" readingOrder="1"/>
    </xf>
    <xf numFmtId="164" fontId="4" fillId="0" borderId="2" xfId="2" applyNumberFormat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4" fontId="15" fillId="0" borderId="0" xfId="2" applyNumberFormat="1" applyFont="1" applyFill="1" applyBorder="1" applyAlignment="1">
      <alignment vertical="center"/>
    </xf>
    <xf numFmtId="0" fontId="15" fillId="0" borderId="0" xfId="2" applyFont="1" applyFill="1" applyBorder="1" applyAlignment="1">
      <alignment vertical="center"/>
    </xf>
    <xf numFmtId="0" fontId="16" fillId="0" borderId="3" xfId="4" applyFont="1" applyFill="1" applyBorder="1" applyAlignment="1">
      <alignment horizontal="left" vertical="center" wrapText="1" readingOrder="1"/>
    </xf>
    <xf numFmtId="164" fontId="5" fillId="2" borderId="1" xfId="4" applyNumberFormat="1" applyFont="1" applyFill="1" applyBorder="1" applyAlignment="1">
      <alignment horizontal="center" vertical="center" wrapText="1"/>
    </xf>
    <xf numFmtId="0" fontId="16" fillId="2" borderId="3" xfId="4" applyFont="1" applyFill="1" applyBorder="1" applyAlignment="1">
      <alignment horizontal="left" vertical="center" wrapText="1" readingOrder="1"/>
    </xf>
    <xf numFmtId="4" fontId="16" fillId="0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5" fillId="2" borderId="3" xfId="4" applyFont="1" applyFill="1" applyBorder="1" applyAlignment="1">
      <alignment horizontal="left" vertical="center" wrapText="1" readingOrder="1"/>
    </xf>
    <xf numFmtId="0" fontId="5" fillId="2" borderId="2" xfId="4" applyFont="1" applyFill="1" applyBorder="1" applyAlignment="1">
      <alignment horizontal="left" vertical="center" wrapText="1" readingOrder="1"/>
    </xf>
    <xf numFmtId="0" fontId="5" fillId="0" borderId="3" xfId="2" applyFont="1" applyFill="1" applyBorder="1" applyAlignment="1">
      <alignment vertical="center"/>
    </xf>
    <xf numFmtId="166" fontId="4" fillId="0" borderId="8" xfId="1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Fill="1" applyAlignment="1">
      <alignment vertical="center" wrapText="1"/>
    </xf>
    <xf numFmtId="0" fontId="4" fillId="0" borderId="0" xfId="2" applyFont="1" applyFill="1" applyAlignment="1">
      <alignment vertical="center"/>
    </xf>
    <xf numFmtId="166" fontId="4" fillId="0" borderId="0" xfId="2" applyNumberFormat="1" applyFont="1" applyFill="1" applyAlignment="1">
      <alignment vertical="center"/>
    </xf>
    <xf numFmtId="4" fontId="4" fillId="0" borderId="0" xfId="2" applyNumberFormat="1" applyFont="1" applyFill="1" applyAlignment="1">
      <alignment vertical="center"/>
    </xf>
    <xf numFmtId="0" fontId="4" fillId="0" borderId="0" xfId="2" applyFont="1" applyFill="1" applyBorder="1" applyAlignment="1">
      <alignment vertical="center"/>
    </xf>
    <xf numFmtId="164" fontId="5" fillId="0" borderId="1" xfId="4" applyNumberFormat="1" applyFont="1" applyBorder="1" applyAlignment="1">
      <alignment horizontal="center" vertical="center" wrapText="1"/>
    </xf>
    <xf numFmtId="166" fontId="4" fillId="0" borderId="0" xfId="1" applyFont="1" applyAlignment="1">
      <alignment vertical="center"/>
    </xf>
    <xf numFmtId="166" fontId="4" fillId="0" borderId="0" xfId="1" applyFont="1" applyFill="1" applyAlignment="1">
      <alignment vertical="center" wrapText="1"/>
    </xf>
    <xf numFmtId="166" fontId="4" fillId="0" borderId="0" xfId="1" applyFont="1" applyFill="1" applyAlignment="1">
      <alignment vertical="center"/>
    </xf>
    <xf numFmtId="164" fontId="5" fillId="2" borderId="3" xfId="4" applyNumberFormat="1" applyFont="1" applyFill="1" applyBorder="1" applyAlignment="1">
      <alignment horizontal="left" vertical="center" wrapText="1"/>
    </xf>
    <xf numFmtId="0" fontId="5" fillId="2" borderId="3" xfId="3" applyFont="1" applyFill="1" applyBorder="1" applyAlignment="1">
      <alignment horizontal="left" vertical="center" wrapText="1" readingOrder="1"/>
    </xf>
    <xf numFmtId="166" fontId="5" fillId="2" borderId="3" xfId="1" applyFont="1" applyFill="1" applyBorder="1" applyAlignment="1">
      <alignment horizontal="center" vertical="center"/>
    </xf>
    <xf numFmtId="0" fontId="5" fillId="2" borderId="0" xfId="2" applyFont="1" applyFill="1" applyAlignment="1">
      <alignment vertical="center"/>
    </xf>
    <xf numFmtId="164" fontId="4" fillId="2" borderId="3" xfId="2" applyNumberFormat="1" applyFont="1" applyFill="1" applyBorder="1" applyAlignment="1">
      <alignment horizontal="center" vertical="center" wrapText="1"/>
    </xf>
    <xf numFmtId="166" fontId="5" fillId="2" borderId="6" xfId="1" applyFont="1" applyFill="1" applyBorder="1" applyAlignment="1">
      <alignment horizontal="center" vertical="center"/>
    </xf>
    <xf numFmtId="166" fontId="4" fillId="2" borderId="3" xfId="1" applyFont="1" applyFill="1" applyBorder="1" applyAlignment="1">
      <alignment horizontal="center" vertical="center"/>
    </xf>
    <xf numFmtId="166" fontId="5" fillId="2" borderId="0" xfId="2" applyNumberFormat="1" applyFont="1" applyFill="1" applyAlignment="1">
      <alignment vertical="center"/>
    </xf>
    <xf numFmtId="0" fontId="8" fillId="0" borderId="3" xfId="4" applyFont="1" applyFill="1" applyBorder="1" applyAlignment="1">
      <alignment horizontal="left" vertical="center" wrapText="1" readingOrder="1"/>
    </xf>
    <xf numFmtId="166" fontId="5" fillId="0" borderId="4" xfId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left" vertical="center" wrapText="1"/>
    </xf>
    <xf numFmtId="164" fontId="4" fillId="2" borderId="11" xfId="4" applyNumberFormat="1" applyFont="1" applyFill="1" applyBorder="1" applyAlignment="1">
      <alignment horizontal="left" vertical="center" wrapText="1"/>
    </xf>
  </cellXfs>
  <cellStyles count="7">
    <cellStyle name="Milliers" xfId="1" builtinId="3"/>
    <cellStyle name="Milliers 2 2" xfId="5" xr:uid="{00000000-0005-0000-0000-000001000000}"/>
    <cellStyle name="Normal" xfId="0" builtinId="0"/>
    <cellStyle name="Normal 2" xfId="4" xr:uid="{00000000-0005-0000-0000-000003000000}"/>
    <cellStyle name="Normal 2 2" xfId="3" xr:uid="{00000000-0005-0000-0000-000004000000}"/>
    <cellStyle name="Normal 9 2" xfId="6" xr:uid="{00000000-0005-0000-0000-000005000000}"/>
    <cellStyle name="Normal_R2PARTITION 2007-2009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08622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600-00000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600-00000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600-00000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600-00000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600-00000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600-00000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600-00001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600-00001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600-00001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600-00001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600-00001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600-00001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600-00001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600-00001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600-00001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600-00001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600-00001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600-00001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600-00006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600-00006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600-00006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600-00007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600-00007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600-00007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600-00007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600-00007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600-00007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600-00007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600-00007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600-00007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600-00007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600-00007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600-00007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600-00008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600-00008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600-00008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600-00008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600-00008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600-00008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600-00008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600-00008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600-00009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600-00009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600-00009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600-00009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600-00009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600-00009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600-00009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600-00009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600-00009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600-00009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600-00009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600-00009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600-0000A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600-0000A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6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6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6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6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6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6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6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6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6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6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6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6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6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6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6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6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6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6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6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6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6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6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6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6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6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6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6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6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6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6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6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6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6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6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6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6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6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6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6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6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6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6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6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6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6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6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6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6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6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6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6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6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6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6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6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6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6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6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6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6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6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6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6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6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6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6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6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6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6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6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6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6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6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6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6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6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6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6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6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6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6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6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6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6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6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6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6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6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6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6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6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6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6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6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6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6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6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6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6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6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600-00001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600-00001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600-00001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600-00001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600-00001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600-00001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600-00001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600-00001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600-00001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600-00001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600-00001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600-00001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600-00001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600-00002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600-00002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600-00002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600-00002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600-00002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600-00002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600-00002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600-00002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600-00002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600-00002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600-00002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600-00002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600-00002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600-00002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600-00002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600-00002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600-00003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600-00003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600-00003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600-00003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600-00003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600-00003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600-00003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600-00003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600-00003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600-00003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600-00003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600-00003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600-00003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600-00003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600-00003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600-00003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600-00004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600-00004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600-00004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600-00004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600-00004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600-00004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600-00004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600-00004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600-00004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600-00004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600-00004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600-00004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600-00004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600-00004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600-00004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600-00004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600-00005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600-00005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600-00005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600-00005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600-00005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600-00005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600-00005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600-00005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600-00005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600-00005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600-00005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600-00005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600-00005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600-00005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600-00005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600-00005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600-00006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600-00006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600-00006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600-00006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600-00006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600-00006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600-00006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600-00006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600-00006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600-00006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600-00006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600-00006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600-00006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600-00006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600-00006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600-00006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600-00007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600-00007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600-00007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600-00007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600-00007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600-00007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600-00007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600-00007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600-00007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600-00007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600-00007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600-00007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600-00007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600-00007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600-00007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600-00007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600-00008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600-00008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600-00008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600-00008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600-00008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600-00008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600-00008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600-00008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600-00008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600-00008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600-00008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600-00008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600-00008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600-00008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600-00008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600-00008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600-00009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600-00009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600-00009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600-00009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600-00009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600-00009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600-00009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600-00009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600-00009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600-00009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600-00009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600-00009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600-00009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600-0000A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600-0000A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600-0000A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600-0000A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600-0000A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600-0000A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600-0000A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600-0000A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600-0000A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600-0000A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600-0000A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600-0000A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600-0000A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600-0000A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600-0000A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600-0000B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600-0000B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600-0000B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600-0000B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600-0000B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600-0000B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600-0000B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600-0000B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600-0000B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600-0000B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600-0000B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600-0000B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600-0000B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600-0000B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600-0000B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600-0000B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600-0000C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600-0000C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600-0000C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600-0000C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600-0000C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600-0000C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600-0000C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600-0000C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600-0000C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600-0000C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600-0000C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600-0000C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600-0000C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600-0000C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600-0000C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600-0000C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600-0000D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600-0000D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600-0000D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600-0000D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600-0000D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600-0000D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600-0000D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600-0000D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600-0000D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600-0000D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600-0000D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600-0000D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600-0000D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600-0000D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600-0000D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600-0000D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600-0000E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600-0000E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600-0000E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600-0000E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600-0000E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600-0000E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600-0000E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600-0000E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600-0000E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600-0000E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600-0000E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600-0000E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600-0000E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600-0000E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600-0000E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600-0000E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600-0000F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600-0000F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600-0000F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600-0000F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600-0000F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600-0000F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600-0000F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600-0000F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600-0000F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600-0000F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600-0000F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600-0000F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600-0000F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600-0000F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600-0000F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600-0000F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600-00000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600-00000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600-00000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600-00000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600-00000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600-00000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600-00000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600-00001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600-00001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600-00001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600-00001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600-00001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600-00001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600-00001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600-00001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600-00001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600-00001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600-00001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600-00001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600-00001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600-00001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600-00002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600-00002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600-00002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600-00002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600-00002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600-00002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600-00002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600-00002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600-00002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600-00002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600-00002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600-00002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600-00002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6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6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6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6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6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6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6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6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6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6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6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6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6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6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6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6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6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6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6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6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6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6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6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6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6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6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6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6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6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6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6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6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6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6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6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6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6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6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6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6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6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6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6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6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6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6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6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6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6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6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6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6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6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6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6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6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6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6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6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6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6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6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6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6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6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6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6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6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6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6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6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6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6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6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6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6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6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6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6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6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6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6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6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6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6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6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6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6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6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6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6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6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6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6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6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6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6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6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6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6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6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6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6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6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6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6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6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6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6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6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600-00009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600-00009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600-00009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600-00009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600-00009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600-0000A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600-0000A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600-0000A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600-0000A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600-0000A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600-0000A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600-0000A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600-0000A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600-0000A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600-0000A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600-0000A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600-0000A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600-0000A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600-0000A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600-0000A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600-0000A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600-0000B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600-0000B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600-0000B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600-0000B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600-0000B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600-0000B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600-0000B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600-0000B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600-0000B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600-0000B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600-0000B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600-0000B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600-0000B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600-0000B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600-0000B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600-0000B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600-0000C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600-0000C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600-0000C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600-0000C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600-0000C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600-0000C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600-0000C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600-0000C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600-0000C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600-0000C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600-0000C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600-0000C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600-0000C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600-0000C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600-0000C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600-0000C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600-0000D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600-0000D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600-0000D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600-0000D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600-0000D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600-0000D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600-0000D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600-0000D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600-0000D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600-0000D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600-0000D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600-0000D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600-0000D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600-0000D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600-0000D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600-0000D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600-0000E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600-0000E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600-0000E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600-0000E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600-0000E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600-0000E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600-0000E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600-0000E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600-0000E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600-0000E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600-0000E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600-0000E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600-0000E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600-0000E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600-0000E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600-0000E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600-0000F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600-0000F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600-0000F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600-0000F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600-0000F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600-0000F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600-0000F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600-0000F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600-0000F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600-0000F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600-0000F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600-0000F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600-0000F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600-0000F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600-0000F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600-0000F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600-00000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600-00000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600-00000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600-00000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600-00000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600-00000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600-00000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600-00000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600-00000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600-00000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600-00000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600-00000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600-00000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600-00000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600-00000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600-00000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600-00001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600-00001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600-00001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600-00001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600-00001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600-00001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600-00001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600-00001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600-00001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600-00001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600-00001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600-00001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600-00001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600-00001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600-00001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600-00001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600-00002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600-00002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600-00002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600-00002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600-00002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600-00002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600-00002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600-00002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600-00002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600-00002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600-00002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600-00002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600-00002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600-00002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600-00002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600-00002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600-00003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600-00003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600-00003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600-00003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600-00003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600-00003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600-00003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600-00003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600-00003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600-00003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600-00003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600-00003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600-00003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600-00003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600-00003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600-00003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600-00004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600-00004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600-00004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600-00004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600-00004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600-00004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600-00004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600-00004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600-00004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600-00004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600-00004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600-00004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600-00004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600-00004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600-00004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600-00004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600-00005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600-00005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600-00005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600-00005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600-00005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600-00005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600-00005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600-00005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600-00005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600-00005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600-00005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600-00005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600-00005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600-00005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600-00005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600-00005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600-00006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600-00006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600-00006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600-00006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600-00006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600-00006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600-00006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600-00006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600-00006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600-00006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600-00006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600-00006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600-00006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600-00006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600-00006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600-00006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600-00007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600-00007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600-00007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600-00007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600-00007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600-00007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600-00007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600-00007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600-00007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600-00007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600-00007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600-00007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600-00007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600-00007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600-00007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600-00007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600-00008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600-00008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600-00008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600-00008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600-00008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600-00008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600-00008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600-00008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600-00008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600-00008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600-00008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600-00008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600-00008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600-00008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600-00008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600-00008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600-00009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600-00009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600-00009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600-00009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600-00009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600-00009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600-00009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600-00009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600-00009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600-00009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600-00009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600-00009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600-00009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600-00009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600-00009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600-00009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600-0000A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600-0000A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600-0000A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600-0000A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600-0000A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600-0000A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600-0000A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600-0000A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600-0000A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600-0000A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600-0000A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600-0000A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600-0000A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600-0000A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600-0000A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600-0000A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600-0000B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600-0000B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600-0000B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600-0000B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600-0000B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6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6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6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6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6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6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6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6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6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6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6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6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6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6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6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6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6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6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6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6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6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6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6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6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6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6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6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6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6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6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6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6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6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6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6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6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6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6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6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6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6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6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6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6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6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6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6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6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6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6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6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6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6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6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6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6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6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6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6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6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6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6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6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6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6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6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6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6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6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6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6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6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6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6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6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6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6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6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6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6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6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6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6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6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6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6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6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6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6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6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6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6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6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6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6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6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6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6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6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6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6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6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6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6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6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6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6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6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6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6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600-00002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600-00002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600-00002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600-00002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600-00002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600-00002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600-00002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600-00002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600-00002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600-00002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600-00002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600-00002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600-00002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600-00003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600-00003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600-00003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600-00003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600-00003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600-00003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600-00003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600-00003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600-00003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600-00003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600-00003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600-00003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600-00003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600-00003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600-00003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600-00003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600-00004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600-00004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600-00004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600-00004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600-00004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600-00004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600-00004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600-00004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600-00004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600-00004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600-00004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600-00004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600-00004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600-00004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600-00004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600-00004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600-00005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600-00005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600-00005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600-00005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600-00005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600-00005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600-00005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600-00005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600-00005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600-00005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600-00005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600-00005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600-00005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600-00005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600-00005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600-00005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600-00006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600-00006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600-00006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600-00006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600-00006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600-00006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600-00006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600-00006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600-00006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600-00006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600-00006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600-00006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600-00006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600-00006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600-00006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600-00006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600-00007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600-00007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600-00007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600-00007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600-00007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600-00007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600-00007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600-00007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600-00007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600-00007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600-00007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600-00007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600-00007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600-00007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600-00007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600-00007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600-00008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600-00008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600-00008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600-00008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600-00008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600-00008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600-00008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600-00008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600-00008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600-00008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600-00008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600-00008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600-00008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600-00008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600-00008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600-00008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600-00009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600-00009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600-00009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600-00009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600-00009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600-00009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600-00009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600-00009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600-00009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600-00009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600-00009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600-00009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600-00009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600-00009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600-00009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600-00009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600-0000A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600-0000A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600-0000A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600-0000A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600-0000A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600-0000A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600-0000A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600-0000A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600-0000A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600-0000A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600-0000A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600-0000A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600-0000A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600-0000A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600-0000A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600-0000A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600-0000B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600-0000B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600-0000B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600-0000B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600-0000B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600-0000B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600-0000B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600-0000B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600-0000B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600-0000B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600-0000B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600-0000B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600-0000B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600-0000B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600-0000B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600-0000B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600-0000C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600-0000C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600-0000C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600-0000C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600-0000C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600-0000C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600-0000C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600-0000C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600-0000C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600-0000C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600-0000C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600-0000C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600-0000C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600-0000C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600-0000C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600-0000C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600-0000D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600-0000D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600-0000D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600-0000D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600-0000D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600-0000D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600-0000D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600-0000D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600-0000D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600-0000D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600-0000D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600-0000D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600-0000D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600-0000D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600-0000D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600-0000D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600-0000E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600-0000E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600-0000E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600-0000E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600-0000E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600-0000E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600-0000E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600-0000E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600-0000E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600-0000E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600-0000E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600-0000E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600-0000E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600-0000E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600-0000E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600-0000E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600-0000F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600-0000F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600-0000F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600-0000F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600-0000F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600-0000F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600-0000F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600-0000F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600-0000F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600-0000F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600-0000F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600-0000F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600-0000F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600-0000F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600-0000F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600-0000F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600-00000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600-00000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600-00000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600-00000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600-00000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600-00000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600-00000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600-00000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600-00000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600-00000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600-00000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600-00000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600-00000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600-00000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600-00000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600-00000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600-00001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600-00001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600-00001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600-00001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600-00001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600-00001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600-00001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600-00001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600-00001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600-00001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600-00001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600-00001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600-00001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600-00001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600-00001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600-00001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600-00002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600-00002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600-00002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600-00002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600-00002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600-00002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600-00002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600-00002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600-00002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600-00002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600-00002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600-00002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600-00002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600-00002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600-00002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600-00002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600-00003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600-00003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600-00003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600-00003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600-00003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600-00003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600-00003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600-00003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600-00003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600-00003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600-00003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600-00003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396875</xdr:colOff>
      <xdr:row>5</xdr:row>
      <xdr:rowOff>0</xdr:rowOff>
    </xdr:from>
    <xdr:to>
      <xdr:col>4</xdr:col>
      <xdr:colOff>501650</xdr:colOff>
      <xdr:row>6</xdr:row>
      <xdr:rowOff>24031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600-00003C070000}"/>
            </a:ext>
          </a:extLst>
        </xdr:cNvPr>
        <xdr:cNvSpPr txBox="1">
          <a:spLocks noChangeArrowheads="1"/>
        </xdr:cNvSpPr>
      </xdr:nvSpPr>
      <xdr:spPr bwMode="auto">
        <a:xfrm>
          <a:off x="5140325" y="4448175"/>
          <a:ext cx="104775" cy="22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6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6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6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6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6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6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6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6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6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6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6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6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6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6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6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6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6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6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6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6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6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6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6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6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6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6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6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6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6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6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6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6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6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6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6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6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6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6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6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6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6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6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6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6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6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6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6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6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6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6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6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6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6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6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6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6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6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6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6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6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6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6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6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6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6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6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6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6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6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6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6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6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6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6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6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6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6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6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6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6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6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6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6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6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6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6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6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6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6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6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6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6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6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6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6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6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6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6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6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6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6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6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6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6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6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6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6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6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6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6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4686300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800-0000A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800-0000A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800-0000A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800-0000A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800-0000A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800-0000A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800-0000A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800-0000A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800-0000A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800-0000A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800-0000A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800-0000A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800-0000A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800-0000B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800-0000B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800-0000B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800-0000B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800-0000B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800-0000B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800-0000B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800-0000B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800-0000B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800-0000B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800-0000B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800-0000B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800-0000B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800-0000B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800-0000B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800-0000B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800-0000C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800-0000C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800-0000C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800-0000C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800-0000C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800-0000C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800-0000C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800-0000C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800-0000C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800-0000C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800-0000C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800-0000C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800-0000C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800-0000C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800-0000C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800-0000C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800-0000D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800-0000D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800-0000D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800-0000D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800-0000D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800-0000D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800-0000D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800-0000D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800-0000D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800-0000D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800-0000D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800-0000D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800-0000D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800-0000D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800-0000D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800-0000D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800-0000E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800-0000E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800-0000E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800-0000E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800-0000E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800-0000E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800-0000E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800-0000E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800-0000E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800-0000E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800-0000E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800-0000E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800-0000E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800-0000E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800-0000E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800-0000E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800-0000F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800-0000F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800-0000F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800-0000F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800-0000F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800-0000F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800-0000F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800-0000F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800-0000F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800-0000F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800-0000F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800-0000F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800-0000F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800-0000F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800-0000F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800-0000F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800-00000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800-00000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800-00000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800-00000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800-00000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800-00000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800-00000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800-00000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800-00000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800-00000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800-00000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800-00000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800-00000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800-00000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800-00000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800-00000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800-00001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800-00001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800-00001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800-00001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800-00001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800-00001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800-00001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800-00001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800-00001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800-00001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800-00001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800-00001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800-00001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800-00001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800-00001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800-00001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800-00002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800-00002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800-00002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800-00002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800-00002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800-00002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800-00002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800-00002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800-00002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800-00002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800-00002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800-00002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800-00002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800-00002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800-00002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800-00002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800-00003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800-00003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800-00003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800-00003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800-00003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800-00003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800-00003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800-00003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800-00003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800-00003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800-00003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800-00003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800-00003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800-00003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800-00003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800-00003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800-00004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800-00004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800-00004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800-00004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800-00004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800-00004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800-00004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800-00004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800-00004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800-00004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800-00004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800-00004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800-00004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800-00004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800-00004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800-00004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800-00005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800-00005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800-00005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800-00005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800-00005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800-00005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800-00005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800-00005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800-00005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800-00005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800-00005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800-00005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800-00005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800-00005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800-00005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800-00005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800-00006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800-00006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800-00006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800-00006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800-00006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800-00006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800-00006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800-00006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800-00006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800-00006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800-00006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800-00006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800-00006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800-00006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800-00006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800-00006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800-00007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800-00007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800-00007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800-00007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800-00007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800-00007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800-00007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800-00007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800-00007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800-00007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800-00007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800-00007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800-00007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800-00007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800-00007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800-00007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800-00008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800-00008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800-00008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800-00008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800-00008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800-00008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800-00008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800-00008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800-00008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800-00008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800-00008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800-00008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800-00008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800-00008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800-00008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800-00008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800-00009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800-00009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800-00009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800-00009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800-00009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800-00009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800-00009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800-00009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800-00009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800-00009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800-00009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800-00009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800-00009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800-00009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800-00009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800-00009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800-0000A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800-0000A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800-0000A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800-0000A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800-0000A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800-0000A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800-0000A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800-0000A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800-0000A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800-0000A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800-0000A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800-0000A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800-0000A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800-0000A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800-0000A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800-0000A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800-0000B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800-0000B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800-0000B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800-0000B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800-0000B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800-0000B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800-0000B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800-0000B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800-0000B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800-0000B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800-0000B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800-0000B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800-0000B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800-0000B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800-0000B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800-0000B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800-0000C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800-0000C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800-0000C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800-0000C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800-0000C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800-0000C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800-0000C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800-0000C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800-0000C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800-0000C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800-0000C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800-0000C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800-0000C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800-0000C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800-0000C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800-0000C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800-0000D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800-0000D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800-0000D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800-0000D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800-0000D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800-0000D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800-0000D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800-0000D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800-0000D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800-0000D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800-0000D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800-0000D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800-0000D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800-0000D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800-0000D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800-0000D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800-0000E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800-0000E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800-0000E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800-0000E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800-0000E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800-0000E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800-0000E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800-0000E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800-0000E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800-0000E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800-0000E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800-0000E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800-0000E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800-0000E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800-0000E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800-0000E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800-0000F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800-0000F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800-0000F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800-0000F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800-0000F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800-0000F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800-0000F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800-0000F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800-0000F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800-0000F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800-0000F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800-0000F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800-0000F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800-0000F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800-0000F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800-0000F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800-00000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800-00000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800-00000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800-00000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800-00000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800-00000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800-00000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800-00000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800-00000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800-00000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800-00000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800-00000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800-00000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800-00000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800-00000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800-00000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800-00001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800-00001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800-00001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800-00001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800-00001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800-00001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800-00001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800-00001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800-00001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800-00001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800-00001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800-00001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800-00001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800-00001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800-00001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800-00001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800-00002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800-00002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800-00002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800-00002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800-00002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800-00002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800-00002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800-00002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800-00002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800-00002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800-00002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800-00002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800-00002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800-00002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800-00002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800-00002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800-00003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800-00003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800-00003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800-00003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800-00003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800-00003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800-00003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800-00003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800-00003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800-00003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800-00003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800-00003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800-00003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800-00003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800-00003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800-00003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800-00004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800-00004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800-00004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800-00004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800-00004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800-00004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800-00004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800-00004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800-00004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800-00004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800-00004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800-00004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800-00004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800-00004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800-00004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800-00004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800-00005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800-00005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800-00005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800-00005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800-00005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800-00005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800-00005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800-00005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800-00005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800-00005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800-00005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800-00005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800-00005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800-00005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800-00005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800-00005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800-00006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800-00006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800-00006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800-00006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800-00006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800-00006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800-00006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800-00006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800-00006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800-00006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800-00006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800-00006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800-00006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800-00006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800-00006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800-00006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800-00007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800-00007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800-00007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800-00007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800-00007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800-00007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800-00007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800-00007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800-00007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800-00007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800-00007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800-00007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800-00007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800-00007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800-00007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800-00007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800-00008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800-00008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800-00008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800-00008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800-00008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800-00008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800-00008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800-00008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800-00008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800-00008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800-00008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800-00008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800-00008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800-00008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800-00008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800-00008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800-00009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800-00009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800-00009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800-00009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800-00009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800-00009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800-00009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800-00009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800-00009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800-00009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800-00009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800-00009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800-00009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800-00009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800-00009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800-00009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800-0000A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800-0000A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800-0000A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800-0000A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800-0000A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800-0000A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800-0000A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800-0000A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800-0000A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800-0000A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800-0000A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3" name="Text Box 28">
          <a:extLst>
            <a:ext uri="{FF2B5EF4-FFF2-40B4-BE49-F238E27FC236}">
              <a16:creationId xmlns:a16="http://schemas.microsoft.com/office/drawing/2014/main" id="{00000000-0008-0000-0800-0000A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4" name="Text Box 29">
          <a:extLst>
            <a:ext uri="{FF2B5EF4-FFF2-40B4-BE49-F238E27FC236}">
              <a16:creationId xmlns:a16="http://schemas.microsoft.com/office/drawing/2014/main" id="{00000000-0008-0000-0800-0000A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5" name="Text Box 30">
          <a:extLst>
            <a:ext uri="{FF2B5EF4-FFF2-40B4-BE49-F238E27FC236}">
              <a16:creationId xmlns:a16="http://schemas.microsoft.com/office/drawing/2014/main" id="{00000000-0008-0000-0800-0000A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6" name="Text Box 31">
          <a:extLst>
            <a:ext uri="{FF2B5EF4-FFF2-40B4-BE49-F238E27FC236}">
              <a16:creationId xmlns:a16="http://schemas.microsoft.com/office/drawing/2014/main" id="{00000000-0008-0000-0800-0000A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7" name="Text Box 32">
          <a:extLst>
            <a:ext uri="{FF2B5EF4-FFF2-40B4-BE49-F238E27FC236}">
              <a16:creationId xmlns:a16="http://schemas.microsoft.com/office/drawing/2014/main" id="{00000000-0008-0000-0800-0000A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8" name="Text Box 33">
          <a:extLst>
            <a:ext uri="{FF2B5EF4-FFF2-40B4-BE49-F238E27FC236}">
              <a16:creationId xmlns:a16="http://schemas.microsoft.com/office/drawing/2014/main" id="{00000000-0008-0000-0800-0000B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9" name="Text Box 34">
          <a:extLst>
            <a:ext uri="{FF2B5EF4-FFF2-40B4-BE49-F238E27FC236}">
              <a16:creationId xmlns:a16="http://schemas.microsoft.com/office/drawing/2014/main" id="{00000000-0008-0000-0800-0000B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0" name="Text Box 35">
          <a:extLst>
            <a:ext uri="{FF2B5EF4-FFF2-40B4-BE49-F238E27FC236}">
              <a16:creationId xmlns:a16="http://schemas.microsoft.com/office/drawing/2014/main" id="{00000000-0008-0000-0800-0000B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1" name="Text Box 36">
          <a:extLst>
            <a:ext uri="{FF2B5EF4-FFF2-40B4-BE49-F238E27FC236}">
              <a16:creationId xmlns:a16="http://schemas.microsoft.com/office/drawing/2014/main" id="{00000000-0008-0000-0800-0000B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2" name="Text Box 37">
          <a:extLst>
            <a:ext uri="{FF2B5EF4-FFF2-40B4-BE49-F238E27FC236}">
              <a16:creationId xmlns:a16="http://schemas.microsoft.com/office/drawing/2014/main" id="{00000000-0008-0000-0800-0000B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3" name="Text Box 38">
          <a:extLst>
            <a:ext uri="{FF2B5EF4-FFF2-40B4-BE49-F238E27FC236}">
              <a16:creationId xmlns:a16="http://schemas.microsoft.com/office/drawing/2014/main" id="{00000000-0008-0000-0800-0000B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4" name="Text Box 39">
          <a:extLst>
            <a:ext uri="{FF2B5EF4-FFF2-40B4-BE49-F238E27FC236}">
              <a16:creationId xmlns:a16="http://schemas.microsoft.com/office/drawing/2014/main" id="{00000000-0008-0000-0800-0000B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5" name="Text Box 40">
          <a:extLst>
            <a:ext uri="{FF2B5EF4-FFF2-40B4-BE49-F238E27FC236}">
              <a16:creationId xmlns:a16="http://schemas.microsoft.com/office/drawing/2014/main" id="{00000000-0008-0000-0800-0000B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6" name="Text Box 41">
          <a:extLst>
            <a:ext uri="{FF2B5EF4-FFF2-40B4-BE49-F238E27FC236}">
              <a16:creationId xmlns:a16="http://schemas.microsoft.com/office/drawing/2014/main" id="{00000000-0008-0000-0800-0000B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7" name="Text Box 42">
          <a:extLst>
            <a:ext uri="{FF2B5EF4-FFF2-40B4-BE49-F238E27FC236}">
              <a16:creationId xmlns:a16="http://schemas.microsoft.com/office/drawing/2014/main" id="{00000000-0008-0000-0800-0000B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8" name="Text Box 43">
          <a:extLst>
            <a:ext uri="{FF2B5EF4-FFF2-40B4-BE49-F238E27FC236}">
              <a16:creationId xmlns:a16="http://schemas.microsoft.com/office/drawing/2014/main" id="{00000000-0008-0000-0800-0000B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9" name="Text Box 44">
          <a:extLst>
            <a:ext uri="{FF2B5EF4-FFF2-40B4-BE49-F238E27FC236}">
              <a16:creationId xmlns:a16="http://schemas.microsoft.com/office/drawing/2014/main" id="{00000000-0008-0000-0800-0000B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0" name="Text Box 45">
          <a:extLst>
            <a:ext uri="{FF2B5EF4-FFF2-40B4-BE49-F238E27FC236}">
              <a16:creationId xmlns:a16="http://schemas.microsoft.com/office/drawing/2014/main" id="{00000000-0008-0000-0800-0000B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1" name="Text Box 46">
          <a:extLst>
            <a:ext uri="{FF2B5EF4-FFF2-40B4-BE49-F238E27FC236}">
              <a16:creationId xmlns:a16="http://schemas.microsoft.com/office/drawing/2014/main" id="{00000000-0008-0000-0800-0000B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2" name="Text Box 47">
          <a:extLst>
            <a:ext uri="{FF2B5EF4-FFF2-40B4-BE49-F238E27FC236}">
              <a16:creationId xmlns:a16="http://schemas.microsoft.com/office/drawing/2014/main" id="{00000000-0008-0000-0800-0000B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3" name="Text Box 48">
          <a:extLst>
            <a:ext uri="{FF2B5EF4-FFF2-40B4-BE49-F238E27FC236}">
              <a16:creationId xmlns:a16="http://schemas.microsoft.com/office/drawing/2014/main" id="{00000000-0008-0000-0800-0000B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4" name="Text Box 49">
          <a:extLst>
            <a:ext uri="{FF2B5EF4-FFF2-40B4-BE49-F238E27FC236}">
              <a16:creationId xmlns:a16="http://schemas.microsoft.com/office/drawing/2014/main" id="{00000000-0008-0000-0800-0000C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5" name="Text Box 50">
          <a:extLst>
            <a:ext uri="{FF2B5EF4-FFF2-40B4-BE49-F238E27FC236}">
              <a16:creationId xmlns:a16="http://schemas.microsoft.com/office/drawing/2014/main" id="{00000000-0008-0000-0800-0000C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6" name="Text Box 51">
          <a:extLst>
            <a:ext uri="{FF2B5EF4-FFF2-40B4-BE49-F238E27FC236}">
              <a16:creationId xmlns:a16="http://schemas.microsoft.com/office/drawing/2014/main" id="{00000000-0008-0000-0800-0000C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7" name="Text Box 52">
          <a:extLst>
            <a:ext uri="{FF2B5EF4-FFF2-40B4-BE49-F238E27FC236}">
              <a16:creationId xmlns:a16="http://schemas.microsoft.com/office/drawing/2014/main" id="{00000000-0008-0000-0800-0000C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8" name="Text Box 53">
          <a:extLst>
            <a:ext uri="{FF2B5EF4-FFF2-40B4-BE49-F238E27FC236}">
              <a16:creationId xmlns:a16="http://schemas.microsoft.com/office/drawing/2014/main" id="{00000000-0008-0000-0800-0000C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9" name="Text Box 54">
          <a:extLst>
            <a:ext uri="{FF2B5EF4-FFF2-40B4-BE49-F238E27FC236}">
              <a16:creationId xmlns:a16="http://schemas.microsoft.com/office/drawing/2014/main" id="{00000000-0008-0000-0800-0000C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0" name="Text Box 55">
          <a:extLst>
            <a:ext uri="{FF2B5EF4-FFF2-40B4-BE49-F238E27FC236}">
              <a16:creationId xmlns:a16="http://schemas.microsoft.com/office/drawing/2014/main" id="{00000000-0008-0000-0800-0000C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1" name="Text Box 56">
          <a:extLst>
            <a:ext uri="{FF2B5EF4-FFF2-40B4-BE49-F238E27FC236}">
              <a16:creationId xmlns:a16="http://schemas.microsoft.com/office/drawing/2014/main" id="{00000000-0008-0000-0800-0000C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2" name="Text Box 57">
          <a:extLst>
            <a:ext uri="{FF2B5EF4-FFF2-40B4-BE49-F238E27FC236}">
              <a16:creationId xmlns:a16="http://schemas.microsoft.com/office/drawing/2014/main" id="{00000000-0008-0000-0800-0000C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3" name="Text Box 58">
          <a:extLst>
            <a:ext uri="{FF2B5EF4-FFF2-40B4-BE49-F238E27FC236}">
              <a16:creationId xmlns:a16="http://schemas.microsoft.com/office/drawing/2014/main" id="{00000000-0008-0000-0800-0000C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4" name="Text Box 59">
          <a:extLst>
            <a:ext uri="{FF2B5EF4-FFF2-40B4-BE49-F238E27FC236}">
              <a16:creationId xmlns:a16="http://schemas.microsoft.com/office/drawing/2014/main" id="{00000000-0008-0000-0800-0000C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5" name="Text Box 60">
          <a:extLst>
            <a:ext uri="{FF2B5EF4-FFF2-40B4-BE49-F238E27FC236}">
              <a16:creationId xmlns:a16="http://schemas.microsoft.com/office/drawing/2014/main" id="{00000000-0008-0000-0800-0000C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6" name="Text Box 61">
          <a:extLst>
            <a:ext uri="{FF2B5EF4-FFF2-40B4-BE49-F238E27FC236}">
              <a16:creationId xmlns:a16="http://schemas.microsoft.com/office/drawing/2014/main" id="{00000000-0008-0000-0800-0000C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7" name="Text Box 62">
          <a:extLst>
            <a:ext uri="{FF2B5EF4-FFF2-40B4-BE49-F238E27FC236}">
              <a16:creationId xmlns:a16="http://schemas.microsoft.com/office/drawing/2014/main" id="{00000000-0008-0000-0800-0000C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8" name="Text Box 63">
          <a:extLst>
            <a:ext uri="{FF2B5EF4-FFF2-40B4-BE49-F238E27FC236}">
              <a16:creationId xmlns:a16="http://schemas.microsoft.com/office/drawing/2014/main" id="{00000000-0008-0000-0800-0000C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9" name="Text Box 64">
          <a:extLst>
            <a:ext uri="{FF2B5EF4-FFF2-40B4-BE49-F238E27FC236}">
              <a16:creationId xmlns:a16="http://schemas.microsoft.com/office/drawing/2014/main" id="{00000000-0008-0000-0800-0000C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0" name="Text Box 65">
          <a:extLst>
            <a:ext uri="{FF2B5EF4-FFF2-40B4-BE49-F238E27FC236}">
              <a16:creationId xmlns:a16="http://schemas.microsoft.com/office/drawing/2014/main" id="{00000000-0008-0000-0800-0000D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1" name="Text Box 66">
          <a:extLst>
            <a:ext uri="{FF2B5EF4-FFF2-40B4-BE49-F238E27FC236}">
              <a16:creationId xmlns:a16="http://schemas.microsoft.com/office/drawing/2014/main" id="{00000000-0008-0000-0800-0000D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2" name="Text Box 67">
          <a:extLst>
            <a:ext uri="{FF2B5EF4-FFF2-40B4-BE49-F238E27FC236}">
              <a16:creationId xmlns:a16="http://schemas.microsoft.com/office/drawing/2014/main" id="{00000000-0008-0000-0800-0000D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3" name="Text Box 68">
          <a:extLst>
            <a:ext uri="{FF2B5EF4-FFF2-40B4-BE49-F238E27FC236}">
              <a16:creationId xmlns:a16="http://schemas.microsoft.com/office/drawing/2014/main" id="{00000000-0008-0000-0800-0000D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4" name="Text Box 69">
          <a:extLst>
            <a:ext uri="{FF2B5EF4-FFF2-40B4-BE49-F238E27FC236}">
              <a16:creationId xmlns:a16="http://schemas.microsoft.com/office/drawing/2014/main" id="{00000000-0008-0000-0800-0000D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5" name="Text Box 70">
          <a:extLst>
            <a:ext uri="{FF2B5EF4-FFF2-40B4-BE49-F238E27FC236}">
              <a16:creationId xmlns:a16="http://schemas.microsoft.com/office/drawing/2014/main" id="{00000000-0008-0000-0800-0000D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6" name="Text Box 71">
          <a:extLst>
            <a:ext uri="{FF2B5EF4-FFF2-40B4-BE49-F238E27FC236}">
              <a16:creationId xmlns:a16="http://schemas.microsoft.com/office/drawing/2014/main" id="{00000000-0008-0000-0800-0000D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7" name="Text Box 72">
          <a:extLst>
            <a:ext uri="{FF2B5EF4-FFF2-40B4-BE49-F238E27FC236}">
              <a16:creationId xmlns:a16="http://schemas.microsoft.com/office/drawing/2014/main" id="{00000000-0008-0000-0800-0000D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8" name="Text Box 73">
          <a:extLst>
            <a:ext uri="{FF2B5EF4-FFF2-40B4-BE49-F238E27FC236}">
              <a16:creationId xmlns:a16="http://schemas.microsoft.com/office/drawing/2014/main" id="{00000000-0008-0000-0800-0000D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9" name="Text Box 74">
          <a:extLst>
            <a:ext uri="{FF2B5EF4-FFF2-40B4-BE49-F238E27FC236}">
              <a16:creationId xmlns:a16="http://schemas.microsoft.com/office/drawing/2014/main" id="{00000000-0008-0000-0800-0000D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0" name="Text Box 75">
          <a:extLst>
            <a:ext uri="{FF2B5EF4-FFF2-40B4-BE49-F238E27FC236}">
              <a16:creationId xmlns:a16="http://schemas.microsoft.com/office/drawing/2014/main" id="{00000000-0008-0000-0800-0000D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1" name="Text Box 76">
          <a:extLst>
            <a:ext uri="{FF2B5EF4-FFF2-40B4-BE49-F238E27FC236}">
              <a16:creationId xmlns:a16="http://schemas.microsoft.com/office/drawing/2014/main" id="{00000000-0008-0000-0800-0000D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2" name="Text Box 77">
          <a:extLst>
            <a:ext uri="{FF2B5EF4-FFF2-40B4-BE49-F238E27FC236}">
              <a16:creationId xmlns:a16="http://schemas.microsoft.com/office/drawing/2014/main" id="{00000000-0008-0000-0800-0000D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3" name="Text Box 78">
          <a:extLst>
            <a:ext uri="{FF2B5EF4-FFF2-40B4-BE49-F238E27FC236}">
              <a16:creationId xmlns:a16="http://schemas.microsoft.com/office/drawing/2014/main" id="{00000000-0008-0000-0800-0000D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4" name="Text Box 79">
          <a:extLst>
            <a:ext uri="{FF2B5EF4-FFF2-40B4-BE49-F238E27FC236}">
              <a16:creationId xmlns:a16="http://schemas.microsoft.com/office/drawing/2014/main" id="{00000000-0008-0000-0800-0000D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5" name="Text Box 80">
          <a:extLst>
            <a:ext uri="{FF2B5EF4-FFF2-40B4-BE49-F238E27FC236}">
              <a16:creationId xmlns:a16="http://schemas.microsoft.com/office/drawing/2014/main" id="{00000000-0008-0000-0800-0000D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6" name="Text Box 81">
          <a:extLst>
            <a:ext uri="{FF2B5EF4-FFF2-40B4-BE49-F238E27FC236}">
              <a16:creationId xmlns:a16="http://schemas.microsoft.com/office/drawing/2014/main" id="{00000000-0008-0000-0800-0000E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7" name="Text Box 82">
          <a:extLst>
            <a:ext uri="{FF2B5EF4-FFF2-40B4-BE49-F238E27FC236}">
              <a16:creationId xmlns:a16="http://schemas.microsoft.com/office/drawing/2014/main" id="{00000000-0008-0000-0800-0000E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8" name="Text Box 83">
          <a:extLst>
            <a:ext uri="{FF2B5EF4-FFF2-40B4-BE49-F238E27FC236}">
              <a16:creationId xmlns:a16="http://schemas.microsoft.com/office/drawing/2014/main" id="{00000000-0008-0000-0800-0000E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9" name="Text Box 84">
          <a:extLst>
            <a:ext uri="{FF2B5EF4-FFF2-40B4-BE49-F238E27FC236}">
              <a16:creationId xmlns:a16="http://schemas.microsoft.com/office/drawing/2014/main" id="{00000000-0008-0000-0800-0000E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0" name="Text Box 85">
          <a:extLst>
            <a:ext uri="{FF2B5EF4-FFF2-40B4-BE49-F238E27FC236}">
              <a16:creationId xmlns:a16="http://schemas.microsoft.com/office/drawing/2014/main" id="{00000000-0008-0000-0800-0000E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1" name="Text Box 86">
          <a:extLst>
            <a:ext uri="{FF2B5EF4-FFF2-40B4-BE49-F238E27FC236}">
              <a16:creationId xmlns:a16="http://schemas.microsoft.com/office/drawing/2014/main" id="{00000000-0008-0000-0800-0000E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2" name="Text Box 87">
          <a:extLst>
            <a:ext uri="{FF2B5EF4-FFF2-40B4-BE49-F238E27FC236}">
              <a16:creationId xmlns:a16="http://schemas.microsoft.com/office/drawing/2014/main" id="{00000000-0008-0000-0800-0000E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3" name="Text Box 88">
          <a:extLst>
            <a:ext uri="{FF2B5EF4-FFF2-40B4-BE49-F238E27FC236}">
              <a16:creationId xmlns:a16="http://schemas.microsoft.com/office/drawing/2014/main" id="{00000000-0008-0000-0800-0000E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4" name="Text Box 89">
          <a:extLst>
            <a:ext uri="{FF2B5EF4-FFF2-40B4-BE49-F238E27FC236}">
              <a16:creationId xmlns:a16="http://schemas.microsoft.com/office/drawing/2014/main" id="{00000000-0008-0000-0800-0000E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5" name="Text Box 90">
          <a:extLst>
            <a:ext uri="{FF2B5EF4-FFF2-40B4-BE49-F238E27FC236}">
              <a16:creationId xmlns:a16="http://schemas.microsoft.com/office/drawing/2014/main" id="{00000000-0008-0000-0800-0000E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6" name="Text Box 91">
          <a:extLst>
            <a:ext uri="{FF2B5EF4-FFF2-40B4-BE49-F238E27FC236}">
              <a16:creationId xmlns:a16="http://schemas.microsoft.com/office/drawing/2014/main" id="{00000000-0008-0000-0800-0000E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7" name="Text Box 92">
          <a:extLst>
            <a:ext uri="{FF2B5EF4-FFF2-40B4-BE49-F238E27FC236}">
              <a16:creationId xmlns:a16="http://schemas.microsoft.com/office/drawing/2014/main" id="{00000000-0008-0000-0800-0000E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8" name="Text Box 93">
          <a:extLst>
            <a:ext uri="{FF2B5EF4-FFF2-40B4-BE49-F238E27FC236}">
              <a16:creationId xmlns:a16="http://schemas.microsoft.com/office/drawing/2014/main" id="{00000000-0008-0000-0800-0000E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9" name="Text Box 94">
          <a:extLst>
            <a:ext uri="{FF2B5EF4-FFF2-40B4-BE49-F238E27FC236}">
              <a16:creationId xmlns:a16="http://schemas.microsoft.com/office/drawing/2014/main" id="{00000000-0008-0000-0800-0000E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0" name="Text Box 95">
          <a:extLst>
            <a:ext uri="{FF2B5EF4-FFF2-40B4-BE49-F238E27FC236}">
              <a16:creationId xmlns:a16="http://schemas.microsoft.com/office/drawing/2014/main" id="{00000000-0008-0000-0800-0000E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1" name="Text Box 96">
          <a:extLst>
            <a:ext uri="{FF2B5EF4-FFF2-40B4-BE49-F238E27FC236}">
              <a16:creationId xmlns:a16="http://schemas.microsoft.com/office/drawing/2014/main" id="{00000000-0008-0000-0800-0000E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2" name="Text Box 97">
          <a:extLst>
            <a:ext uri="{FF2B5EF4-FFF2-40B4-BE49-F238E27FC236}">
              <a16:creationId xmlns:a16="http://schemas.microsoft.com/office/drawing/2014/main" id="{00000000-0008-0000-0800-0000F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3" name="Text Box 100">
          <a:extLst>
            <a:ext uri="{FF2B5EF4-FFF2-40B4-BE49-F238E27FC236}">
              <a16:creationId xmlns:a16="http://schemas.microsoft.com/office/drawing/2014/main" id="{00000000-0008-0000-0800-0000F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4" name="Text Box 101">
          <a:extLst>
            <a:ext uri="{FF2B5EF4-FFF2-40B4-BE49-F238E27FC236}">
              <a16:creationId xmlns:a16="http://schemas.microsoft.com/office/drawing/2014/main" id="{00000000-0008-0000-0800-0000F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5" name="Text Box 102">
          <a:extLst>
            <a:ext uri="{FF2B5EF4-FFF2-40B4-BE49-F238E27FC236}">
              <a16:creationId xmlns:a16="http://schemas.microsoft.com/office/drawing/2014/main" id="{00000000-0008-0000-0800-0000F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6" name="Text Box 103">
          <a:extLst>
            <a:ext uri="{FF2B5EF4-FFF2-40B4-BE49-F238E27FC236}">
              <a16:creationId xmlns:a16="http://schemas.microsoft.com/office/drawing/2014/main" id="{00000000-0008-0000-0800-0000F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7" name="Text Box 104">
          <a:extLst>
            <a:ext uri="{FF2B5EF4-FFF2-40B4-BE49-F238E27FC236}">
              <a16:creationId xmlns:a16="http://schemas.microsoft.com/office/drawing/2014/main" id="{00000000-0008-0000-0800-0000F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8" name="Text Box 105">
          <a:extLst>
            <a:ext uri="{FF2B5EF4-FFF2-40B4-BE49-F238E27FC236}">
              <a16:creationId xmlns:a16="http://schemas.microsoft.com/office/drawing/2014/main" id="{00000000-0008-0000-0800-0000F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9" name="Text Box 106">
          <a:extLst>
            <a:ext uri="{FF2B5EF4-FFF2-40B4-BE49-F238E27FC236}">
              <a16:creationId xmlns:a16="http://schemas.microsoft.com/office/drawing/2014/main" id="{00000000-0008-0000-0800-0000F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0" name="Text Box 107">
          <a:extLst>
            <a:ext uri="{FF2B5EF4-FFF2-40B4-BE49-F238E27FC236}">
              <a16:creationId xmlns:a16="http://schemas.microsoft.com/office/drawing/2014/main" id="{00000000-0008-0000-0800-0000F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1" name="Text Box 108">
          <a:extLst>
            <a:ext uri="{FF2B5EF4-FFF2-40B4-BE49-F238E27FC236}">
              <a16:creationId xmlns:a16="http://schemas.microsoft.com/office/drawing/2014/main" id="{00000000-0008-0000-0800-0000F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2" name="Text Box 109">
          <a:extLst>
            <a:ext uri="{FF2B5EF4-FFF2-40B4-BE49-F238E27FC236}">
              <a16:creationId xmlns:a16="http://schemas.microsoft.com/office/drawing/2014/main" id="{00000000-0008-0000-0800-0000F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3" name="Text Box 110">
          <a:extLst>
            <a:ext uri="{FF2B5EF4-FFF2-40B4-BE49-F238E27FC236}">
              <a16:creationId xmlns:a16="http://schemas.microsoft.com/office/drawing/2014/main" id="{00000000-0008-0000-0800-0000F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4" name="Text Box 111">
          <a:extLst>
            <a:ext uri="{FF2B5EF4-FFF2-40B4-BE49-F238E27FC236}">
              <a16:creationId xmlns:a16="http://schemas.microsoft.com/office/drawing/2014/main" id="{00000000-0008-0000-0800-0000F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5" name="Text Box 119">
          <a:extLst>
            <a:ext uri="{FF2B5EF4-FFF2-40B4-BE49-F238E27FC236}">
              <a16:creationId xmlns:a16="http://schemas.microsoft.com/office/drawing/2014/main" id="{00000000-0008-0000-0800-0000F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6" name="Text Box 120">
          <a:extLst>
            <a:ext uri="{FF2B5EF4-FFF2-40B4-BE49-F238E27FC236}">
              <a16:creationId xmlns:a16="http://schemas.microsoft.com/office/drawing/2014/main" id="{00000000-0008-0000-0800-0000F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7" name="Text Box 121">
          <a:extLst>
            <a:ext uri="{FF2B5EF4-FFF2-40B4-BE49-F238E27FC236}">
              <a16:creationId xmlns:a16="http://schemas.microsoft.com/office/drawing/2014/main" id="{00000000-0008-0000-0800-0000F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8" name="Text Box 122">
          <a:extLst>
            <a:ext uri="{FF2B5EF4-FFF2-40B4-BE49-F238E27FC236}">
              <a16:creationId xmlns:a16="http://schemas.microsoft.com/office/drawing/2014/main" id="{00000000-0008-0000-0800-00000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9" name="Text Box 123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0" name="Text Box 124">
          <a:extLst>
            <a:ext uri="{FF2B5EF4-FFF2-40B4-BE49-F238E27FC236}">
              <a16:creationId xmlns:a16="http://schemas.microsoft.com/office/drawing/2014/main" id="{00000000-0008-0000-0800-00000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1" name="Text Box 125">
          <a:extLst>
            <a:ext uri="{FF2B5EF4-FFF2-40B4-BE49-F238E27FC236}">
              <a16:creationId xmlns:a16="http://schemas.microsoft.com/office/drawing/2014/main" id="{00000000-0008-0000-0800-00000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2" name="Text Box 126">
          <a:extLst>
            <a:ext uri="{FF2B5EF4-FFF2-40B4-BE49-F238E27FC236}">
              <a16:creationId xmlns:a16="http://schemas.microsoft.com/office/drawing/2014/main" id="{00000000-0008-0000-0800-00000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3" name="Text Box 127">
          <a:extLst>
            <a:ext uri="{FF2B5EF4-FFF2-40B4-BE49-F238E27FC236}">
              <a16:creationId xmlns:a16="http://schemas.microsoft.com/office/drawing/2014/main" id="{00000000-0008-0000-0800-00000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4" name="Text Box 128">
          <a:extLst>
            <a:ext uri="{FF2B5EF4-FFF2-40B4-BE49-F238E27FC236}">
              <a16:creationId xmlns:a16="http://schemas.microsoft.com/office/drawing/2014/main" id="{00000000-0008-0000-0800-00000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5" name="Text Box 129">
          <a:extLst>
            <a:ext uri="{FF2B5EF4-FFF2-40B4-BE49-F238E27FC236}">
              <a16:creationId xmlns:a16="http://schemas.microsoft.com/office/drawing/2014/main" id="{00000000-0008-0000-0800-00000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6" name="Text Box 130">
          <a:extLst>
            <a:ext uri="{FF2B5EF4-FFF2-40B4-BE49-F238E27FC236}">
              <a16:creationId xmlns:a16="http://schemas.microsoft.com/office/drawing/2014/main" id="{00000000-0008-0000-0800-00000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7" name="Text Box 133">
          <a:extLst>
            <a:ext uri="{FF2B5EF4-FFF2-40B4-BE49-F238E27FC236}">
              <a16:creationId xmlns:a16="http://schemas.microsoft.com/office/drawing/2014/main" id="{00000000-0008-0000-0800-00000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8" name="Text Box 134">
          <a:extLst>
            <a:ext uri="{FF2B5EF4-FFF2-40B4-BE49-F238E27FC236}">
              <a16:creationId xmlns:a16="http://schemas.microsoft.com/office/drawing/2014/main" id="{00000000-0008-0000-0800-00000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9" name="Text Box 135">
          <a:extLst>
            <a:ext uri="{FF2B5EF4-FFF2-40B4-BE49-F238E27FC236}">
              <a16:creationId xmlns:a16="http://schemas.microsoft.com/office/drawing/2014/main" id="{00000000-0008-0000-0800-00000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0" name="Text Box 136">
          <a:extLst>
            <a:ext uri="{FF2B5EF4-FFF2-40B4-BE49-F238E27FC236}">
              <a16:creationId xmlns:a16="http://schemas.microsoft.com/office/drawing/2014/main" id="{00000000-0008-0000-0800-00000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1" name="Text Box 137">
          <a:extLst>
            <a:ext uri="{FF2B5EF4-FFF2-40B4-BE49-F238E27FC236}">
              <a16:creationId xmlns:a16="http://schemas.microsoft.com/office/drawing/2014/main" id="{00000000-0008-0000-0800-00000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2" name="Text Box 138">
          <a:extLst>
            <a:ext uri="{FF2B5EF4-FFF2-40B4-BE49-F238E27FC236}">
              <a16:creationId xmlns:a16="http://schemas.microsoft.com/office/drawing/2014/main" id="{00000000-0008-0000-0800-00000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3" name="Text Box 139">
          <a:extLst>
            <a:ext uri="{FF2B5EF4-FFF2-40B4-BE49-F238E27FC236}">
              <a16:creationId xmlns:a16="http://schemas.microsoft.com/office/drawing/2014/main" id="{00000000-0008-0000-0800-00000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4" name="Text Box 140">
          <a:extLst>
            <a:ext uri="{FF2B5EF4-FFF2-40B4-BE49-F238E27FC236}">
              <a16:creationId xmlns:a16="http://schemas.microsoft.com/office/drawing/2014/main" id="{00000000-0008-0000-0800-00001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5" name="Text Box 141">
          <a:extLst>
            <a:ext uri="{FF2B5EF4-FFF2-40B4-BE49-F238E27FC236}">
              <a16:creationId xmlns:a16="http://schemas.microsoft.com/office/drawing/2014/main" id="{00000000-0008-0000-0800-00001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6" name="Text Box 142">
          <a:extLst>
            <a:ext uri="{FF2B5EF4-FFF2-40B4-BE49-F238E27FC236}">
              <a16:creationId xmlns:a16="http://schemas.microsoft.com/office/drawing/2014/main" id="{00000000-0008-0000-0800-00001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7" name="Text Box 143">
          <a:extLst>
            <a:ext uri="{FF2B5EF4-FFF2-40B4-BE49-F238E27FC236}">
              <a16:creationId xmlns:a16="http://schemas.microsoft.com/office/drawing/2014/main" id="{00000000-0008-0000-0800-00001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8" name="Text Box 144">
          <a:extLst>
            <a:ext uri="{FF2B5EF4-FFF2-40B4-BE49-F238E27FC236}">
              <a16:creationId xmlns:a16="http://schemas.microsoft.com/office/drawing/2014/main" id="{00000000-0008-0000-0800-00001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9" name="Text Box 145">
          <a:extLst>
            <a:ext uri="{FF2B5EF4-FFF2-40B4-BE49-F238E27FC236}">
              <a16:creationId xmlns:a16="http://schemas.microsoft.com/office/drawing/2014/main" id="{00000000-0008-0000-0800-00001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0" name="Text Box 146">
          <a:extLst>
            <a:ext uri="{FF2B5EF4-FFF2-40B4-BE49-F238E27FC236}">
              <a16:creationId xmlns:a16="http://schemas.microsoft.com/office/drawing/2014/main" id="{00000000-0008-0000-0800-00001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1" name="Text Box 147">
          <a:extLst>
            <a:ext uri="{FF2B5EF4-FFF2-40B4-BE49-F238E27FC236}">
              <a16:creationId xmlns:a16="http://schemas.microsoft.com/office/drawing/2014/main" id="{00000000-0008-0000-0800-00001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2" name="Text Box 148">
          <a:extLst>
            <a:ext uri="{FF2B5EF4-FFF2-40B4-BE49-F238E27FC236}">
              <a16:creationId xmlns:a16="http://schemas.microsoft.com/office/drawing/2014/main" id="{00000000-0008-0000-0800-00001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3" name="Text Box 149">
          <a:extLst>
            <a:ext uri="{FF2B5EF4-FFF2-40B4-BE49-F238E27FC236}">
              <a16:creationId xmlns:a16="http://schemas.microsoft.com/office/drawing/2014/main" id="{00000000-0008-0000-0800-00001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4" name="Text Box 150">
          <a:extLst>
            <a:ext uri="{FF2B5EF4-FFF2-40B4-BE49-F238E27FC236}">
              <a16:creationId xmlns:a16="http://schemas.microsoft.com/office/drawing/2014/main" id="{00000000-0008-0000-0800-00001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5" name="Text Box 151">
          <a:extLst>
            <a:ext uri="{FF2B5EF4-FFF2-40B4-BE49-F238E27FC236}">
              <a16:creationId xmlns:a16="http://schemas.microsoft.com/office/drawing/2014/main" id="{00000000-0008-0000-0800-00001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6" name="Text Box 152">
          <a:extLst>
            <a:ext uri="{FF2B5EF4-FFF2-40B4-BE49-F238E27FC236}">
              <a16:creationId xmlns:a16="http://schemas.microsoft.com/office/drawing/2014/main" id="{00000000-0008-0000-0800-00001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7" name="Text Box 153">
          <a:extLst>
            <a:ext uri="{FF2B5EF4-FFF2-40B4-BE49-F238E27FC236}">
              <a16:creationId xmlns:a16="http://schemas.microsoft.com/office/drawing/2014/main" id="{00000000-0008-0000-0800-00001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8" name="Text Box 154">
          <a:extLst>
            <a:ext uri="{FF2B5EF4-FFF2-40B4-BE49-F238E27FC236}">
              <a16:creationId xmlns:a16="http://schemas.microsoft.com/office/drawing/2014/main" id="{00000000-0008-0000-0800-00001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9" name="Text Box 155">
          <a:extLst>
            <a:ext uri="{FF2B5EF4-FFF2-40B4-BE49-F238E27FC236}">
              <a16:creationId xmlns:a16="http://schemas.microsoft.com/office/drawing/2014/main" id="{00000000-0008-0000-0800-00001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0" name="Text Box 156">
          <a:extLst>
            <a:ext uri="{FF2B5EF4-FFF2-40B4-BE49-F238E27FC236}">
              <a16:creationId xmlns:a16="http://schemas.microsoft.com/office/drawing/2014/main" id="{00000000-0008-0000-0800-00002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1" name="Text Box 157">
          <a:extLst>
            <a:ext uri="{FF2B5EF4-FFF2-40B4-BE49-F238E27FC236}">
              <a16:creationId xmlns:a16="http://schemas.microsoft.com/office/drawing/2014/main" id="{00000000-0008-0000-0800-00002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2" name="Text Box 158">
          <a:extLst>
            <a:ext uri="{FF2B5EF4-FFF2-40B4-BE49-F238E27FC236}">
              <a16:creationId xmlns:a16="http://schemas.microsoft.com/office/drawing/2014/main" id="{00000000-0008-0000-0800-00002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3" name="Text Box 159">
          <a:extLst>
            <a:ext uri="{FF2B5EF4-FFF2-40B4-BE49-F238E27FC236}">
              <a16:creationId xmlns:a16="http://schemas.microsoft.com/office/drawing/2014/main" id="{00000000-0008-0000-0800-00002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4" name="Text Box 160">
          <a:extLst>
            <a:ext uri="{FF2B5EF4-FFF2-40B4-BE49-F238E27FC236}">
              <a16:creationId xmlns:a16="http://schemas.microsoft.com/office/drawing/2014/main" id="{00000000-0008-0000-0800-00002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5" name="Text Box 161">
          <a:extLst>
            <a:ext uri="{FF2B5EF4-FFF2-40B4-BE49-F238E27FC236}">
              <a16:creationId xmlns:a16="http://schemas.microsoft.com/office/drawing/2014/main" id="{00000000-0008-0000-0800-00002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6" name="Text Box 162">
          <a:extLst>
            <a:ext uri="{FF2B5EF4-FFF2-40B4-BE49-F238E27FC236}">
              <a16:creationId xmlns:a16="http://schemas.microsoft.com/office/drawing/2014/main" id="{00000000-0008-0000-0800-00002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7" name="Text Box 163">
          <a:extLst>
            <a:ext uri="{FF2B5EF4-FFF2-40B4-BE49-F238E27FC236}">
              <a16:creationId xmlns:a16="http://schemas.microsoft.com/office/drawing/2014/main" id="{00000000-0008-0000-0800-00002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8" name="Text Box 164">
          <a:extLst>
            <a:ext uri="{FF2B5EF4-FFF2-40B4-BE49-F238E27FC236}">
              <a16:creationId xmlns:a16="http://schemas.microsoft.com/office/drawing/2014/main" id="{00000000-0008-0000-0800-00002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9" name="Text Box 165">
          <a:extLst>
            <a:ext uri="{FF2B5EF4-FFF2-40B4-BE49-F238E27FC236}">
              <a16:creationId xmlns:a16="http://schemas.microsoft.com/office/drawing/2014/main" id="{00000000-0008-0000-0800-00002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0" name="Text Box 166">
          <a:extLst>
            <a:ext uri="{FF2B5EF4-FFF2-40B4-BE49-F238E27FC236}">
              <a16:creationId xmlns:a16="http://schemas.microsoft.com/office/drawing/2014/main" id="{00000000-0008-0000-0800-00002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1" name="Text Box 167">
          <a:extLst>
            <a:ext uri="{FF2B5EF4-FFF2-40B4-BE49-F238E27FC236}">
              <a16:creationId xmlns:a16="http://schemas.microsoft.com/office/drawing/2014/main" id="{00000000-0008-0000-0800-00002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2" name="Text Box 168">
          <a:extLst>
            <a:ext uri="{FF2B5EF4-FFF2-40B4-BE49-F238E27FC236}">
              <a16:creationId xmlns:a16="http://schemas.microsoft.com/office/drawing/2014/main" id="{00000000-0008-0000-0800-00002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3" name="Text Box 169">
          <a:extLst>
            <a:ext uri="{FF2B5EF4-FFF2-40B4-BE49-F238E27FC236}">
              <a16:creationId xmlns:a16="http://schemas.microsoft.com/office/drawing/2014/main" id="{00000000-0008-0000-0800-00002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4" name="Text Box 170">
          <a:extLst>
            <a:ext uri="{FF2B5EF4-FFF2-40B4-BE49-F238E27FC236}">
              <a16:creationId xmlns:a16="http://schemas.microsoft.com/office/drawing/2014/main" id="{00000000-0008-0000-0800-00002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5" name="Text Box 171">
          <a:extLst>
            <a:ext uri="{FF2B5EF4-FFF2-40B4-BE49-F238E27FC236}">
              <a16:creationId xmlns:a16="http://schemas.microsoft.com/office/drawing/2014/main" id="{00000000-0008-0000-0800-00002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6" name="Text Box 172">
          <a:extLst>
            <a:ext uri="{FF2B5EF4-FFF2-40B4-BE49-F238E27FC236}">
              <a16:creationId xmlns:a16="http://schemas.microsoft.com/office/drawing/2014/main" id="{00000000-0008-0000-0800-00003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7" name="Text Box 173">
          <a:extLst>
            <a:ext uri="{FF2B5EF4-FFF2-40B4-BE49-F238E27FC236}">
              <a16:creationId xmlns:a16="http://schemas.microsoft.com/office/drawing/2014/main" id="{00000000-0008-0000-0800-00003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8" name="Text Box 174">
          <a:extLst>
            <a:ext uri="{FF2B5EF4-FFF2-40B4-BE49-F238E27FC236}">
              <a16:creationId xmlns:a16="http://schemas.microsoft.com/office/drawing/2014/main" id="{00000000-0008-0000-0800-00003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9" name="Text Box 175">
          <a:extLst>
            <a:ext uri="{FF2B5EF4-FFF2-40B4-BE49-F238E27FC236}">
              <a16:creationId xmlns:a16="http://schemas.microsoft.com/office/drawing/2014/main" id="{00000000-0008-0000-0800-00003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0" name="Text Box 176">
          <a:extLst>
            <a:ext uri="{FF2B5EF4-FFF2-40B4-BE49-F238E27FC236}">
              <a16:creationId xmlns:a16="http://schemas.microsoft.com/office/drawing/2014/main" id="{00000000-0008-0000-0800-00003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1" name="Text Box 177">
          <a:extLst>
            <a:ext uri="{FF2B5EF4-FFF2-40B4-BE49-F238E27FC236}">
              <a16:creationId xmlns:a16="http://schemas.microsoft.com/office/drawing/2014/main" id="{00000000-0008-0000-0800-00003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2" name="Text Box 178">
          <a:extLst>
            <a:ext uri="{FF2B5EF4-FFF2-40B4-BE49-F238E27FC236}">
              <a16:creationId xmlns:a16="http://schemas.microsoft.com/office/drawing/2014/main" id="{00000000-0008-0000-0800-00003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3" name="Text Box 179">
          <a:extLst>
            <a:ext uri="{FF2B5EF4-FFF2-40B4-BE49-F238E27FC236}">
              <a16:creationId xmlns:a16="http://schemas.microsoft.com/office/drawing/2014/main" id="{00000000-0008-0000-0800-00003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4" name="Text Box 180">
          <a:extLst>
            <a:ext uri="{FF2B5EF4-FFF2-40B4-BE49-F238E27FC236}">
              <a16:creationId xmlns:a16="http://schemas.microsoft.com/office/drawing/2014/main" id="{00000000-0008-0000-0800-00003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5" name="Text Box 181">
          <a:extLst>
            <a:ext uri="{FF2B5EF4-FFF2-40B4-BE49-F238E27FC236}">
              <a16:creationId xmlns:a16="http://schemas.microsoft.com/office/drawing/2014/main" id="{00000000-0008-0000-0800-00003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6" name="Text Box 182">
          <a:extLst>
            <a:ext uri="{FF2B5EF4-FFF2-40B4-BE49-F238E27FC236}">
              <a16:creationId xmlns:a16="http://schemas.microsoft.com/office/drawing/2014/main" id="{00000000-0008-0000-0800-00003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7" name="Text Box 183">
          <a:extLst>
            <a:ext uri="{FF2B5EF4-FFF2-40B4-BE49-F238E27FC236}">
              <a16:creationId xmlns:a16="http://schemas.microsoft.com/office/drawing/2014/main" id="{00000000-0008-0000-0800-00003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8" name="Text Box 184">
          <a:extLst>
            <a:ext uri="{FF2B5EF4-FFF2-40B4-BE49-F238E27FC236}">
              <a16:creationId xmlns:a16="http://schemas.microsoft.com/office/drawing/2014/main" id="{00000000-0008-0000-0800-00003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9" name="Text Box 185">
          <a:extLst>
            <a:ext uri="{FF2B5EF4-FFF2-40B4-BE49-F238E27FC236}">
              <a16:creationId xmlns:a16="http://schemas.microsoft.com/office/drawing/2014/main" id="{00000000-0008-0000-0800-00003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0" name="Text Box 186">
          <a:extLst>
            <a:ext uri="{FF2B5EF4-FFF2-40B4-BE49-F238E27FC236}">
              <a16:creationId xmlns:a16="http://schemas.microsoft.com/office/drawing/2014/main" id="{00000000-0008-0000-0800-00003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1" name="Text Box 187">
          <a:extLst>
            <a:ext uri="{FF2B5EF4-FFF2-40B4-BE49-F238E27FC236}">
              <a16:creationId xmlns:a16="http://schemas.microsoft.com/office/drawing/2014/main" id="{00000000-0008-0000-0800-00003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2" name="Text Box 188">
          <a:extLst>
            <a:ext uri="{FF2B5EF4-FFF2-40B4-BE49-F238E27FC236}">
              <a16:creationId xmlns:a16="http://schemas.microsoft.com/office/drawing/2014/main" id="{00000000-0008-0000-0800-00004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3" name="Text Box 189">
          <a:extLst>
            <a:ext uri="{FF2B5EF4-FFF2-40B4-BE49-F238E27FC236}">
              <a16:creationId xmlns:a16="http://schemas.microsoft.com/office/drawing/2014/main" id="{00000000-0008-0000-0800-00004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4" name="Text Box 190">
          <a:extLst>
            <a:ext uri="{FF2B5EF4-FFF2-40B4-BE49-F238E27FC236}">
              <a16:creationId xmlns:a16="http://schemas.microsoft.com/office/drawing/2014/main" id="{00000000-0008-0000-0800-00004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5" name="Text Box 191">
          <a:extLst>
            <a:ext uri="{FF2B5EF4-FFF2-40B4-BE49-F238E27FC236}">
              <a16:creationId xmlns:a16="http://schemas.microsoft.com/office/drawing/2014/main" id="{00000000-0008-0000-0800-00004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6" name="Text Box 192">
          <a:extLst>
            <a:ext uri="{FF2B5EF4-FFF2-40B4-BE49-F238E27FC236}">
              <a16:creationId xmlns:a16="http://schemas.microsoft.com/office/drawing/2014/main" id="{00000000-0008-0000-0800-00004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7" name="Text Box 193">
          <a:extLst>
            <a:ext uri="{FF2B5EF4-FFF2-40B4-BE49-F238E27FC236}">
              <a16:creationId xmlns:a16="http://schemas.microsoft.com/office/drawing/2014/main" id="{00000000-0008-0000-0800-00004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8" name="Text Box 194">
          <a:extLst>
            <a:ext uri="{FF2B5EF4-FFF2-40B4-BE49-F238E27FC236}">
              <a16:creationId xmlns:a16="http://schemas.microsoft.com/office/drawing/2014/main" id="{00000000-0008-0000-0800-00004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9" name="Text Box 195">
          <a:extLst>
            <a:ext uri="{FF2B5EF4-FFF2-40B4-BE49-F238E27FC236}">
              <a16:creationId xmlns:a16="http://schemas.microsoft.com/office/drawing/2014/main" id="{00000000-0008-0000-0800-00004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0" name="Text Box 196">
          <a:extLst>
            <a:ext uri="{FF2B5EF4-FFF2-40B4-BE49-F238E27FC236}">
              <a16:creationId xmlns:a16="http://schemas.microsoft.com/office/drawing/2014/main" id="{00000000-0008-0000-0800-00004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1" name="Text Box 197">
          <a:extLst>
            <a:ext uri="{FF2B5EF4-FFF2-40B4-BE49-F238E27FC236}">
              <a16:creationId xmlns:a16="http://schemas.microsoft.com/office/drawing/2014/main" id="{00000000-0008-0000-0800-00004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2" name="Text Box 198">
          <a:extLst>
            <a:ext uri="{FF2B5EF4-FFF2-40B4-BE49-F238E27FC236}">
              <a16:creationId xmlns:a16="http://schemas.microsoft.com/office/drawing/2014/main" id="{00000000-0008-0000-0800-00004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3" name="Text Box 199">
          <a:extLst>
            <a:ext uri="{FF2B5EF4-FFF2-40B4-BE49-F238E27FC236}">
              <a16:creationId xmlns:a16="http://schemas.microsoft.com/office/drawing/2014/main" id="{00000000-0008-0000-0800-00004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4" name="Text Box 200">
          <a:extLst>
            <a:ext uri="{FF2B5EF4-FFF2-40B4-BE49-F238E27FC236}">
              <a16:creationId xmlns:a16="http://schemas.microsoft.com/office/drawing/2014/main" id="{00000000-0008-0000-0800-00004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5" name="Text Box 201">
          <a:extLst>
            <a:ext uri="{FF2B5EF4-FFF2-40B4-BE49-F238E27FC236}">
              <a16:creationId xmlns:a16="http://schemas.microsoft.com/office/drawing/2014/main" id="{00000000-0008-0000-0800-00004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6" name="Text Box 202">
          <a:extLst>
            <a:ext uri="{FF2B5EF4-FFF2-40B4-BE49-F238E27FC236}">
              <a16:creationId xmlns:a16="http://schemas.microsoft.com/office/drawing/2014/main" id="{00000000-0008-0000-0800-00004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7" name="Text Box 203">
          <a:extLst>
            <a:ext uri="{FF2B5EF4-FFF2-40B4-BE49-F238E27FC236}">
              <a16:creationId xmlns:a16="http://schemas.microsoft.com/office/drawing/2014/main" id="{00000000-0008-0000-0800-00004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8" name="Text Box 204">
          <a:extLst>
            <a:ext uri="{FF2B5EF4-FFF2-40B4-BE49-F238E27FC236}">
              <a16:creationId xmlns:a16="http://schemas.microsoft.com/office/drawing/2014/main" id="{00000000-0008-0000-0800-00005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9" name="Text Box 205">
          <a:extLst>
            <a:ext uri="{FF2B5EF4-FFF2-40B4-BE49-F238E27FC236}">
              <a16:creationId xmlns:a16="http://schemas.microsoft.com/office/drawing/2014/main" id="{00000000-0008-0000-0800-00005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0" name="Text Box 206">
          <a:extLst>
            <a:ext uri="{FF2B5EF4-FFF2-40B4-BE49-F238E27FC236}">
              <a16:creationId xmlns:a16="http://schemas.microsoft.com/office/drawing/2014/main" id="{00000000-0008-0000-0800-00005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1" name="Text Box 207">
          <a:extLst>
            <a:ext uri="{FF2B5EF4-FFF2-40B4-BE49-F238E27FC236}">
              <a16:creationId xmlns:a16="http://schemas.microsoft.com/office/drawing/2014/main" id="{00000000-0008-0000-0800-00005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2" name="Text Box 208">
          <a:extLst>
            <a:ext uri="{FF2B5EF4-FFF2-40B4-BE49-F238E27FC236}">
              <a16:creationId xmlns:a16="http://schemas.microsoft.com/office/drawing/2014/main" id="{00000000-0008-0000-0800-00005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3" name="Text Box 209">
          <a:extLst>
            <a:ext uri="{FF2B5EF4-FFF2-40B4-BE49-F238E27FC236}">
              <a16:creationId xmlns:a16="http://schemas.microsoft.com/office/drawing/2014/main" id="{00000000-0008-0000-0800-00005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4" name="Text Box 210">
          <a:extLst>
            <a:ext uri="{FF2B5EF4-FFF2-40B4-BE49-F238E27FC236}">
              <a16:creationId xmlns:a16="http://schemas.microsoft.com/office/drawing/2014/main" id="{00000000-0008-0000-0800-00005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5" name="Text Box 211">
          <a:extLst>
            <a:ext uri="{FF2B5EF4-FFF2-40B4-BE49-F238E27FC236}">
              <a16:creationId xmlns:a16="http://schemas.microsoft.com/office/drawing/2014/main" id="{00000000-0008-0000-0800-00005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6" name="Text Box 212">
          <a:extLst>
            <a:ext uri="{FF2B5EF4-FFF2-40B4-BE49-F238E27FC236}">
              <a16:creationId xmlns:a16="http://schemas.microsoft.com/office/drawing/2014/main" id="{00000000-0008-0000-0800-00005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7" name="Text Box 213">
          <a:extLst>
            <a:ext uri="{FF2B5EF4-FFF2-40B4-BE49-F238E27FC236}">
              <a16:creationId xmlns:a16="http://schemas.microsoft.com/office/drawing/2014/main" id="{00000000-0008-0000-0800-00005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8" name="Text Box 214">
          <a:extLst>
            <a:ext uri="{FF2B5EF4-FFF2-40B4-BE49-F238E27FC236}">
              <a16:creationId xmlns:a16="http://schemas.microsoft.com/office/drawing/2014/main" id="{00000000-0008-0000-0800-00005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9" name="Text Box 215">
          <a:extLst>
            <a:ext uri="{FF2B5EF4-FFF2-40B4-BE49-F238E27FC236}">
              <a16:creationId xmlns:a16="http://schemas.microsoft.com/office/drawing/2014/main" id="{00000000-0008-0000-0800-00005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0" name="Text Box 216">
          <a:extLst>
            <a:ext uri="{FF2B5EF4-FFF2-40B4-BE49-F238E27FC236}">
              <a16:creationId xmlns:a16="http://schemas.microsoft.com/office/drawing/2014/main" id="{00000000-0008-0000-0800-00005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1" name="Text Box 217">
          <a:extLst>
            <a:ext uri="{FF2B5EF4-FFF2-40B4-BE49-F238E27FC236}">
              <a16:creationId xmlns:a16="http://schemas.microsoft.com/office/drawing/2014/main" id="{00000000-0008-0000-0800-00005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2" name="Text Box 218">
          <a:extLst>
            <a:ext uri="{FF2B5EF4-FFF2-40B4-BE49-F238E27FC236}">
              <a16:creationId xmlns:a16="http://schemas.microsoft.com/office/drawing/2014/main" id="{00000000-0008-0000-0800-00005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3" name="Text Box 219">
          <a:extLst>
            <a:ext uri="{FF2B5EF4-FFF2-40B4-BE49-F238E27FC236}">
              <a16:creationId xmlns:a16="http://schemas.microsoft.com/office/drawing/2014/main" id="{00000000-0008-0000-0800-00005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4" name="Text Box 220">
          <a:extLst>
            <a:ext uri="{FF2B5EF4-FFF2-40B4-BE49-F238E27FC236}">
              <a16:creationId xmlns:a16="http://schemas.microsoft.com/office/drawing/2014/main" id="{00000000-0008-0000-0800-00006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5" name="Text Box 221">
          <a:extLst>
            <a:ext uri="{FF2B5EF4-FFF2-40B4-BE49-F238E27FC236}">
              <a16:creationId xmlns:a16="http://schemas.microsoft.com/office/drawing/2014/main" id="{00000000-0008-0000-0800-00006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6" name="Text Box 222">
          <a:extLst>
            <a:ext uri="{FF2B5EF4-FFF2-40B4-BE49-F238E27FC236}">
              <a16:creationId xmlns:a16="http://schemas.microsoft.com/office/drawing/2014/main" id="{00000000-0008-0000-0800-00006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7" name="Text Box 223">
          <a:extLst>
            <a:ext uri="{FF2B5EF4-FFF2-40B4-BE49-F238E27FC236}">
              <a16:creationId xmlns:a16="http://schemas.microsoft.com/office/drawing/2014/main" id="{00000000-0008-0000-0800-00006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8" name="Text Box 224">
          <a:extLst>
            <a:ext uri="{FF2B5EF4-FFF2-40B4-BE49-F238E27FC236}">
              <a16:creationId xmlns:a16="http://schemas.microsoft.com/office/drawing/2014/main" id="{00000000-0008-0000-0800-00006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9" name="Text Box 225">
          <a:extLst>
            <a:ext uri="{FF2B5EF4-FFF2-40B4-BE49-F238E27FC236}">
              <a16:creationId xmlns:a16="http://schemas.microsoft.com/office/drawing/2014/main" id="{00000000-0008-0000-0800-00006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50" name="Text Box 226">
          <a:extLst>
            <a:ext uri="{FF2B5EF4-FFF2-40B4-BE49-F238E27FC236}">
              <a16:creationId xmlns:a16="http://schemas.microsoft.com/office/drawing/2014/main" id="{00000000-0008-0000-0800-00006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1" name="Text Box 227">
          <a:extLst>
            <a:ext uri="{FF2B5EF4-FFF2-40B4-BE49-F238E27FC236}">
              <a16:creationId xmlns:a16="http://schemas.microsoft.com/office/drawing/2014/main" id="{00000000-0008-0000-0800-00006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2" name="Text Box 228">
          <a:extLst>
            <a:ext uri="{FF2B5EF4-FFF2-40B4-BE49-F238E27FC236}">
              <a16:creationId xmlns:a16="http://schemas.microsoft.com/office/drawing/2014/main" id="{00000000-0008-0000-0800-00006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3" name="Text Box 229">
          <a:extLst>
            <a:ext uri="{FF2B5EF4-FFF2-40B4-BE49-F238E27FC236}">
              <a16:creationId xmlns:a16="http://schemas.microsoft.com/office/drawing/2014/main" id="{00000000-0008-0000-0800-00006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4" name="Text Box 230">
          <a:extLst>
            <a:ext uri="{FF2B5EF4-FFF2-40B4-BE49-F238E27FC236}">
              <a16:creationId xmlns:a16="http://schemas.microsoft.com/office/drawing/2014/main" id="{00000000-0008-0000-0800-00006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5" name="Text Box 231">
          <a:extLst>
            <a:ext uri="{FF2B5EF4-FFF2-40B4-BE49-F238E27FC236}">
              <a16:creationId xmlns:a16="http://schemas.microsoft.com/office/drawing/2014/main" id="{00000000-0008-0000-0800-00006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6" name="Text Box 232">
          <a:extLst>
            <a:ext uri="{FF2B5EF4-FFF2-40B4-BE49-F238E27FC236}">
              <a16:creationId xmlns:a16="http://schemas.microsoft.com/office/drawing/2014/main" id="{00000000-0008-0000-0800-00006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7" name="Text Box 233">
          <a:extLst>
            <a:ext uri="{FF2B5EF4-FFF2-40B4-BE49-F238E27FC236}">
              <a16:creationId xmlns:a16="http://schemas.microsoft.com/office/drawing/2014/main" id="{00000000-0008-0000-0800-00006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8" name="Text Box 234">
          <a:extLst>
            <a:ext uri="{FF2B5EF4-FFF2-40B4-BE49-F238E27FC236}">
              <a16:creationId xmlns:a16="http://schemas.microsoft.com/office/drawing/2014/main" id="{00000000-0008-0000-0800-00006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9" name="Text Box 235">
          <a:extLst>
            <a:ext uri="{FF2B5EF4-FFF2-40B4-BE49-F238E27FC236}">
              <a16:creationId xmlns:a16="http://schemas.microsoft.com/office/drawing/2014/main" id="{00000000-0008-0000-0800-00006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0" name="Text Box 236">
          <a:extLst>
            <a:ext uri="{FF2B5EF4-FFF2-40B4-BE49-F238E27FC236}">
              <a16:creationId xmlns:a16="http://schemas.microsoft.com/office/drawing/2014/main" id="{00000000-0008-0000-0800-00007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1" name="Text Box 237">
          <a:extLst>
            <a:ext uri="{FF2B5EF4-FFF2-40B4-BE49-F238E27FC236}">
              <a16:creationId xmlns:a16="http://schemas.microsoft.com/office/drawing/2014/main" id="{00000000-0008-0000-0800-00007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2" name="Text Box 238">
          <a:extLst>
            <a:ext uri="{FF2B5EF4-FFF2-40B4-BE49-F238E27FC236}">
              <a16:creationId xmlns:a16="http://schemas.microsoft.com/office/drawing/2014/main" id="{00000000-0008-0000-0800-00007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3" name="Text Box 239">
          <a:extLst>
            <a:ext uri="{FF2B5EF4-FFF2-40B4-BE49-F238E27FC236}">
              <a16:creationId xmlns:a16="http://schemas.microsoft.com/office/drawing/2014/main" id="{00000000-0008-0000-0800-00007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4" name="Text Box 240">
          <a:extLst>
            <a:ext uri="{FF2B5EF4-FFF2-40B4-BE49-F238E27FC236}">
              <a16:creationId xmlns:a16="http://schemas.microsoft.com/office/drawing/2014/main" id="{00000000-0008-0000-0800-00007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5" name="Text Box 241">
          <a:extLst>
            <a:ext uri="{FF2B5EF4-FFF2-40B4-BE49-F238E27FC236}">
              <a16:creationId xmlns:a16="http://schemas.microsoft.com/office/drawing/2014/main" id="{00000000-0008-0000-0800-00007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6" name="Text Box 242">
          <a:extLst>
            <a:ext uri="{FF2B5EF4-FFF2-40B4-BE49-F238E27FC236}">
              <a16:creationId xmlns:a16="http://schemas.microsoft.com/office/drawing/2014/main" id="{00000000-0008-0000-0800-00007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7" name="Text Box 243">
          <a:extLst>
            <a:ext uri="{FF2B5EF4-FFF2-40B4-BE49-F238E27FC236}">
              <a16:creationId xmlns:a16="http://schemas.microsoft.com/office/drawing/2014/main" id="{00000000-0008-0000-0800-00007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8" name="Text Box 244">
          <a:extLst>
            <a:ext uri="{FF2B5EF4-FFF2-40B4-BE49-F238E27FC236}">
              <a16:creationId xmlns:a16="http://schemas.microsoft.com/office/drawing/2014/main" id="{00000000-0008-0000-0800-00007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9" name="Text Box 245">
          <a:extLst>
            <a:ext uri="{FF2B5EF4-FFF2-40B4-BE49-F238E27FC236}">
              <a16:creationId xmlns:a16="http://schemas.microsoft.com/office/drawing/2014/main" id="{00000000-0008-0000-0800-00007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0" name="Text Box 246">
          <a:extLst>
            <a:ext uri="{FF2B5EF4-FFF2-40B4-BE49-F238E27FC236}">
              <a16:creationId xmlns:a16="http://schemas.microsoft.com/office/drawing/2014/main" id="{00000000-0008-0000-0800-00007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1" name="Text Box 247">
          <a:extLst>
            <a:ext uri="{FF2B5EF4-FFF2-40B4-BE49-F238E27FC236}">
              <a16:creationId xmlns:a16="http://schemas.microsoft.com/office/drawing/2014/main" id="{00000000-0008-0000-0800-00007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2" name="Text Box 248">
          <a:extLst>
            <a:ext uri="{FF2B5EF4-FFF2-40B4-BE49-F238E27FC236}">
              <a16:creationId xmlns:a16="http://schemas.microsoft.com/office/drawing/2014/main" id="{00000000-0008-0000-0800-00007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3" name="Text Box 249">
          <a:extLst>
            <a:ext uri="{FF2B5EF4-FFF2-40B4-BE49-F238E27FC236}">
              <a16:creationId xmlns:a16="http://schemas.microsoft.com/office/drawing/2014/main" id="{00000000-0008-0000-0800-00007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4" name="Text Box 250">
          <a:extLst>
            <a:ext uri="{FF2B5EF4-FFF2-40B4-BE49-F238E27FC236}">
              <a16:creationId xmlns:a16="http://schemas.microsoft.com/office/drawing/2014/main" id="{00000000-0008-0000-0800-00007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5" name="Text Box 251">
          <a:extLst>
            <a:ext uri="{FF2B5EF4-FFF2-40B4-BE49-F238E27FC236}">
              <a16:creationId xmlns:a16="http://schemas.microsoft.com/office/drawing/2014/main" id="{00000000-0008-0000-0800-00007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6" name="Text Box 252">
          <a:extLst>
            <a:ext uri="{FF2B5EF4-FFF2-40B4-BE49-F238E27FC236}">
              <a16:creationId xmlns:a16="http://schemas.microsoft.com/office/drawing/2014/main" id="{00000000-0008-0000-0800-00008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7" name="Text Box 253">
          <a:extLst>
            <a:ext uri="{FF2B5EF4-FFF2-40B4-BE49-F238E27FC236}">
              <a16:creationId xmlns:a16="http://schemas.microsoft.com/office/drawing/2014/main" id="{00000000-0008-0000-0800-00008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8" name="Text Box 254">
          <a:extLst>
            <a:ext uri="{FF2B5EF4-FFF2-40B4-BE49-F238E27FC236}">
              <a16:creationId xmlns:a16="http://schemas.microsoft.com/office/drawing/2014/main" id="{00000000-0008-0000-0800-00008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9" name="Text Box 255">
          <a:extLst>
            <a:ext uri="{FF2B5EF4-FFF2-40B4-BE49-F238E27FC236}">
              <a16:creationId xmlns:a16="http://schemas.microsoft.com/office/drawing/2014/main" id="{00000000-0008-0000-0800-00008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0" name="Text Box 256">
          <a:extLst>
            <a:ext uri="{FF2B5EF4-FFF2-40B4-BE49-F238E27FC236}">
              <a16:creationId xmlns:a16="http://schemas.microsoft.com/office/drawing/2014/main" id="{00000000-0008-0000-0800-00008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1" name="Text Box 257">
          <a:extLst>
            <a:ext uri="{FF2B5EF4-FFF2-40B4-BE49-F238E27FC236}">
              <a16:creationId xmlns:a16="http://schemas.microsoft.com/office/drawing/2014/main" id="{00000000-0008-0000-0800-00008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2" name="Text Box 258">
          <a:extLst>
            <a:ext uri="{FF2B5EF4-FFF2-40B4-BE49-F238E27FC236}">
              <a16:creationId xmlns:a16="http://schemas.microsoft.com/office/drawing/2014/main" id="{00000000-0008-0000-0800-00008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3" name="Text Box 259">
          <a:extLst>
            <a:ext uri="{FF2B5EF4-FFF2-40B4-BE49-F238E27FC236}">
              <a16:creationId xmlns:a16="http://schemas.microsoft.com/office/drawing/2014/main" id="{00000000-0008-0000-0800-00008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4" name="Text Box 260">
          <a:extLst>
            <a:ext uri="{FF2B5EF4-FFF2-40B4-BE49-F238E27FC236}">
              <a16:creationId xmlns:a16="http://schemas.microsoft.com/office/drawing/2014/main" id="{00000000-0008-0000-0800-00008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5" name="Text Box 261">
          <a:extLst>
            <a:ext uri="{FF2B5EF4-FFF2-40B4-BE49-F238E27FC236}">
              <a16:creationId xmlns:a16="http://schemas.microsoft.com/office/drawing/2014/main" id="{00000000-0008-0000-0800-00008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6" name="Text Box 262">
          <a:extLst>
            <a:ext uri="{FF2B5EF4-FFF2-40B4-BE49-F238E27FC236}">
              <a16:creationId xmlns:a16="http://schemas.microsoft.com/office/drawing/2014/main" id="{00000000-0008-0000-0800-00008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7" name="Text Box 263">
          <a:extLst>
            <a:ext uri="{FF2B5EF4-FFF2-40B4-BE49-F238E27FC236}">
              <a16:creationId xmlns:a16="http://schemas.microsoft.com/office/drawing/2014/main" id="{00000000-0008-0000-0800-00008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8" name="Text Box 264">
          <a:extLst>
            <a:ext uri="{FF2B5EF4-FFF2-40B4-BE49-F238E27FC236}">
              <a16:creationId xmlns:a16="http://schemas.microsoft.com/office/drawing/2014/main" id="{00000000-0008-0000-0800-00008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9" name="Text Box 265">
          <a:extLst>
            <a:ext uri="{FF2B5EF4-FFF2-40B4-BE49-F238E27FC236}">
              <a16:creationId xmlns:a16="http://schemas.microsoft.com/office/drawing/2014/main" id="{00000000-0008-0000-0800-00008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0" name="Text Box 266">
          <a:extLst>
            <a:ext uri="{FF2B5EF4-FFF2-40B4-BE49-F238E27FC236}">
              <a16:creationId xmlns:a16="http://schemas.microsoft.com/office/drawing/2014/main" id="{00000000-0008-0000-0800-00008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1" name="Text Box 267">
          <a:extLst>
            <a:ext uri="{FF2B5EF4-FFF2-40B4-BE49-F238E27FC236}">
              <a16:creationId xmlns:a16="http://schemas.microsoft.com/office/drawing/2014/main" id="{00000000-0008-0000-0800-00008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2" name="Text Box 268">
          <a:extLst>
            <a:ext uri="{FF2B5EF4-FFF2-40B4-BE49-F238E27FC236}">
              <a16:creationId xmlns:a16="http://schemas.microsoft.com/office/drawing/2014/main" id="{00000000-0008-0000-0800-00009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3" name="Text Box 269">
          <a:extLst>
            <a:ext uri="{FF2B5EF4-FFF2-40B4-BE49-F238E27FC236}">
              <a16:creationId xmlns:a16="http://schemas.microsoft.com/office/drawing/2014/main" id="{00000000-0008-0000-0800-00009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4" name="Text Box 270">
          <a:extLst>
            <a:ext uri="{FF2B5EF4-FFF2-40B4-BE49-F238E27FC236}">
              <a16:creationId xmlns:a16="http://schemas.microsoft.com/office/drawing/2014/main" id="{00000000-0008-0000-0800-00009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5" name="Text Box 271">
          <a:extLst>
            <a:ext uri="{FF2B5EF4-FFF2-40B4-BE49-F238E27FC236}">
              <a16:creationId xmlns:a16="http://schemas.microsoft.com/office/drawing/2014/main" id="{00000000-0008-0000-0800-00009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6" name="Text Box 272">
          <a:extLst>
            <a:ext uri="{FF2B5EF4-FFF2-40B4-BE49-F238E27FC236}">
              <a16:creationId xmlns:a16="http://schemas.microsoft.com/office/drawing/2014/main" id="{00000000-0008-0000-0800-00009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7" name="Text Box 273">
          <a:extLst>
            <a:ext uri="{FF2B5EF4-FFF2-40B4-BE49-F238E27FC236}">
              <a16:creationId xmlns:a16="http://schemas.microsoft.com/office/drawing/2014/main" id="{00000000-0008-0000-0800-00009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8" name="Text Box 274">
          <a:extLst>
            <a:ext uri="{FF2B5EF4-FFF2-40B4-BE49-F238E27FC236}">
              <a16:creationId xmlns:a16="http://schemas.microsoft.com/office/drawing/2014/main" id="{00000000-0008-0000-0800-00009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9" name="Text Box 275">
          <a:extLst>
            <a:ext uri="{FF2B5EF4-FFF2-40B4-BE49-F238E27FC236}">
              <a16:creationId xmlns:a16="http://schemas.microsoft.com/office/drawing/2014/main" id="{00000000-0008-0000-0800-00009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0" name="Text Box 276">
          <a:extLst>
            <a:ext uri="{FF2B5EF4-FFF2-40B4-BE49-F238E27FC236}">
              <a16:creationId xmlns:a16="http://schemas.microsoft.com/office/drawing/2014/main" id="{00000000-0008-0000-0800-00009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1" name="Text Box 277">
          <a:extLst>
            <a:ext uri="{FF2B5EF4-FFF2-40B4-BE49-F238E27FC236}">
              <a16:creationId xmlns:a16="http://schemas.microsoft.com/office/drawing/2014/main" id="{00000000-0008-0000-0800-00009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2" name="Text Box 278">
          <a:extLst>
            <a:ext uri="{FF2B5EF4-FFF2-40B4-BE49-F238E27FC236}">
              <a16:creationId xmlns:a16="http://schemas.microsoft.com/office/drawing/2014/main" id="{00000000-0008-0000-0800-00009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3" name="Text Box 279">
          <a:extLst>
            <a:ext uri="{FF2B5EF4-FFF2-40B4-BE49-F238E27FC236}">
              <a16:creationId xmlns:a16="http://schemas.microsoft.com/office/drawing/2014/main" id="{00000000-0008-0000-0800-00009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4" name="Text Box 280">
          <a:extLst>
            <a:ext uri="{FF2B5EF4-FFF2-40B4-BE49-F238E27FC236}">
              <a16:creationId xmlns:a16="http://schemas.microsoft.com/office/drawing/2014/main" id="{00000000-0008-0000-0800-00009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5" name="Text Box 281">
          <a:extLst>
            <a:ext uri="{FF2B5EF4-FFF2-40B4-BE49-F238E27FC236}">
              <a16:creationId xmlns:a16="http://schemas.microsoft.com/office/drawing/2014/main" id="{00000000-0008-0000-0800-00009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6" name="Text Box 282">
          <a:extLst>
            <a:ext uri="{FF2B5EF4-FFF2-40B4-BE49-F238E27FC236}">
              <a16:creationId xmlns:a16="http://schemas.microsoft.com/office/drawing/2014/main" id="{00000000-0008-0000-0800-00009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7" name="Text Box 283">
          <a:extLst>
            <a:ext uri="{FF2B5EF4-FFF2-40B4-BE49-F238E27FC236}">
              <a16:creationId xmlns:a16="http://schemas.microsoft.com/office/drawing/2014/main" id="{00000000-0008-0000-0800-00009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8" name="Text Box 284">
          <a:extLst>
            <a:ext uri="{FF2B5EF4-FFF2-40B4-BE49-F238E27FC236}">
              <a16:creationId xmlns:a16="http://schemas.microsoft.com/office/drawing/2014/main" id="{00000000-0008-0000-0800-0000A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9" name="Text Box 285">
          <a:extLst>
            <a:ext uri="{FF2B5EF4-FFF2-40B4-BE49-F238E27FC236}">
              <a16:creationId xmlns:a16="http://schemas.microsoft.com/office/drawing/2014/main" id="{00000000-0008-0000-0800-0000A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0" name="Text Box 286">
          <a:extLst>
            <a:ext uri="{FF2B5EF4-FFF2-40B4-BE49-F238E27FC236}">
              <a16:creationId xmlns:a16="http://schemas.microsoft.com/office/drawing/2014/main" id="{00000000-0008-0000-0800-0000A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1" name="Text Box 287">
          <a:extLst>
            <a:ext uri="{FF2B5EF4-FFF2-40B4-BE49-F238E27FC236}">
              <a16:creationId xmlns:a16="http://schemas.microsoft.com/office/drawing/2014/main" id="{00000000-0008-0000-0800-0000A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2" name="Text Box 288">
          <a:extLst>
            <a:ext uri="{FF2B5EF4-FFF2-40B4-BE49-F238E27FC236}">
              <a16:creationId xmlns:a16="http://schemas.microsoft.com/office/drawing/2014/main" id="{00000000-0008-0000-0800-0000A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3" name="Text Box 289">
          <a:extLst>
            <a:ext uri="{FF2B5EF4-FFF2-40B4-BE49-F238E27FC236}">
              <a16:creationId xmlns:a16="http://schemas.microsoft.com/office/drawing/2014/main" id="{00000000-0008-0000-0800-0000A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4" name="Text Box 290">
          <a:extLst>
            <a:ext uri="{FF2B5EF4-FFF2-40B4-BE49-F238E27FC236}">
              <a16:creationId xmlns:a16="http://schemas.microsoft.com/office/drawing/2014/main" id="{00000000-0008-0000-0800-0000A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5" name="Text Box 291">
          <a:extLst>
            <a:ext uri="{FF2B5EF4-FFF2-40B4-BE49-F238E27FC236}">
              <a16:creationId xmlns:a16="http://schemas.microsoft.com/office/drawing/2014/main" id="{00000000-0008-0000-0800-0000A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6" name="Text Box 292">
          <a:extLst>
            <a:ext uri="{FF2B5EF4-FFF2-40B4-BE49-F238E27FC236}">
              <a16:creationId xmlns:a16="http://schemas.microsoft.com/office/drawing/2014/main" id="{00000000-0008-0000-0800-0000A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7" name="Text Box 293">
          <a:extLst>
            <a:ext uri="{FF2B5EF4-FFF2-40B4-BE49-F238E27FC236}">
              <a16:creationId xmlns:a16="http://schemas.microsoft.com/office/drawing/2014/main" id="{00000000-0008-0000-0800-0000A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8" name="Text Box 294">
          <a:extLst>
            <a:ext uri="{FF2B5EF4-FFF2-40B4-BE49-F238E27FC236}">
              <a16:creationId xmlns:a16="http://schemas.microsoft.com/office/drawing/2014/main" id="{00000000-0008-0000-0800-0000A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9" name="Text Box 295">
          <a:extLst>
            <a:ext uri="{FF2B5EF4-FFF2-40B4-BE49-F238E27FC236}">
              <a16:creationId xmlns:a16="http://schemas.microsoft.com/office/drawing/2014/main" id="{00000000-0008-0000-0800-0000A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0" name="Text Box 296">
          <a:extLst>
            <a:ext uri="{FF2B5EF4-FFF2-40B4-BE49-F238E27FC236}">
              <a16:creationId xmlns:a16="http://schemas.microsoft.com/office/drawing/2014/main" id="{00000000-0008-0000-0800-0000A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1" name="Text Box 297">
          <a:extLst>
            <a:ext uri="{FF2B5EF4-FFF2-40B4-BE49-F238E27FC236}">
              <a16:creationId xmlns:a16="http://schemas.microsoft.com/office/drawing/2014/main" id="{00000000-0008-0000-0800-0000A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2" name="Text Box 298">
          <a:extLst>
            <a:ext uri="{FF2B5EF4-FFF2-40B4-BE49-F238E27FC236}">
              <a16:creationId xmlns:a16="http://schemas.microsoft.com/office/drawing/2014/main" id="{00000000-0008-0000-0800-0000A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3" name="Text Box 299">
          <a:extLst>
            <a:ext uri="{FF2B5EF4-FFF2-40B4-BE49-F238E27FC236}">
              <a16:creationId xmlns:a16="http://schemas.microsoft.com/office/drawing/2014/main" id="{00000000-0008-0000-0800-0000A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4" name="Text Box 300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5" name="Text Box 301">
          <a:extLst>
            <a:ext uri="{FF2B5EF4-FFF2-40B4-BE49-F238E27FC236}">
              <a16:creationId xmlns:a16="http://schemas.microsoft.com/office/drawing/2014/main" id="{00000000-0008-0000-0800-0000B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6" name="Text Box 302">
          <a:extLst>
            <a:ext uri="{FF2B5EF4-FFF2-40B4-BE49-F238E27FC236}">
              <a16:creationId xmlns:a16="http://schemas.microsoft.com/office/drawing/2014/main" id="{00000000-0008-0000-0800-0000B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7" name="Text Box 303">
          <a:extLst>
            <a:ext uri="{FF2B5EF4-FFF2-40B4-BE49-F238E27FC236}">
              <a16:creationId xmlns:a16="http://schemas.microsoft.com/office/drawing/2014/main" id="{00000000-0008-0000-0800-0000B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8" name="Text Box 304">
          <a:extLst>
            <a:ext uri="{FF2B5EF4-FFF2-40B4-BE49-F238E27FC236}">
              <a16:creationId xmlns:a16="http://schemas.microsoft.com/office/drawing/2014/main" id="{00000000-0008-0000-0800-0000B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9" name="Text Box 305">
          <a:extLst>
            <a:ext uri="{FF2B5EF4-FFF2-40B4-BE49-F238E27FC236}">
              <a16:creationId xmlns:a16="http://schemas.microsoft.com/office/drawing/2014/main" id="{00000000-0008-0000-0800-0000B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0" name="Text Box 306">
          <a:extLst>
            <a:ext uri="{FF2B5EF4-FFF2-40B4-BE49-F238E27FC236}">
              <a16:creationId xmlns:a16="http://schemas.microsoft.com/office/drawing/2014/main" id="{00000000-0008-0000-0800-0000B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1" name="Text Box 307">
          <a:extLst>
            <a:ext uri="{FF2B5EF4-FFF2-40B4-BE49-F238E27FC236}">
              <a16:creationId xmlns:a16="http://schemas.microsoft.com/office/drawing/2014/main" id="{00000000-0008-0000-0800-0000B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2" name="Text Box 308">
          <a:extLst>
            <a:ext uri="{FF2B5EF4-FFF2-40B4-BE49-F238E27FC236}">
              <a16:creationId xmlns:a16="http://schemas.microsoft.com/office/drawing/2014/main" id="{00000000-0008-0000-0800-0000B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3" name="Text Box 309">
          <a:extLst>
            <a:ext uri="{FF2B5EF4-FFF2-40B4-BE49-F238E27FC236}">
              <a16:creationId xmlns:a16="http://schemas.microsoft.com/office/drawing/2014/main" id="{00000000-0008-0000-0800-0000B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4" name="Text Box 310">
          <a:extLst>
            <a:ext uri="{FF2B5EF4-FFF2-40B4-BE49-F238E27FC236}">
              <a16:creationId xmlns:a16="http://schemas.microsoft.com/office/drawing/2014/main" id="{00000000-0008-0000-0800-0000B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5" name="Text Box 311">
          <a:extLst>
            <a:ext uri="{FF2B5EF4-FFF2-40B4-BE49-F238E27FC236}">
              <a16:creationId xmlns:a16="http://schemas.microsoft.com/office/drawing/2014/main" id="{00000000-0008-0000-0800-0000B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6" name="Text Box 312">
          <a:extLst>
            <a:ext uri="{FF2B5EF4-FFF2-40B4-BE49-F238E27FC236}">
              <a16:creationId xmlns:a16="http://schemas.microsoft.com/office/drawing/2014/main" id="{00000000-0008-0000-0800-0000B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7" name="Text Box 313">
          <a:extLst>
            <a:ext uri="{FF2B5EF4-FFF2-40B4-BE49-F238E27FC236}">
              <a16:creationId xmlns:a16="http://schemas.microsoft.com/office/drawing/2014/main" id="{00000000-0008-0000-0800-0000B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8" name="Text Box 314">
          <a:extLst>
            <a:ext uri="{FF2B5EF4-FFF2-40B4-BE49-F238E27FC236}">
              <a16:creationId xmlns:a16="http://schemas.microsoft.com/office/drawing/2014/main" id="{00000000-0008-0000-0800-0000B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9" name="Text Box 315">
          <a:extLst>
            <a:ext uri="{FF2B5EF4-FFF2-40B4-BE49-F238E27FC236}">
              <a16:creationId xmlns:a16="http://schemas.microsoft.com/office/drawing/2014/main" id="{00000000-0008-0000-0800-0000B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0" name="Text Box 316">
          <a:extLst>
            <a:ext uri="{FF2B5EF4-FFF2-40B4-BE49-F238E27FC236}">
              <a16:creationId xmlns:a16="http://schemas.microsoft.com/office/drawing/2014/main" id="{00000000-0008-0000-0800-0000C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1" name="Text Box 317">
          <a:extLst>
            <a:ext uri="{FF2B5EF4-FFF2-40B4-BE49-F238E27FC236}">
              <a16:creationId xmlns:a16="http://schemas.microsoft.com/office/drawing/2014/main" id="{00000000-0008-0000-0800-0000C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2" name="Text Box 318">
          <a:extLst>
            <a:ext uri="{FF2B5EF4-FFF2-40B4-BE49-F238E27FC236}">
              <a16:creationId xmlns:a16="http://schemas.microsoft.com/office/drawing/2014/main" id="{00000000-0008-0000-0800-0000C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3" name="Text Box 319">
          <a:extLst>
            <a:ext uri="{FF2B5EF4-FFF2-40B4-BE49-F238E27FC236}">
              <a16:creationId xmlns:a16="http://schemas.microsoft.com/office/drawing/2014/main" id="{00000000-0008-0000-0800-0000C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4" name="Text Box 320">
          <a:extLst>
            <a:ext uri="{FF2B5EF4-FFF2-40B4-BE49-F238E27FC236}">
              <a16:creationId xmlns:a16="http://schemas.microsoft.com/office/drawing/2014/main" id="{00000000-0008-0000-0800-0000C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5" name="Text Box 28">
          <a:extLst>
            <a:ext uri="{FF2B5EF4-FFF2-40B4-BE49-F238E27FC236}">
              <a16:creationId xmlns:a16="http://schemas.microsoft.com/office/drawing/2014/main" id="{00000000-0008-0000-0800-0000C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6" name="Text Box 29">
          <a:extLst>
            <a:ext uri="{FF2B5EF4-FFF2-40B4-BE49-F238E27FC236}">
              <a16:creationId xmlns:a16="http://schemas.microsoft.com/office/drawing/2014/main" id="{00000000-0008-0000-0800-0000C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7" name="Text Box 30">
          <a:extLst>
            <a:ext uri="{FF2B5EF4-FFF2-40B4-BE49-F238E27FC236}">
              <a16:creationId xmlns:a16="http://schemas.microsoft.com/office/drawing/2014/main" id="{00000000-0008-0000-0800-0000C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8" name="Text Box 31">
          <a:extLst>
            <a:ext uri="{FF2B5EF4-FFF2-40B4-BE49-F238E27FC236}">
              <a16:creationId xmlns:a16="http://schemas.microsoft.com/office/drawing/2014/main" id="{00000000-0008-0000-0800-0000C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9" name="Text Box 32">
          <a:extLst>
            <a:ext uri="{FF2B5EF4-FFF2-40B4-BE49-F238E27FC236}">
              <a16:creationId xmlns:a16="http://schemas.microsoft.com/office/drawing/2014/main" id="{00000000-0008-0000-0800-0000C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0" name="Text Box 33">
          <a:extLst>
            <a:ext uri="{FF2B5EF4-FFF2-40B4-BE49-F238E27FC236}">
              <a16:creationId xmlns:a16="http://schemas.microsoft.com/office/drawing/2014/main" id="{00000000-0008-0000-0800-0000C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1" name="Text Box 34">
          <a:extLst>
            <a:ext uri="{FF2B5EF4-FFF2-40B4-BE49-F238E27FC236}">
              <a16:creationId xmlns:a16="http://schemas.microsoft.com/office/drawing/2014/main" id="{00000000-0008-0000-0800-0000C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2" name="Text Box 35">
          <a:extLst>
            <a:ext uri="{FF2B5EF4-FFF2-40B4-BE49-F238E27FC236}">
              <a16:creationId xmlns:a16="http://schemas.microsoft.com/office/drawing/2014/main" id="{00000000-0008-0000-0800-0000C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3" name="Text Box 36">
          <a:extLst>
            <a:ext uri="{FF2B5EF4-FFF2-40B4-BE49-F238E27FC236}">
              <a16:creationId xmlns:a16="http://schemas.microsoft.com/office/drawing/2014/main" id="{00000000-0008-0000-0800-0000C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4" name="Text Box 37">
          <a:extLst>
            <a:ext uri="{FF2B5EF4-FFF2-40B4-BE49-F238E27FC236}">
              <a16:creationId xmlns:a16="http://schemas.microsoft.com/office/drawing/2014/main" id="{00000000-0008-0000-0800-0000C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5" name="Text Box 38">
          <a:extLst>
            <a:ext uri="{FF2B5EF4-FFF2-40B4-BE49-F238E27FC236}">
              <a16:creationId xmlns:a16="http://schemas.microsoft.com/office/drawing/2014/main" id="{00000000-0008-0000-0800-0000C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6" name="Text Box 39">
          <a:extLst>
            <a:ext uri="{FF2B5EF4-FFF2-40B4-BE49-F238E27FC236}">
              <a16:creationId xmlns:a16="http://schemas.microsoft.com/office/drawing/2014/main" id="{00000000-0008-0000-0800-0000D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7" name="Text Box 40">
          <a:extLst>
            <a:ext uri="{FF2B5EF4-FFF2-40B4-BE49-F238E27FC236}">
              <a16:creationId xmlns:a16="http://schemas.microsoft.com/office/drawing/2014/main" id="{00000000-0008-0000-0800-0000D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8" name="Text Box 41">
          <a:extLst>
            <a:ext uri="{FF2B5EF4-FFF2-40B4-BE49-F238E27FC236}">
              <a16:creationId xmlns:a16="http://schemas.microsoft.com/office/drawing/2014/main" id="{00000000-0008-0000-0800-0000D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9" name="Text Box 42">
          <a:extLst>
            <a:ext uri="{FF2B5EF4-FFF2-40B4-BE49-F238E27FC236}">
              <a16:creationId xmlns:a16="http://schemas.microsoft.com/office/drawing/2014/main" id="{00000000-0008-0000-0800-0000D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0" name="Text Box 43">
          <a:extLst>
            <a:ext uri="{FF2B5EF4-FFF2-40B4-BE49-F238E27FC236}">
              <a16:creationId xmlns:a16="http://schemas.microsoft.com/office/drawing/2014/main" id="{00000000-0008-0000-0800-0000D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1" name="Text Box 44">
          <a:extLst>
            <a:ext uri="{FF2B5EF4-FFF2-40B4-BE49-F238E27FC236}">
              <a16:creationId xmlns:a16="http://schemas.microsoft.com/office/drawing/2014/main" id="{00000000-0008-0000-0800-0000D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2" name="Text Box 45">
          <a:extLst>
            <a:ext uri="{FF2B5EF4-FFF2-40B4-BE49-F238E27FC236}">
              <a16:creationId xmlns:a16="http://schemas.microsoft.com/office/drawing/2014/main" id="{00000000-0008-0000-0800-0000D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3" name="Text Box 46">
          <a:extLst>
            <a:ext uri="{FF2B5EF4-FFF2-40B4-BE49-F238E27FC236}">
              <a16:creationId xmlns:a16="http://schemas.microsoft.com/office/drawing/2014/main" id="{00000000-0008-0000-0800-0000D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4" name="Text Box 47">
          <a:extLst>
            <a:ext uri="{FF2B5EF4-FFF2-40B4-BE49-F238E27FC236}">
              <a16:creationId xmlns:a16="http://schemas.microsoft.com/office/drawing/2014/main" id="{00000000-0008-0000-0800-0000D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5" name="Text Box 48">
          <a:extLst>
            <a:ext uri="{FF2B5EF4-FFF2-40B4-BE49-F238E27FC236}">
              <a16:creationId xmlns:a16="http://schemas.microsoft.com/office/drawing/2014/main" id="{00000000-0008-0000-0800-0000D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6" name="Text Box 49">
          <a:extLst>
            <a:ext uri="{FF2B5EF4-FFF2-40B4-BE49-F238E27FC236}">
              <a16:creationId xmlns:a16="http://schemas.microsoft.com/office/drawing/2014/main" id="{00000000-0008-0000-0800-0000D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7" name="Text Box 50">
          <a:extLst>
            <a:ext uri="{FF2B5EF4-FFF2-40B4-BE49-F238E27FC236}">
              <a16:creationId xmlns:a16="http://schemas.microsoft.com/office/drawing/2014/main" id="{00000000-0008-0000-0800-0000D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8" name="Text Box 51">
          <a:extLst>
            <a:ext uri="{FF2B5EF4-FFF2-40B4-BE49-F238E27FC236}">
              <a16:creationId xmlns:a16="http://schemas.microsoft.com/office/drawing/2014/main" id="{00000000-0008-0000-0800-0000D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9" name="Text Box 52">
          <a:extLst>
            <a:ext uri="{FF2B5EF4-FFF2-40B4-BE49-F238E27FC236}">
              <a16:creationId xmlns:a16="http://schemas.microsoft.com/office/drawing/2014/main" id="{00000000-0008-0000-0800-0000D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0" name="Text Box 53">
          <a:extLst>
            <a:ext uri="{FF2B5EF4-FFF2-40B4-BE49-F238E27FC236}">
              <a16:creationId xmlns:a16="http://schemas.microsoft.com/office/drawing/2014/main" id="{00000000-0008-0000-0800-0000D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1" name="Text Box 54">
          <a:extLst>
            <a:ext uri="{FF2B5EF4-FFF2-40B4-BE49-F238E27FC236}">
              <a16:creationId xmlns:a16="http://schemas.microsoft.com/office/drawing/2014/main" id="{00000000-0008-0000-0800-0000D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2" name="Text Box 55">
          <a:extLst>
            <a:ext uri="{FF2B5EF4-FFF2-40B4-BE49-F238E27FC236}">
              <a16:creationId xmlns:a16="http://schemas.microsoft.com/office/drawing/2014/main" id="{00000000-0008-0000-0800-0000E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3" name="Text Box 56">
          <a:extLst>
            <a:ext uri="{FF2B5EF4-FFF2-40B4-BE49-F238E27FC236}">
              <a16:creationId xmlns:a16="http://schemas.microsoft.com/office/drawing/2014/main" id="{00000000-0008-0000-0800-0000E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4" name="Text Box 57">
          <a:extLst>
            <a:ext uri="{FF2B5EF4-FFF2-40B4-BE49-F238E27FC236}">
              <a16:creationId xmlns:a16="http://schemas.microsoft.com/office/drawing/2014/main" id="{00000000-0008-0000-0800-0000E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5" name="Text Box 58">
          <a:extLst>
            <a:ext uri="{FF2B5EF4-FFF2-40B4-BE49-F238E27FC236}">
              <a16:creationId xmlns:a16="http://schemas.microsoft.com/office/drawing/2014/main" id="{00000000-0008-0000-0800-0000E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6" name="Text Box 59">
          <a:extLst>
            <a:ext uri="{FF2B5EF4-FFF2-40B4-BE49-F238E27FC236}">
              <a16:creationId xmlns:a16="http://schemas.microsoft.com/office/drawing/2014/main" id="{00000000-0008-0000-0800-0000E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7" name="Text Box 60">
          <a:extLst>
            <a:ext uri="{FF2B5EF4-FFF2-40B4-BE49-F238E27FC236}">
              <a16:creationId xmlns:a16="http://schemas.microsoft.com/office/drawing/2014/main" id="{00000000-0008-0000-0800-0000E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8" name="Text Box 61">
          <a:extLst>
            <a:ext uri="{FF2B5EF4-FFF2-40B4-BE49-F238E27FC236}">
              <a16:creationId xmlns:a16="http://schemas.microsoft.com/office/drawing/2014/main" id="{00000000-0008-0000-0800-0000E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9" name="Text Box 62">
          <a:extLst>
            <a:ext uri="{FF2B5EF4-FFF2-40B4-BE49-F238E27FC236}">
              <a16:creationId xmlns:a16="http://schemas.microsoft.com/office/drawing/2014/main" id="{00000000-0008-0000-0800-0000E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0" name="Text Box 63">
          <a:extLst>
            <a:ext uri="{FF2B5EF4-FFF2-40B4-BE49-F238E27FC236}">
              <a16:creationId xmlns:a16="http://schemas.microsoft.com/office/drawing/2014/main" id="{00000000-0008-0000-0800-0000E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1" name="Text Box 64">
          <a:extLst>
            <a:ext uri="{FF2B5EF4-FFF2-40B4-BE49-F238E27FC236}">
              <a16:creationId xmlns:a16="http://schemas.microsoft.com/office/drawing/2014/main" id="{00000000-0008-0000-0800-0000E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2" name="Text Box 65">
          <a:extLst>
            <a:ext uri="{FF2B5EF4-FFF2-40B4-BE49-F238E27FC236}">
              <a16:creationId xmlns:a16="http://schemas.microsoft.com/office/drawing/2014/main" id="{00000000-0008-0000-0800-0000E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3" name="Text Box 66">
          <a:extLst>
            <a:ext uri="{FF2B5EF4-FFF2-40B4-BE49-F238E27FC236}">
              <a16:creationId xmlns:a16="http://schemas.microsoft.com/office/drawing/2014/main" id="{00000000-0008-0000-0800-0000E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4" name="Text Box 67">
          <a:extLst>
            <a:ext uri="{FF2B5EF4-FFF2-40B4-BE49-F238E27FC236}">
              <a16:creationId xmlns:a16="http://schemas.microsoft.com/office/drawing/2014/main" id="{00000000-0008-0000-0800-0000E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5" name="Text Box 68">
          <a:extLst>
            <a:ext uri="{FF2B5EF4-FFF2-40B4-BE49-F238E27FC236}">
              <a16:creationId xmlns:a16="http://schemas.microsoft.com/office/drawing/2014/main" id="{00000000-0008-0000-0800-0000E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6" name="Text Box 69">
          <a:extLst>
            <a:ext uri="{FF2B5EF4-FFF2-40B4-BE49-F238E27FC236}">
              <a16:creationId xmlns:a16="http://schemas.microsoft.com/office/drawing/2014/main" id="{00000000-0008-0000-0800-0000E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7" name="Text Box 70">
          <a:extLst>
            <a:ext uri="{FF2B5EF4-FFF2-40B4-BE49-F238E27FC236}">
              <a16:creationId xmlns:a16="http://schemas.microsoft.com/office/drawing/2014/main" id="{00000000-0008-0000-0800-0000E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8" name="Text Box 71">
          <a:extLst>
            <a:ext uri="{FF2B5EF4-FFF2-40B4-BE49-F238E27FC236}">
              <a16:creationId xmlns:a16="http://schemas.microsoft.com/office/drawing/2014/main" id="{00000000-0008-0000-0800-0000F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9" name="Text Box 72">
          <a:extLst>
            <a:ext uri="{FF2B5EF4-FFF2-40B4-BE49-F238E27FC236}">
              <a16:creationId xmlns:a16="http://schemas.microsoft.com/office/drawing/2014/main" id="{00000000-0008-0000-0800-0000F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0" name="Text Box 73">
          <a:extLst>
            <a:ext uri="{FF2B5EF4-FFF2-40B4-BE49-F238E27FC236}">
              <a16:creationId xmlns:a16="http://schemas.microsoft.com/office/drawing/2014/main" id="{00000000-0008-0000-0800-0000F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1" name="Text Box 74">
          <a:extLst>
            <a:ext uri="{FF2B5EF4-FFF2-40B4-BE49-F238E27FC236}">
              <a16:creationId xmlns:a16="http://schemas.microsoft.com/office/drawing/2014/main" id="{00000000-0008-0000-0800-0000F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2" name="Text Box 75">
          <a:extLst>
            <a:ext uri="{FF2B5EF4-FFF2-40B4-BE49-F238E27FC236}">
              <a16:creationId xmlns:a16="http://schemas.microsoft.com/office/drawing/2014/main" id="{00000000-0008-0000-0800-0000F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3" name="Text Box 76">
          <a:extLst>
            <a:ext uri="{FF2B5EF4-FFF2-40B4-BE49-F238E27FC236}">
              <a16:creationId xmlns:a16="http://schemas.microsoft.com/office/drawing/2014/main" id="{00000000-0008-0000-0800-0000F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4" name="Text Box 77">
          <a:extLst>
            <a:ext uri="{FF2B5EF4-FFF2-40B4-BE49-F238E27FC236}">
              <a16:creationId xmlns:a16="http://schemas.microsoft.com/office/drawing/2014/main" id="{00000000-0008-0000-0800-0000F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5" name="Text Box 78">
          <a:extLst>
            <a:ext uri="{FF2B5EF4-FFF2-40B4-BE49-F238E27FC236}">
              <a16:creationId xmlns:a16="http://schemas.microsoft.com/office/drawing/2014/main" id="{00000000-0008-0000-0800-0000F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6" name="Text Box 79">
          <a:extLst>
            <a:ext uri="{FF2B5EF4-FFF2-40B4-BE49-F238E27FC236}">
              <a16:creationId xmlns:a16="http://schemas.microsoft.com/office/drawing/2014/main" id="{00000000-0008-0000-0800-0000F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7" name="Text Box 80">
          <a:extLst>
            <a:ext uri="{FF2B5EF4-FFF2-40B4-BE49-F238E27FC236}">
              <a16:creationId xmlns:a16="http://schemas.microsoft.com/office/drawing/2014/main" id="{00000000-0008-0000-0800-0000F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8" name="Text Box 81">
          <a:extLst>
            <a:ext uri="{FF2B5EF4-FFF2-40B4-BE49-F238E27FC236}">
              <a16:creationId xmlns:a16="http://schemas.microsoft.com/office/drawing/2014/main" id="{00000000-0008-0000-0800-0000F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9" name="Text Box 82">
          <a:extLst>
            <a:ext uri="{FF2B5EF4-FFF2-40B4-BE49-F238E27FC236}">
              <a16:creationId xmlns:a16="http://schemas.microsoft.com/office/drawing/2014/main" id="{00000000-0008-0000-0800-0000F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0" name="Text Box 83">
          <a:extLst>
            <a:ext uri="{FF2B5EF4-FFF2-40B4-BE49-F238E27FC236}">
              <a16:creationId xmlns:a16="http://schemas.microsoft.com/office/drawing/2014/main" id="{00000000-0008-0000-0800-0000F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1" name="Text Box 84">
          <a:extLst>
            <a:ext uri="{FF2B5EF4-FFF2-40B4-BE49-F238E27FC236}">
              <a16:creationId xmlns:a16="http://schemas.microsoft.com/office/drawing/2014/main" id="{00000000-0008-0000-0800-0000F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2" name="Text Box 85">
          <a:extLst>
            <a:ext uri="{FF2B5EF4-FFF2-40B4-BE49-F238E27FC236}">
              <a16:creationId xmlns:a16="http://schemas.microsoft.com/office/drawing/2014/main" id="{00000000-0008-0000-0800-0000F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3" name="Text Box 86">
          <a:extLst>
            <a:ext uri="{FF2B5EF4-FFF2-40B4-BE49-F238E27FC236}">
              <a16:creationId xmlns:a16="http://schemas.microsoft.com/office/drawing/2014/main" id="{00000000-0008-0000-0800-0000F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4" name="Text Box 87">
          <a:extLst>
            <a:ext uri="{FF2B5EF4-FFF2-40B4-BE49-F238E27FC236}">
              <a16:creationId xmlns:a16="http://schemas.microsoft.com/office/drawing/2014/main" id="{00000000-0008-0000-0800-00000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5" name="Text Box 88">
          <a:extLst>
            <a:ext uri="{FF2B5EF4-FFF2-40B4-BE49-F238E27FC236}">
              <a16:creationId xmlns:a16="http://schemas.microsoft.com/office/drawing/2014/main" id="{00000000-0008-0000-0800-00000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6" name="Text Box 89">
          <a:extLst>
            <a:ext uri="{FF2B5EF4-FFF2-40B4-BE49-F238E27FC236}">
              <a16:creationId xmlns:a16="http://schemas.microsoft.com/office/drawing/2014/main" id="{00000000-0008-0000-0800-00000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7" name="Text Box 90">
          <a:extLst>
            <a:ext uri="{FF2B5EF4-FFF2-40B4-BE49-F238E27FC236}">
              <a16:creationId xmlns:a16="http://schemas.microsoft.com/office/drawing/2014/main" id="{00000000-0008-0000-0800-00000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8" name="Text Box 91">
          <a:extLst>
            <a:ext uri="{FF2B5EF4-FFF2-40B4-BE49-F238E27FC236}">
              <a16:creationId xmlns:a16="http://schemas.microsoft.com/office/drawing/2014/main" id="{00000000-0008-0000-0800-00000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9" name="Text Box 92">
          <a:extLst>
            <a:ext uri="{FF2B5EF4-FFF2-40B4-BE49-F238E27FC236}">
              <a16:creationId xmlns:a16="http://schemas.microsoft.com/office/drawing/2014/main" id="{00000000-0008-0000-0800-00000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0" name="Text Box 93">
          <a:extLst>
            <a:ext uri="{FF2B5EF4-FFF2-40B4-BE49-F238E27FC236}">
              <a16:creationId xmlns:a16="http://schemas.microsoft.com/office/drawing/2014/main" id="{00000000-0008-0000-0800-00000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1" name="Text Box 94">
          <a:extLst>
            <a:ext uri="{FF2B5EF4-FFF2-40B4-BE49-F238E27FC236}">
              <a16:creationId xmlns:a16="http://schemas.microsoft.com/office/drawing/2014/main" id="{00000000-0008-0000-0800-00000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2" name="Text Box 95">
          <a:extLst>
            <a:ext uri="{FF2B5EF4-FFF2-40B4-BE49-F238E27FC236}">
              <a16:creationId xmlns:a16="http://schemas.microsoft.com/office/drawing/2014/main" id="{00000000-0008-0000-0800-00000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3" name="Text Box 96">
          <a:extLst>
            <a:ext uri="{FF2B5EF4-FFF2-40B4-BE49-F238E27FC236}">
              <a16:creationId xmlns:a16="http://schemas.microsoft.com/office/drawing/2014/main" id="{00000000-0008-0000-0800-00000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4" name="Text Box 97">
          <a:extLst>
            <a:ext uri="{FF2B5EF4-FFF2-40B4-BE49-F238E27FC236}">
              <a16:creationId xmlns:a16="http://schemas.microsoft.com/office/drawing/2014/main" id="{00000000-0008-0000-0800-00000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5" name="Text Box 100">
          <a:extLst>
            <a:ext uri="{FF2B5EF4-FFF2-40B4-BE49-F238E27FC236}">
              <a16:creationId xmlns:a16="http://schemas.microsoft.com/office/drawing/2014/main" id="{00000000-0008-0000-0800-00000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6" name="Text Box 101">
          <a:extLst>
            <a:ext uri="{FF2B5EF4-FFF2-40B4-BE49-F238E27FC236}">
              <a16:creationId xmlns:a16="http://schemas.microsoft.com/office/drawing/2014/main" id="{00000000-0008-0000-0800-00000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7" name="Text Box 102">
          <a:extLst>
            <a:ext uri="{FF2B5EF4-FFF2-40B4-BE49-F238E27FC236}">
              <a16:creationId xmlns:a16="http://schemas.microsoft.com/office/drawing/2014/main" id="{00000000-0008-0000-0800-00000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8" name="Text Box 103">
          <a:extLst>
            <a:ext uri="{FF2B5EF4-FFF2-40B4-BE49-F238E27FC236}">
              <a16:creationId xmlns:a16="http://schemas.microsoft.com/office/drawing/2014/main" id="{00000000-0008-0000-0800-00000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9" name="Text Box 104">
          <a:extLst>
            <a:ext uri="{FF2B5EF4-FFF2-40B4-BE49-F238E27FC236}">
              <a16:creationId xmlns:a16="http://schemas.microsoft.com/office/drawing/2014/main" id="{00000000-0008-0000-0800-00000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0" name="Text Box 105">
          <a:extLst>
            <a:ext uri="{FF2B5EF4-FFF2-40B4-BE49-F238E27FC236}">
              <a16:creationId xmlns:a16="http://schemas.microsoft.com/office/drawing/2014/main" id="{00000000-0008-0000-0800-00001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1" name="Text Box 106">
          <a:extLst>
            <a:ext uri="{FF2B5EF4-FFF2-40B4-BE49-F238E27FC236}">
              <a16:creationId xmlns:a16="http://schemas.microsoft.com/office/drawing/2014/main" id="{00000000-0008-0000-0800-00001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2" name="Text Box 107">
          <a:extLst>
            <a:ext uri="{FF2B5EF4-FFF2-40B4-BE49-F238E27FC236}">
              <a16:creationId xmlns:a16="http://schemas.microsoft.com/office/drawing/2014/main" id="{00000000-0008-0000-0800-00001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3" name="Text Box 108">
          <a:extLst>
            <a:ext uri="{FF2B5EF4-FFF2-40B4-BE49-F238E27FC236}">
              <a16:creationId xmlns:a16="http://schemas.microsoft.com/office/drawing/2014/main" id="{00000000-0008-0000-0800-00001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4" name="Text Box 109">
          <a:extLst>
            <a:ext uri="{FF2B5EF4-FFF2-40B4-BE49-F238E27FC236}">
              <a16:creationId xmlns:a16="http://schemas.microsoft.com/office/drawing/2014/main" id="{00000000-0008-0000-0800-00001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5" name="Text Box 110">
          <a:extLst>
            <a:ext uri="{FF2B5EF4-FFF2-40B4-BE49-F238E27FC236}">
              <a16:creationId xmlns:a16="http://schemas.microsoft.com/office/drawing/2014/main" id="{00000000-0008-0000-0800-00001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6" name="Text Box 111">
          <a:extLst>
            <a:ext uri="{FF2B5EF4-FFF2-40B4-BE49-F238E27FC236}">
              <a16:creationId xmlns:a16="http://schemas.microsoft.com/office/drawing/2014/main" id="{00000000-0008-0000-0800-00001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7" name="Text Box 119">
          <a:extLst>
            <a:ext uri="{FF2B5EF4-FFF2-40B4-BE49-F238E27FC236}">
              <a16:creationId xmlns:a16="http://schemas.microsoft.com/office/drawing/2014/main" id="{00000000-0008-0000-0800-00001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8" name="Text Box 120">
          <a:extLst>
            <a:ext uri="{FF2B5EF4-FFF2-40B4-BE49-F238E27FC236}">
              <a16:creationId xmlns:a16="http://schemas.microsoft.com/office/drawing/2014/main" id="{00000000-0008-0000-0800-00001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9" name="Text Box 121">
          <a:extLst>
            <a:ext uri="{FF2B5EF4-FFF2-40B4-BE49-F238E27FC236}">
              <a16:creationId xmlns:a16="http://schemas.microsoft.com/office/drawing/2014/main" id="{00000000-0008-0000-0800-00001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0" name="Text Box 122">
          <a:extLst>
            <a:ext uri="{FF2B5EF4-FFF2-40B4-BE49-F238E27FC236}">
              <a16:creationId xmlns:a16="http://schemas.microsoft.com/office/drawing/2014/main" id="{00000000-0008-0000-0800-00001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1" name="Text Box 123">
          <a:extLst>
            <a:ext uri="{FF2B5EF4-FFF2-40B4-BE49-F238E27FC236}">
              <a16:creationId xmlns:a16="http://schemas.microsoft.com/office/drawing/2014/main" id="{00000000-0008-0000-0800-00001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2" name="Text Box 124">
          <a:extLst>
            <a:ext uri="{FF2B5EF4-FFF2-40B4-BE49-F238E27FC236}">
              <a16:creationId xmlns:a16="http://schemas.microsoft.com/office/drawing/2014/main" id="{00000000-0008-0000-0800-00001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3" name="Text Box 125">
          <a:extLst>
            <a:ext uri="{FF2B5EF4-FFF2-40B4-BE49-F238E27FC236}">
              <a16:creationId xmlns:a16="http://schemas.microsoft.com/office/drawing/2014/main" id="{00000000-0008-0000-0800-00001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4" name="Text Box 126">
          <a:extLst>
            <a:ext uri="{FF2B5EF4-FFF2-40B4-BE49-F238E27FC236}">
              <a16:creationId xmlns:a16="http://schemas.microsoft.com/office/drawing/2014/main" id="{00000000-0008-0000-0800-00001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5" name="Text Box 127">
          <a:extLst>
            <a:ext uri="{FF2B5EF4-FFF2-40B4-BE49-F238E27FC236}">
              <a16:creationId xmlns:a16="http://schemas.microsoft.com/office/drawing/2014/main" id="{00000000-0008-0000-0800-00001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6" name="Text Box 128">
          <a:extLst>
            <a:ext uri="{FF2B5EF4-FFF2-40B4-BE49-F238E27FC236}">
              <a16:creationId xmlns:a16="http://schemas.microsoft.com/office/drawing/2014/main" id="{00000000-0008-0000-0800-00002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7" name="Text Box 129">
          <a:extLst>
            <a:ext uri="{FF2B5EF4-FFF2-40B4-BE49-F238E27FC236}">
              <a16:creationId xmlns:a16="http://schemas.microsoft.com/office/drawing/2014/main" id="{00000000-0008-0000-0800-00002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8" name="Text Box 130">
          <a:extLst>
            <a:ext uri="{FF2B5EF4-FFF2-40B4-BE49-F238E27FC236}">
              <a16:creationId xmlns:a16="http://schemas.microsoft.com/office/drawing/2014/main" id="{00000000-0008-0000-0800-00002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39" name="Text Box 133">
          <a:extLst>
            <a:ext uri="{FF2B5EF4-FFF2-40B4-BE49-F238E27FC236}">
              <a16:creationId xmlns:a16="http://schemas.microsoft.com/office/drawing/2014/main" id="{00000000-0008-0000-0800-00002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0" name="Text Box 134">
          <a:extLst>
            <a:ext uri="{FF2B5EF4-FFF2-40B4-BE49-F238E27FC236}">
              <a16:creationId xmlns:a16="http://schemas.microsoft.com/office/drawing/2014/main" id="{00000000-0008-0000-0800-00002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1" name="Text Box 135">
          <a:extLst>
            <a:ext uri="{FF2B5EF4-FFF2-40B4-BE49-F238E27FC236}">
              <a16:creationId xmlns:a16="http://schemas.microsoft.com/office/drawing/2014/main" id="{00000000-0008-0000-0800-00002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2" name="Text Box 136">
          <a:extLst>
            <a:ext uri="{FF2B5EF4-FFF2-40B4-BE49-F238E27FC236}">
              <a16:creationId xmlns:a16="http://schemas.microsoft.com/office/drawing/2014/main" id="{00000000-0008-0000-0800-00002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3" name="Text Box 137">
          <a:extLst>
            <a:ext uri="{FF2B5EF4-FFF2-40B4-BE49-F238E27FC236}">
              <a16:creationId xmlns:a16="http://schemas.microsoft.com/office/drawing/2014/main" id="{00000000-0008-0000-0800-00002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4" name="Text Box 138">
          <a:extLst>
            <a:ext uri="{FF2B5EF4-FFF2-40B4-BE49-F238E27FC236}">
              <a16:creationId xmlns:a16="http://schemas.microsoft.com/office/drawing/2014/main" id="{00000000-0008-0000-0800-00002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5" name="Text Box 139">
          <a:extLst>
            <a:ext uri="{FF2B5EF4-FFF2-40B4-BE49-F238E27FC236}">
              <a16:creationId xmlns:a16="http://schemas.microsoft.com/office/drawing/2014/main" id="{00000000-0008-0000-0800-00002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6" name="Text Box 140">
          <a:extLst>
            <a:ext uri="{FF2B5EF4-FFF2-40B4-BE49-F238E27FC236}">
              <a16:creationId xmlns:a16="http://schemas.microsoft.com/office/drawing/2014/main" id="{00000000-0008-0000-0800-00002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7" name="Text Box 141">
          <a:extLst>
            <a:ext uri="{FF2B5EF4-FFF2-40B4-BE49-F238E27FC236}">
              <a16:creationId xmlns:a16="http://schemas.microsoft.com/office/drawing/2014/main" id="{00000000-0008-0000-0800-00002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8" name="Text Box 142">
          <a:extLst>
            <a:ext uri="{FF2B5EF4-FFF2-40B4-BE49-F238E27FC236}">
              <a16:creationId xmlns:a16="http://schemas.microsoft.com/office/drawing/2014/main" id="{00000000-0008-0000-0800-00002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9" name="Text Box 143">
          <a:extLst>
            <a:ext uri="{FF2B5EF4-FFF2-40B4-BE49-F238E27FC236}">
              <a16:creationId xmlns:a16="http://schemas.microsoft.com/office/drawing/2014/main" id="{00000000-0008-0000-0800-00002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0" name="Text Box 144">
          <a:extLst>
            <a:ext uri="{FF2B5EF4-FFF2-40B4-BE49-F238E27FC236}">
              <a16:creationId xmlns:a16="http://schemas.microsoft.com/office/drawing/2014/main" id="{00000000-0008-0000-0800-00002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1" name="Text Box 145">
          <a:extLst>
            <a:ext uri="{FF2B5EF4-FFF2-40B4-BE49-F238E27FC236}">
              <a16:creationId xmlns:a16="http://schemas.microsoft.com/office/drawing/2014/main" id="{00000000-0008-0000-0800-00002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2" name="Text Box 146">
          <a:extLst>
            <a:ext uri="{FF2B5EF4-FFF2-40B4-BE49-F238E27FC236}">
              <a16:creationId xmlns:a16="http://schemas.microsoft.com/office/drawing/2014/main" id="{00000000-0008-0000-0800-00003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3" name="Text Box 147">
          <a:extLst>
            <a:ext uri="{FF2B5EF4-FFF2-40B4-BE49-F238E27FC236}">
              <a16:creationId xmlns:a16="http://schemas.microsoft.com/office/drawing/2014/main" id="{00000000-0008-0000-0800-00003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4" name="Text Box 148">
          <a:extLst>
            <a:ext uri="{FF2B5EF4-FFF2-40B4-BE49-F238E27FC236}">
              <a16:creationId xmlns:a16="http://schemas.microsoft.com/office/drawing/2014/main" id="{00000000-0008-0000-0800-00003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5" name="Text Box 149">
          <a:extLst>
            <a:ext uri="{FF2B5EF4-FFF2-40B4-BE49-F238E27FC236}">
              <a16:creationId xmlns:a16="http://schemas.microsoft.com/office/drawing/2014/main" id="{00000000-0008-0000-0800-00003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6" name="Text Box 150">
          <a:extLst>
            <a:ext uri="{FF2B5EF4-FFF2-40B4-BE49-F238E27FC236}">
              <a16:creationId xmlns:a16="http://schemas.microsoft.com/office/drawing/2014/main" id="{00000000-0008-0000-0800-00003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7" name="Text Box 151">
          <a:extLst>
            <a:ext uri="{FF2B5EF4-FFF2-40B4-BE49-F238E27FC236}">
              <a16:creationId xmlns:a16="http://schemas.microsoft.com/office/drawing/2014/main" id="{00000000-0008-0000-0800-00003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8" name="Text Box 152">
          <a:extLst>
            <a:ext uri="{FF2B5EF4-FFF2-40B4-BE49-F238E27FC236}">
              <a16:creationId xmlns:a16="http://schemas.microsoft.com/office/drawing/2014/main" id="{00000000-0008-0000-0800-00003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9" name="Text Box 153">
          <a:extLst>
            <a:ext uri="{FF2B5EF4-FFF2-40B4-BE49-F238E27FC236}">
              <a16:creationId xmlns:a16="http://schemas.microsoft.com/office/drawing/2014/main" id="{00000000-0008-0000-0800-00003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0" name="Text Box 154">
          <a:extLst>
            <a:ext uri="{FF2B5EF4-FFF2-40B4-BE49-F238E27FC236}">
              <a16:creationId xmlns:a16="http://schemas.microsoft.com/office/drawing/2014/main" id="{00000000-0008-0000-0800-00003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1" name="Text Box 155">
          <a:extLst>
            <a:ext uri="{FF2B5EF4-FFF2-40B4-BE49-F238E27FC236}">
              <a16:creationId xmlns:a16="http://schemas.microsoft.com/office/drawing/2014/main" id="{00000000-0008-0000-0800-00003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2" name="Text Box 156">
          <a:extLst>
            <a:ext uri="{FF2B5EF4-FFF2-40B4-BE49-F238E27FC236}">
              <a16:creationId xmlns:a16="http://schemas.microsoft.com/office/drawing/2014/main" id="{00000000-0008-0000-0800-00003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3" name="Text Box 157">
          <a:extLst>
            <a:ext uri="{FF2B5EF4-FFF2-40B4-BE49-F238E27FC236}">
              <a16:creationId xmlns:a16="http://schemas.microsoft.com/office/drawing/2014/main" id="{00000000-0008-0000-0800-00003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4" name="Text Box 158">
          <a:extLst>
            <a:ext uri="{FF2B5EF4-FFF2-40B4-BE49-F238E27FC236}">
              <a16:creationId xmlns:a16="http://schemas.microsoft.com/office/drawing/2014/main" id="{00000000-0008-0000-0800-00003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5" name="Text Box 159">
          <a:extLst>
            <a:ext uri="{FF2B5EF4-FFF2-40B4-BE49-F238E27FC236}">
              <a16:creationId xmlns:a16="http://schemas.microsoft.com/office/drawing/2014/main" id="{00000000-0008-0000-0800-00003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6" name="Text Box 160">
          <a:extLst>
            <a:ext uri="{FF2B5EF4-FFF2-40B4-BE49-F238E27FC236}">
              <a16:creationId xmlns:a16="http://schemas.microsoft.com/office/drawing/2014/main" id="{00000000-0008-0000-0800-00003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7" name="Text Box 161">
          <a:extLst>
            <a:ext uri="{FF2B5EF4-FFF2-40B4-BE49-F238E27FC236}">
              <a16:creationId xmlns:a16="http://schemas.microsoft.com/office/drawing/2014/main" id="{00000000-0008-0000-0800-00003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8" name="Text Box 162">
          <a:extLst>
            <a:ext uri="{FF2B5EF4-FFF2-40B4-BE49-F238E27FC236}">
              <a16:creationId xmlns:a16="http://schemas.microsoft.com/office/drawing/2014/main" id="{00000000-0008-0000-0800-00004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9" name="Text Box 163">
          <a:extLst>
            <a:ext uri="{FF2B5EF4-FFF2-40B4-BE49-F238E27FC236}">
              <a16:creationId xmlns:a16="http://schemas.microsoft.com/office/drawing/2014/main" id="{00000000-0008-0000-0800-00004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0" name="Text Box 164">
          <a:extLst>
            <a:ext uri="{FF2B5EF4-FFF2-40B4-BE49-F238E27FC236}">
              <a16:creationId xmlns:a16="http://schemas.microsoft.com/office/drawing/2014/main" id="{00000000-0008-0000-0800-00004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1" name="Text Box 165">
          <a:extLst>
            <a:ext uri="{FF2B5EF4-FFF2-40B4-BE49-F238E27FC236}">
              <a16:creationId xmlns:a16="http://schemas.microsoft.com/office/drawing/2014/main" id="{00000000-0008-0000-0800-00004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2" name="Text Box 166">
          <a:extLst>
            <a:ext uri="{FF2B5EF4-FFF2-40B4-BE49-F238E27FC236}">
              <a16:creationId xmlns:a16="http://schemas.microsoft.com/office/drawing/2014/main" id="{00000000-0008-0000-0800-00004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3" name="Text Box 167">
          <a:extLst>
            <a:ext uri="{FF2B5EF4-FFF2-40B4-BE49-F238E27FC236}">
              <a16:creationId xmlns:a16="http://schemas.microsoft.com/office/drawing/2014/main" id="{00000000-0008-0000-0800-00004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4" name="Text Box 168">
          <a:extLst>
            <a:ext uri="{FF2B5EF4-FFF2-40B4-BE49-F238E27FC236}">
              <a16:creationId xmlns:a16="http://schemas.microsoft.com/office/drawing/2014/main" id="{00000000-0008-0000-0800-00004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5" name="Text Box 169">
          <a:extLst>
            <a:ext uri="{FF2B5EF4-FFF2-40B4-BE49-F238E27FC236}">
              <a16:creationId xmlns:a16="http://schemas.microsoft.com/office/drawing/2014/main" id="{00000000-0008-0000-0800-00004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6" name="Text Box 170">
          <a:extLst>
            <a:ext uri="{FF2B5EF4-FFF2-40B4-BE49-F238E27FC236}">
              <a16:creationId xmlns:a16="http://schemas.microsoft.com/office/drawing/2014/main" id="{00000000-0008-0000-0800-00004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7" name="Text Box 171">
          <a:extLst>
            <a:ext uri="{FF2B5EF4-FFF2-40B4-BE49-F238E27FC236}">
              <a16:creationId xmlns:a16="http://schemas.microsoft.com/office/drawing/2014/main" id="{00000000-0008-0000-0800-00004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8" name="Text Box 172">
          <a:extLst>
            <a:ext uri="{FF2B5EF4-FFF2-40B4-BE49-F238E27FC236}">
              <a16:creationId xmlns:a16="http://schemas.microsoft.com/office/drawing/2014/main" id="{00000000-0008-0000-0800-00004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9" name="Text Box 173">
          <a:extLst>
            <a:ext uri="{FF2B5EF4-FFF2-40B4-BE49-F238E27FC236}">
              <a16:creationId xmlns:a16="http://schemas.microsoft.com/office/drawing/2014/main" id="{00000000-0008-0000-0800-00004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0" name="Text Box 174">
          <a:extLst>
            <a:ext uri="{FF2B5EF4-FFF2-40B4-BE49-F238E27FC236}">
              <a16:creationId xmlns:a16="http://schemas.microsoft.com/office/drawing/2014/main" id="{00000000-0008-0000-0800-00004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1" name="Text Box 175">
          <a:extLst>
            <a:ext uri="{FF2B5EF4-FFF2-40B4-BE49-F238E27FC236}">
              <a16:creationId xmlns:a16="http://schemas.microsoft.com/office/drawing/2014/main" id="{00000000-0008-0000-0800-00004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2" name="Text Box 176">
          <a:extLst>
            <a:ext uri="{FF2B5EF4-FFF2-40B4-BE49-F238E27FC236}">
              <a16:creationId xmlns:a16="http://schemas.microsoft.com/office/drawing/2014/main" id="{00000000-0008-0000-0800-00004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3" name="Text Box 177">
          <a:extLst>
            <a:ext uri="{FF2B5EF4-FFF2-40B4-BE49-F238E27FC236}">
              <a16:creationId xmlns:a16="http://schemas.microsoft.com/office/drawing/2014/main" id="{00000000-0008-0000-0800-00004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4" name="Text Box 178">
          <a:extLst>
            <a:ext uri="{FF2B5EF4-FFF2-40B4-BE49-F238E27FC236}">
              <a16:creationId xmlns:a16="http://schemas.microsoft.com/office/drawing/2014/main" id="{00000000-0008-0000-0800-00005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5" name="Text Box 179">
          <a:extLst>
            <a:ext uri="{FF2B5EF4-FFF2-40B4-BE49-F238E27FC236}">
              <a16:creationId xmlns:a16="http://schemas.microsoft.com/office/drawing/2014/main" id="{00000000-0008-0000-0800-00005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6" name="Text Box 180">
          <a:extLst>
            <a:ext uri="{FF2B5EF4-FFF2-40B4-BE49-F238E27FC236}">
              <a16:creationId xmlns:a16="http://schemas.microsoft.com/office/drawing/2014/main" id="{00000000-0008-0000-0800-00005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7" name="Text Box 181">
          <a:extLst>
            <a:ext uri="{FF2B5EF4-FFF2-40B4-BE49-F238E27FC236}">
              <a16:creationId xmlns:a16="http://schemas.microsoft.com/office/drawing/2014/main" id="{00000000-0008-0000-0800-00005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8" name="Text Box 182">
          <a:extLst>
            <a:ext uri="{FF2B5EF4-FFF2-40B4-BE49-F238E27FC236}">
              <a16:creationId xmlns:a16="http://schemas.microsoft.com/office/drawing/2014/main" id="{00000000-0008-0000-0800-00005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9" name="Text Box 183">
          <a:extLst>
            <a:ext uri="{FF2B5EF4-FFF2-40B4-BE49-F238E27FC236}">
              <a16:creationId xmlns:a16="http://schemas.microsoft.com/office/drawing/2014/main" id="{00000000-0008-0000-0800-00005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0" name="Text Box 184">
          <a:extLst>
            <a:ext uri="{FF2B5EF4-FFF2-40B4-BE49-F238E27FC236}">
              <a16:creationId xmlns:a16="http://schemas.microsoft.com/office/drawing/2014/main" id="{00000000-0008-0000-0800-00005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1" name="Text Box 185">
          <a:extLst>
            <a:ext uri="{FF2B5EF4-FFF2-40B4-BE49-F238E27FC236}">
              <a16:creationId xmlns:a16="http://schemas.microsoft.com/office/drawing/2014/main" id="{00000000-0008-0000-0800-00005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2" name="Text Box 186">
          <a:extLst>
            <a:ext uri="{FF2B5EF4-FFF2-40B4-BE49-F238E27FC236}">
              <a16:creationId xmlns:a16="http://schemas.microsoft.com/office/drawing/2014/main" id="{00000000-0008-0000-0800-00005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3" name="Text Box 187">
          <a:extLst>
            <a:ext uri="{FF2B5EF4-FFF2-40B4-BE49-F238E27FC236}">
              <a16:creationId xmlns:a16="http://schemas.microsoft.com/office/drawing/2014/main" id="{00000000-0008-0000-0800-00005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4" name="Text Box 188">
          <a:extLst>
            <a:ext uri="{FF2B5EF4-FFF2-40B4-BE49-F238E27FC236}">
              <a16:creationId xmlns:a16="http://schemas.microsoft.com/office/drawing/2014/main" id="{00000000-0008-0000-0800-00005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5" name="Text Box 189">
          <a:extLst>
            <a:ext uri="{FF2B5EF4-FFF2-40B4-BE49-F238E27FC236}">
              <a16:creationId xmlns:a16="http://schemas.microsoft.com/office/drawing/2014/main" id="{00000000-0008-0000-0800-00005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6" name="Text Box 190">
          <a:extLst>
            <a:ext uri="{FF2B5EF4-FFF2-40B4-BE49-F238E27FC236}">
              <a16:creationId xmlns:a16="http://schemas.microsoft.com/office/drawing/2014/main" id="{00000000-0008-0000-0800-00005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7" name="Text Box 191">
          <a:extLst>
            <a:ext uri="{FF2B5EF4-FFF2-40B4-BE49-F238E27FC236}">
              <a16:creationId xmlns:a16="http://schemas.microsoft.com/office/drawing/2014/main" id="{00000000-0008-0000-0800-00005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8" name="Text Box 192">
          <a:extLst>
            <a:ext uri="{FF2B5EF4-FFF2-40B4-BE49-F238E27FC236}">
              <a16:creationId xmlns:a16="http://schemas.microsoft.com/office/drawing/2014/main" id="{00000000-0008-0000-0800-00005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9" name="Text Box 193">
          <a:extLst>
            <a:ext uri="{FF2B5EF4-FFF2-40B4-BE49-F238E27FC236}">
              <a16:creationId xmlns:a16="http://schemas.microsoft.com/office/drawing/2014/main" id="{00000000-0008-0000-0800-00005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0" name="Text Box 194">
          <a:extLst>
            <a:ext uri="{FF2B5EF4-FFF2-40B4-BE49-F238E27FC236}">
              <a16:creationId xmlns:a16="http://schemas.microsoft.com/office/drawing/2014/main" id="{00000000-0008-0000-0800-00006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1" name="Text Box 195">
          <a:extLst>
            <a:ext uri="{FF2B5EF4-FFF2-40B4-BE49-F238E27FC236}">
              <a16:creationId xmlns:a16="http://schemas.microsoft.com/office/drawing/2014/main" id="{00000000-0008-0000-0800-00006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2" name="Text Box 196">
          <a:extLst>
            <a:ext uri="{FF2B5EF4-FFF2-40B4-BE49-F238E27FC236}">
              <a16:creationId xmlns:a16="http://schemas.microsoft.com/office/drawing/2014/main" id="{00000000-0008-0000-0800-00006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3" name="Text Box 197">
          <a:extLst>
            <a:ext uri="{FF2B5EF4-FFF2-40B4-BE49-F238E27FC236}">
              <a16:creationId xmlns:a16="http://schemas.microsoft.com/office/drawing/2014/main" id="{00000000-0008-0000-0800-00006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4" name="Text Box 198">
          <a:extLst>
            <a:ext uri="{FF2B5EF4-FFF2-40B4-BE49-F238E27FC236}">
              <a16:creationId xmlns:a16="http://schemas.microsoft.com/office/drawing/2014/main" id="{00000000-0008-0000-0800-00006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5" name="Text Box 199">
          <a:extLst>
            <a:ext uri="{FF2B5EF4-FFF2-40B4-BE49-F238E27FC236}">
              <a16:creationId xmlns:a16="http://schemas.microsoft.com/office/drawing/2014/main" id="{00000000-0008-0000-0800-00006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6" name="Text Box 200">
          <a:extLst>
            <a:ext uri="{FF2B5EF4-FFF2-40B4-BE49-F238E27FC236}">
              <a16:creationId xmlns:a16="http://schemas.microsoft.com/office/drawing/2014/main" id="{00000000-0008-0000-0800-00006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7" name="Text Box 201">
          <a:extLst>
            <a:ext uri="{FF2B5EF4-FFF2-40B4-BE49-F238E27FC236}">
              <a16:creationId xmlns:a16="http://schemas.microsoft.com/office/drawing/2014/main" id="{00000000-0008-0000-0800-00006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8" name="Text Box 202">
          <a:extLst>
            <a:ext uri="{FF2B5EF4-FFF2-40B4-BE49-F238E27FC236}">
              <a16:creationId xmlns:a16="http://schemas.microsoft.com/office/drawing/2014/main" id="{00000000-0008-0000-0800-00006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09" name="Text Box 203">
          <a:extLst>
            <a:ext uri="{FF2B5EF4-FFF2-40B4-BE49-F238E27FC236}">
              <a16:creationId xmlns:a16="http://schemas.microsoft.com/office/drawing/2014/main" id="{00000000-0008-0000-0800-00006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0" name="Text Box 204">
          <a:extLst>
            <a:ext uri="{FF2B5EF4-FFF2-40B4-BE49-F238E27FC236}">
              <a16:creationId xmlns:a16="http://schemas.microsoft.com/office/drawing/2014/main" id="{00000000-0008-0000-0800-00006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1" name="Text Box 205">
          <a:extLst>
            <a:ext uri="{FF2B5EF4-FFF2-40B4-BE49-F238E27FC236}">
              <a16:creationId xmlns:a16="http://schemas.microsoft.com/office/drawing/2014/main" id="{00000000-0008-0000-0800-00006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2" name="Text Box 206">
          <a:extLst>
            <a:ext uri="{FF2B5EF4-FFF2-40B4-BE49-F238E27FC236}">
              <a16:creationId xmlns:a16="http://schemas.microsoft.com/office/drawing/2014/main" id="{00000000-0008-0000-0800-00006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3" name="Text Box 207">
          <a:extLst>
            <a:ext uri="{FF2B5EF4-FFF2-40B4-BE49-F238E27FC236}">
              <a16:creationId xmlns:a16="http://schemas.microsoft.com/office/drawing/2014/main" id="{00000000-0008-0000-0800-00006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4" name="Text Box 208">
          <a:extLst>
            <a:ext uri="{FF2B5EF4-FFF2-40B4-BE49-F238E27FC236}">
              <a16:creationId xmlns:a16="http://schemas.microsoft.com/office/drawing/2014/main" id="{00000000-0008-0000-0800-00006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5" name="Text Box 209">
          <a:extLst>
            <a:ext uri="{FF2B5EF4-FFF2-40B4-BE49-F238E27FC236}">
              <a16:creationId xmlns:a16="http://schemas.microsoft.com/office/drawing/2014/main" id="{00000000-0008-0000-0800-00006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6" name="Text Box 210">
          <a:extLst>
            <a:ext uri="{FF2B5EF4-FFF2-40B4-BE49-F238E27FC236}">
              <a16:creationId xmlns:a16="http://schemas.microsoft.com/office/drawing/2014/main" id="{00000000-0008-0000-0800-00007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7" name="Text Box 211">
          <a:extLst>
            <a:ext uri="{FF2B5EF4-FFF2-40B4-BE49-F238E27FC236}">
              <a16:creationId xmlns:a16="http://schemas.microsoft.com/office/drawing/2014/main" id="{00000000-0008-0000-0800-00007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8" name="Text Box 212">
          <a:extLst>
            <a:ext uri="{FF2B5EF4-FFF2-40B4-BE49-F238E27FC236}">
              <a16:creationId xmlns:a16="http://schemas.microsoft.com/office/drawing/2014/main" id="{00000000-0008-0000-0800-00007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9" name="Text Box 213">
          <a:extLst>
            <a:ext uri="{FF2B5EF4-FFF2-40B4-BE49-F238E27FC236}">
              <a16:creationId xmlns:a16="http://schemas.microsoft.com/office/drawing/2014/main" id="{00000000-0008-0000-0800-00007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0" name="Text Box 214">
          <a:extLst>
            <a:ext uri="{FF2B5EF4-FFF2-40B4-BE49-F238E27FC236}">
              <a16:creationId xmlns:a16="http://schemas.microsoft.com/office/drawing/2014/main" id="{00000000-0008-0000-0800-00007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1" name="Text Box 215">
          <a:extLst>
            <a:ext uri="{FF2B5EF4-FFF2-40B4-BE49-F238E27FC236}">
              <a16:creationId xmlns:a16="http://schemas.microsoft.com/office/drawing/2014/main" id="{00000000-0008-0000-0800-00007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2" name="Text Box 216">
          <a:extLst>
            <a:ext uri="{FF2B5EF4-FFF2-40B4-BE49-F238E27FC236}">
              <a16:creationId xmlns:a16="http://schemas.microsoft.com/office/drawing/2014/main" id="{00000000-0008-0000-0800-00007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3" name="Text Box 217">
          <a:extLst>
            <a:ext uri="{FF2B5EF4-FFF2-40B4-BE49-F238E27FC236}">
              <a16:creationId xmlns:a16="http://schemas.microsoft.com/office/drawing/2014/main" id="{00000000-0008-0000-0800-00007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4" name="Text Box 218">
          <a:extLst>
            <a:ext uri="{FF2B5EF4-FFF2-40B4-BE49-F238E27FC236}">
              <a16:creationId xmlns:a16="http://schemas.microsoft.com/office/drawing/2014/main" id="{00000000-0008-0000-0800-00007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5" name="Text Box 219">
          <a:extLst>
            <a:ext uri="{FF2B5EF4-FFF2-40B4-BE49-F238E27FC236}">
              <a16:creationId xmlns:a16="http://schemas.microsoft.com/office/drawing/2014/main" id="{00000000-0008-0000-0800-00007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6" name="Text Box 220">
          <a:extLst>
            <a:ext uri="{FF2B5EF4-FFF2-40B4-BE49-F238E27FC236}">
              <a16:creationId xmlns:a16="http://schemas.microsoft.com/office/drawing/2014/main" id="{00000000-0008-0000-0800-00007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7" name="Text Box 221">
          <a:extLst>
            <a:ext uri="{FF2B5EF4-FFF2-40B4-BE49-F238E27FC236}">
              <a16:creationId xmlns:a16="http://schemas.microsoft.com/office/drawing/2014/main" id="{00000000-0008-0000-0800-00007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8" name="Text Box 222">
          <a:extLst>
            <a:ext uri="{FF2B5EF4-FFF2-40B4-BE49-F238E27FC236}">
              <a16:creationId xmlns:a16="http://schemas.microsoft.com/office/drawing/2014/main" id="{00000000-0008-0000-0800-00007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9" name="Text Box 223">
          <a:extLst>
            <a:ext uri="{FF2B5EF4-FFF2-40B4-BE49-F238E27FC236}">
              <a16:creationId xmlns:a16="http://schemas.microsoft.com/office/drawing/2014/main" id="{00000000-0008-0000-0800-00007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0" name="Text Box 224">
          <a:extLst>
            <a:ext uri="{FF2B5EF4-FFF2-40B4-BE49-F238E27FC236}">
              <a16:creationId xmlns:a16="http://schemas.microsoft.com/office/drawing/2014/main" id="{00000000-0008-0000-0800-00007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1" name="Text Box 225">
          <a:extLst>
            <a:ext uri="{FF2B5EF4-FFF2-40B4-BE49-F238E27FC236}">
              <a16:creationId xmlns:a16="http://schemas.microsoft.com/office/drawing/2014/main" id="{00000000-0008-0000-0800-00007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2" name="Text Box 226">
          <a:extLst>
            <a:ext uri="{FF2B5EF4-FFF2-40B4-BE49-F238E27FC236}">
              <a16:creationId xmlns:a16="http://schemas.microsoft.com/office/drawing/2014/main" id="{00000000-0008-0000-0800-00008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3" name="Text Box 227">
          <a:extLst>
            <a:ext uri="{FF2B5EF4-FFF2-40B4-BE49-F238E27FC236}">
              <a16:creationId xmlns:a16="http://schemas.microsoft.com/office/drawing/2014/main" id="{00000000-0008-0000-0800-00008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4" name="Text Box 228">
          <a:extLst>
            <a:ext uri="{FF2B5EF4-FFF2-40B4-BE49-F238E27FC236}">
              <a16:creationId xmlns:a16="http://schemas.microsoft.com/office/drawing/2014/main" id="{00000000-0008-0000-0800-00008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5" name="Text Box 229">
          <a:extLst>
            <a:ext uri="{FF2B5EF4-FFF2-40B4-BE49-F238E27FC236}">
              <a16:creationId xmlns:a16="http://schemas.microsoft.com/office/drawing/2014/main" id="{00000000-0008-0000-0800-00008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6" name="Text Box 230">
          <a:extLst>
            <a:ext uri="{FF2B5EF4-FFF2-40B4-BE49-F238E27FC236}">
              <a16:creationId xmlns:a16="http://schemas.microsoft.com/office/drawing/2014/main" id="{00000000-0008-0000-0800-00008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7" name="Text Box 231">
          <a:extLst>
            <a:ext uri="{FF2B5EF4-FFF2-40B4-BE49-F238E27FC236}">
              <a16:creationId xmlns:a16="http://schemas.microsoft.com/office/drawing/2014/main" id="{00000000-0008-0000-0800-00008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8" name="Text Box 232">
          <a:extLst>
            <a:ext uri="{FF2B5EF4-FFF2-40B4-BE49-F238E27FC236}">
              <a16:creationId xmlns:a16="http://schemas.microsoft.com/office/drawing/2014/main" id="{00000000-0008-0000-0800-00008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9" name="Text Box 233">
          <a:extLst>
            <a:ext uri="{FF2B5EF4-FFF2-40B4-BE49-F238E27FC236}">
              <a16:creationId xmlns:a16="http://schemas.microsoft.com/office/drawing/2014/main" id="{00000000-0008-0000-0800-00008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0" name="Text Box 234">
          <a:extLst>
            <a:ext uri="{FF2B5EF4-FFF2-40B4-BE49-F238E27FC236}">
              <a16:creationId xmlns:a16="http://schemas.microsoft.com/office/drawing/2014/main" id="{00000000-0008-0000-0800-00008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1" name="Text Box 235">
          <a:extLst>
            <a:ext uri="{FF2B5EF4-FFF2-40B4-BE49-F238E27FC236}">
              <a16:creationId xmlns:a16="http://schemas.microsoft.com/office/drawing/2014/main" id="{00000000-0008-0000-0800-00008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2" name="Text Box 236">
          <a:extLst>
            <a:ext uri="{FF2B5EF4-FFF2-40B4-BE49-F238E27FC236}">
              <a16:creationId xmlns:a16="http://schemas.microsoft.com/office/drawing/2014/main" id="{00000000-0008-0000-0800-00008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3" name="Text Box 237">
          <a:extLst>
            <a:ext uri="{FF2B5EF4-FFF2-40B4-BE49-F238E27FC236}">
              <a16:creationId xmlns:a16="http://schemas.microsoft.com/office/drawing/2014/main" id="{00000000-0008-0000-0800-00008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4" name="Text Box 238">
          <a:extLst>
            <a:ext uri="{FF2B5EF4-FFF2-40B4-BE49-F238E27FC236}">
              <a16:creationId xmlns:a16="http://schemas.microsoft.com/office/drawing/2014/main" id="{00000000-0008-0000-0800-00008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5" name="Text Box 239">
          <a:extLst>
            <a:ext uri="{FF2B5EF4-FFF2-40B4-BE49-F238E27FC236}">
              <a16:creationId xmlns:a16="http://schemas.microsoft.com/office/drawing/2014/main" id="{00000000-0008-0000-0800-00008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6" name="Text Box 240">
          <a:extLst>
            <a:ext uri="{FF2B5EF4-FFF2-40B4-BE49-F238E27FC236}">
              <a16:creationId xmlns:a16="http://schemas.microsoft.com/office/drawing/2014/main" id="{00000000-0008-0000-0800-00008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7" name="Text Box 241">
          <a:extLst>
            <a:ext uri="{FF2B5EF4-FFF2-40B4-BE49-F238E27FC236}">
              <a16:creationId xmlns:a16="http://schemas.microsoft.com/office/drawing/2014/main" id="{00000000-0008-0000-0800-00008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8" name="Text Box 242">
          <a:extLst>
            <a:ext uri="{FF2B5EF4-FFF2-40B4-BE49-F238E27FC236}">
              <a16:creationId xmlns:a16="http://schemas.microsoft.com/office/drawing/2014/main" id="{00000000-0008-0000-0800-00009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9" name="Text Box 243">
          <a:extLst>
            <a:ext uri="{FF2B5EF4-FFF2-40B4-BE49-F238E27FC236}">
              <a16:creationId xmlns:a16="http://schemas.microsoft.com/office/drawing/2014/main" id="{00000000-0008-0000-0800-00009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0" name="Text Box 244">
          <a:extLst>
            <a:ext uri="{FF2B5EF4-FFF2-40B4-BE49-F238E27FC236}">
              <a16:creationId xmlns:a16="http://schemas.microsoft.com/office/drawing/2014/main" id="{00000000-0008-0000-0800-00009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1" name="Text Box 245">
          <a:extLst>
            <a:ext uri="{FF2B5EF4-FFF2-40B4-BE49-F238E27FC236}">
              <a16:creationId xmlns:a16="http://schemas.microsoft.com/office/drawing/2014/main" id="{00000000-0008-0000-0800-00009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2" name="Text Box 246">
          <a:extLst>
            <a:ext uri="{FF2B5EF4-FFF2-40B4-BE49-F238E27FC236}">
              <a16:creationId xmlns:a16="http://schemas.microsoft.com/office/drawing/2014/main" id="{00000000-0008-0000-0800-00009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3" name="Text Box 247">
          <a:extLst>
            <a:ext uri="{FF2B5EF4-FFF2-40B4-BE49-F238E27FC236}">
              <a16:creationId xmlns:a16="http://schemas.microsoft.com/office/drawing/2014/main" id="{00000000-0008-0000-0800-00009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4" name="Text Box 248">
          <a:extLst>
            <a:ext uri="{FF2B5EF4-FFF2-40B4-BE49-F238E27FC236}">
              <a16:creationId xmlns:a16="http://schemas.microsoft.com/office/drawing/2014/main" id="{00000000-0008-0000-0800-00009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5" name="Text Box 249">
          <a:extLst>
            <a:ext uri="{FF2B5EF4-FFF2-40B4-BE49-F238E27FC236}">
              <a16:creationId xmlns:a16="http://schemas.microsoft.com/office/drawing/2014/main" id="{00000000-0008-0000-0800-00009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6" name="Text Box 250">
          <a:extLst>
            <a:ext uri="{FF2B5EF4-FFF2-40B4-BE49-F238E27FC236}">
              <a16:creationId xmlns:a16="http://schemas.microsoft.com/office/drawing/2014/main" id="{00000000-0008-0000-0800-00009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7" name="Text Box 251">
          <a:extLst>
            <a:ext uri="{FF2B5EF4-FFF2-40B4-BE49-F238E27FC236}">
              <a16:creationId xmlns:a16="http://schemas.microsoft.com/office/drawing/2014/main" id="{00000000-0008-0000-0800-00009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8" name="Text Box 252">
          <a:extLst>
            <a:ext uri="{FF2B5EF4-FFF2-40B4-BE49-F238E27FC236}">
              <a16:creationId xmlns:a16="http://schemas.microsoft.com/office/drawing/2014/main" id="{00000000-0008-0000-0800-00009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9" name="Text Box 253">
          <a:extLst>
            <a:ext uri="{FF2B5EF4-FFF2-40B4-BE49-F238E27FC236}">
              <a16:creationId xmlns:a16="http://schemas.microsoft.com/office/drawing/2014/main" id="{00000000-0008-0000-0800-00009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0" name="Text Box 254">
          <a:extLst>
            <a:ext uri="{FF2B5EF4-FFF2-40B4-BE49-F238E27FC236}">
              <a16:creationId xmlns:a16="http://schemas.microsoft.com/office/drawing/2014/main" id="{00000000-0008-0000-0800-00009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1" name="Text Box 255">
          <a:extLst>
            <a:ext uri="{FF2B5EF4-FFF2-40B4-BE49-F238E27FC236}">
              <a16:creationId xmlns:a16="http://schemas.microsoft.com/office/drawing/2014/main" id="{00000000-0008-0000-0800-00009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2" name="Text Box 256">
          <a:extLst>
            <a:ext uri="{FF2B5EF4-FFF2-40B4-BE49-F238E27FC236}">
              <a16:creationId xmlns:a16="http://schemas.microsoft.com/office/drawing/2014/main" id="{00000000-0008-0000-0800-00009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3" name="Text Box 257">
          <a:extLst>
            <a:ext uri="{FF2B5EF4-FFF2-40B4-BE49-F238E27FC236}">
              <a16:creationId xmlns:a16="http://schemas.microsoft.com/office/drawing/2014/main" id="{00000000-0008-0000-0800-00009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4" name="Text Box 258">
          <a:extLst>
            <a:ext uri="{FF2B5EF4-FFF2-40B4-BE49-F238E27FC236}">
              <a16:creationId xmlns:a16="http://schemas.microsoft.com/office/drawing/2014/main" id="{00000000-0008-0000-0800-0000A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5" name="Text Box 259">
          <a:extLst>
            <a:ext uri="{FF2B5EF4-FFF2-40B4-BE49-F238E27FC236}">
              <a16:creationId xmlns:a16="http://schemas.microsoft.com/office/drawing/2014/main" id="{00000000-0008-0000-0800-0000A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6" name="Text Box 260">
          <a:extLst>
            <a:ext uri="{FF2B5EF4-FFF2-40B4-BE49-F238E27FC236}">
              <a16:creationId xmlns:a16="http://schemas.microsoft.com/office/drawing/2014/main" id="{00000000-0008-0000-0800-0000A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7" name="Text Box 261">
          <a:extLst>
            <a:ext uri="{FF2B5EF4-FFF2-40B4-BE49-F238E27FC236}">
              <a16:creationId xmlns:a16="http://schemas.microsoft.com/office/drawing/2014/main" id="{00000000-0008-0000-0800-0000A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8" name="Text Box 262">
          <a:extLst>
            <a:ext uri="{FF2B5EF4-FFF2-40B4-BE49-F238E27FC236}">
              <a16:creationId xmlns:a16="http://schemas.microsoft.com/office/drawing/2014/main" id="{00000000-0008-0000-0800-0000A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9" name="Text Box 263">
          <a:extLst>
            <a:ext uri="{FF2B5EF4-FFF2-40B4-BE49-F238E27FC236}">
              <a16:creationId xmlns:a16="http://schemas.microsoft.com/office/drawing/2014/main" id="{00000000-0008-0000-0800-0000A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0" name="Text Box 264">
          <a:extLst>
            <a:ext uri="{FF2B5EF4-FFF2-40B4-BE49-F238E27FC236}">
              <a16:creationId xmlns:a16="http://schemas.microsoft.com/office/drawing/2014/main" id="{00000000-0008-0000-0800-0000A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1" name="Text Box 265">
          <a:extLst>
            <a:ext uri="{FF2B5EF4-FFF2-40B4-BE49-F238E27FC236}">
              <a16:creationId xmlns:a16="http://schemas.microsoft.com/office/drawing/2014/main" id="{00000000-0008-0000-0800-0000A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2" name="Text Box 266">
          <a:extLst>
            <a:ext uri="{FF2B5EF4-FFF2-40B4-BE49-F238E27FC236}">
              <a16:creationId xmlns:a16="http://schemas.microsoft.com/office/drawing/2014/main" id="{00000000-0008-0000-0800-0000A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3" name="Text Box 267">
          <a:extLst>
            <a:ext uri="{FF2B5EF4-FFF2-40B4-BE49-F238E27FC236}">
              <a16:creationId xmlns:a16="http://schemas.microsoft.com/office/drawing/2014/main" id="{00000000-0008-0000-0800-0000A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4" name="Text Box 268">
          <a:extLst>
            <a:ext uri="{FF2B5EF4-FFF2-40B4-BE49-F238E27FC236}">
              <a16:creationId xmlns:a16="http://schemas.microsoft.com/office/drawing/2014/main" id="{00000000-0008-0000-0800-0000A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5" name="Text Box 269">
          <a:extLst>
            <a:ext uri="{FF2B5EF4-FFF2-40B4-BE49-F238E27FC236}">
              <a16:creationId xmlns:a16="http://schemas.microsoft.com/office/drawing/2014/main" id="{00000000-0008-0000-0800-0000A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6" name="Text Box 270">
          <a:extLst>
            <a:ext uri="{FF2B5EF4-FFF2-40B4-BE49-F238E27FC236}">
              <a16:creationId xmlns:a16="http://schemas.microsoft.com/office/drawing/2014/main" id="{00000000-0008-0000-0800-0000A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7" name="Text Box 271">
          <a:extLst>
            <a:ext uri="{FF2B5EF4-FFF2-40B4-BE49-F238E27FC236}">
              <a16:creationId xmlns:a16="http://schemas.microsoft.com/office/drawing/2014/main" id="{00000000-0008-0000-0800-0000A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8" name="Text Box 272">
          <a:extLst>
            <a:ext uri="{FF2B5EF4-FFF2-40B4-BE49-F238E27FC236}">
              <a16:creationId xmlns:a16="http://schemas.microsoft.com/office/drawing/2014/main" id="{00000000-0008-0000-0800-0000A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9" name="Text Box 273">
          <a:extLst>
            <a:ext uri="{FF2B5EF4-FFF2-40B4-BE49-F238E27FC236}">
              <a16:creationId xmlns:a16="http://schemas.microsoft.com/office/drawing/2014/main" id="{00000000-0008-0000-0800-0000A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0" name="Text Box 274">
          <a:extLst>
            <a:ext uri="{FF2B5EF4-FFF2-40B4-BE49-F238E27FC236}">
              <a16:creationId xmlns:a16="http://schemas.microsoft.com/office/drawing/2014/main" id="{00000000-0008-0000-0800-0000B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1" name="Text Box 275">
          <a:extLst>
            <a:ext uri="{FF2B5EF4-FFF2-40B4-BE49-F238E27FC236}">
              <a16:creationId xmlns:a16="http://schemas.microsoft.com/office/drawing/2014/main" id="{00000000-0008-0000-0800-0000B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2" name="Text Box 276">
          <a:extLst>
            <a:ext uri="{FF2B5EF4-FFF2-40B4-BE49-F238E27FC236}">
              <a16:creationId xmlns:a16="http://schemas.microsoft.com/office/drawing/2014/main" id="{00000000-0008-0000-0800-0000B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3" name="Text Box 277">
          <a:extLst>
            <a:ext uri="{FF2B5EF4-FFF2-40B4-BE49-F238E27FC236}">
              <a16:creationId xmlns:a16="http://schemas.microsoft.com/office/drawing/2014/main" id="{00000000-0008-0000-0800-0000B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4" name="Text Box 278">
          <a:extLst>
            <a:ext uri="{FF2B5EF4-FFF2-40B4-BE49-F238E27FC236}">
              <a16:creationId xmlns:a16="http://schemas.microsoft.com/office/drawing/2014/main" id="{00000000-0008-0000-0800-0000B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5" name="Text Box 279">
          <a:extLst>
            <a:ext uri="{FF2B5EF4-FFF2-40B4-BE49-F238E27FC236}">
              <a16:creationId xmlns:a16="http://schemas.microsoft.com/office/drawing/2014/main" id="{00000000-0008-0000-0800-0000B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6" name="Text Box 280">
          <a:extLst>
            <a:ext uri="{FF2B5EF4-FFF2-40B4-BE49-F238E27FC236}">
              <a16:creationId xmlns:a16="http://schemas.microsoft.com/office/drawing/2014/main" id="{00000000-0008-0000-0800-0000B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7" name="Text Box 281">
          <a:extLst>
            <a:ext uri="{FF2B5EF4-FFF2-40B4-BE49-F238E27FC236}">
              <a16:creationId xmlns:a16="http://schemas.microsoft.com/office/drawing/2014/main" id="{00000000-0008-0000-0800-0000B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8" name="Text Box 282">
          <a:extLst>
            <a:ext uri="{FF2B5EF4-FFF2-40B4-BE49-F238E27FC236}">
              <a16:creationId xmlns:a16="http://schemas.microsoft.com/office/drawing/2014/main" id="{00000000-0008-0000-0800-0000B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9" name="Text Box 283">
          <a:extLst>
            <a:ext uri="{FF2B5EF4-FFF2-40B4-BE49-F238E27FC236}">
              <a16:creationId xmlns:a16="http://schemas.microsoft.com/office/drawing/2014/main" id="{00000000-0008-0000-0800-0000B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0" name="Text Box 284">
          <a:extLst>
            <a:ext uri="{FF2B5EF4-FFF2-40B4-BE49-F238E27FC236}">
              <a16:creationId xmlns:a16="http://schemas.microsoft.com/office/drawing/2014/main" id="{00000000-0008-0000-0800-0000B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1" name="Text Box 285">
          <a:extLst>
            <a:ext uri="{FF2B5EF4-FFF2-40B4-BE49-F238E27FC236}">
              <a16:creationId xmlns:a16="http://schemas.microsoft.com/office/drawing/2014/main" id="{00000000-0008-0000-0800-0000B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2" name="Text Box 286">
          <a:extLst>
            <a:ext uri="{FF2B5EF4-FFF2-40B4-BE49-F238E27FC236}">
              <a16:creationId xmlns:a16="http://schemas.microsoft.com/office/drawing/2014/main" id="{00000000-0008-0000-0800-0000B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3" name="Text Box 287">
          <a:extLst>
            <a:ext uri="{FF2B5EF4-FFF2-40B4-BE49-F238E27FC236}">
              <a16:creationId xmlns:a16="http://schemas.microsoft.com/office/drawing/2014/main" id="{00000000-0008-0000-0800-0000B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4" name="Text Box 288">
          <a:extLst>
            <a:ext uri="{FF2B5EF4-FFF2-40B4-BE49-F238E27FC236}">
              <a16:creationId xmlns:a16="http://schemas.microsoft.com/office/drawing/2014/main" id="{00000000-0008-0000-0800-0000B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5" name="Text Box 289">
          <a:extLst>
            <a:ext uri="{FF2B5EF4-FFF2-40B4-BE49-F238E27FC236}">
              <a16:creationId xmlns:a16="http://schemas.microsoft.com/office/drawing/2014/main" id="{00000000-0008-0000-0800-0000B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6" name="Text Box 290">
          <a:extLst>
            <a:ext uri="{FF2B5EF4-FFF2-40B4-BE49-F238E27FC236}">
              <a16:creationId xmlns:a16="http://schemas.microsoft.com/office/drawing/2014/main" id="{00000000-0008-0000-0800-0000C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7" name="Text Box 291">
          <a:extLst>
            <a:ext uri="{FF2B5EF4-FFF2-40B4-BE49-F238E27FC236}">
              <a16:creationId xmlns:a16="http://schemas.microsoft.com/office/drawing/2014/main" id="{00000000-0008-0000-0800-0000C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8" name="Text Box 292">
          <a:extLst>
            <a:ext uri="{FF2B5EF4-FFF2-40B4-BE49-F238E27FC236}">
              <a16:creationId xmlns:a16="http://schemas.microsoft.com/office/drawing/2014/main" id="{00000000-0008-0000-0800-0000C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9" name="Text Box 293">
          <a:extLst>
            <a:ext uri="{FF2B5EF4-FFF2-40B4-BE49-F238E27FC236}">
              <a16:creationId xmlns:a16="http://schemas.microsoft.com/office/drawing/2014/main" id="{00000000-0008-0000-0800-0000C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0" name="Text Box 294">
          <a:extLst>
            <a:ext uri="{FF2B5EF4-FFF2-40B4-BE49-F238E27FC236}">
              <a16:creationId xmlns:a16="http://schemas.microsoft.com/office/drawing/2014/main" id="{00000000-0008-0000-0800-0000C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1" name="Text Box 295">
          <a:extLst>
            <a:ext uri="{FF2B5EF4-FFF2-40B4-BE49-F238E27FC236}">
              <a16:creationId xmlns:a16="http://schemas.microsoft.com/office/drawing/2014/main" id="{00000000-0008-0000-0800-0000C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2" name="Text Box 296">
          <a:extLst>
            <a:ext uri="{FF2B5EF4-FFF2-40B4-BE49-F238E27FC236}">
              <a16:creationId xmlns:a16="http://schemas.microsoft.com/office/drawing/2014/main" id="{00000000-0008-0000-0800-0000C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3" name="Text Box 297">
          <a:extLst>
            <a:ext uri="{FF2B5EF4-FFF2-40B4-BE49-F238E27FC236}">
              <a16:creationId xmlns:a16="http://schemas.microsoft.com/office/drawing/2014/main" id="{00000000-0008-0000-0800-0000C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4" name="Text Box 298">
          <a:extLst>
            <a:ext uri="{FF2B5EF4-FFF2-40B4-BE49-F238E27FC236}">
              <a16:creationId xmlns:a16="http://schemas.microsoft.com/office/drawing/2014/main" id="{00000000-0008-0000-0800-0000C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5" name="Text Box 299">
          <a:extLst>
            <a:ext uri="{FF2B5EF4-FFF2-40B4-BE49-F238E27FC236}">
              <a16:creationId xmlns:a16="http://schemas.microsoft.com/office/drawing/2014/main" id="{00000000-0008-0000-0800-0000C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6" name="Text Box 300">
          <a:extLst>
            <a:ext uri="{FF2B5EF4-FFF2-40B4-BE49-F238E27FC236}">
              <a16:creationId xmlns:a16="http://schemas.microsoft.com/office/drawing/2014/main" id="{00000000-0008-0000-0800-0000C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7" name="Text Box 301">
          <a:extLst>
            <a:ext uri="{FF2B5EF4-FFF2-40B4-BE49-F238E27FC236}">
              <a16:creationId xmlns:a16="http://schemas.microsoft.com/office/drawing/2014/main" id="{00000000-0008-0000-0800-0000C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8" name="Text Box 302">
          <a:extLst>
            <a:ext uri="{FF2B5EF4-FFF2-40B4-BE49-F238E27FC236}">
              <a16:creationId xmlns:a16="http://schemas.microsoft.com/office/drawing/2014/main" id="{00000000-0008-0000-0800-0000C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9" name="Text Box 303">
          <a:extLst>
            <a:ext uri="{FF2B5EF4-FFF2-40B4-BE49-F238E27FC236}">
              <a16:creationId xmlns:a16="http://schemas.microsoft.com/office/drawing/2014/main" id="{00000000-0008-0000-0800-0000C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0" name="Text Box 304">
          <a:extLst>
            <a:ext uri="{FF2B5EF4-FFF2-40B4-BE49-F238E27FC236}">
              <a16:creationId xmlns:a16="http://schemas.microsoft.com/office/drawing/2014/main" id="{00000000-0008-0000-0800-0000C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1" name="Text Box 305">
          <a:extLst>
            <a:ext uri="{FF2B5EF4-FFF2-40B4-BE49-F238E27FC236}">
              <a16:creationId xmlns:a16="http://schemas.microsoft.com/office/drawing/2014/main" id="{00000000-0008-0000-0800-0000C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2" name="Text Box 306">
          <a:extLst>
            <a:ext uri="{FF2B5EF4-FFF2-40B4-BE49-F238E27FC236}">
              <a16:creationId xmlns:a16="http://schemas.microsoft.com/office/drawing/2014/main" id="{00000000-0008-0000-0800-0000D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3" name="Text Box 307">
          <a:extLst>
            <a:ext uri="{FF2B5EF4-FFF2-40B4-BE49-F238E27FC236}">
              <a16:creationId xmlns:a16="http://schemas.microsoft.com/office/drawing/2014/main" id="{00000000-0008-0000-0800-0000D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4" name="Text Box 308">
          <a:extLst>
            <a:ext uri="{FF2B5EF4-FFF2-40B4-BE49-F238E27FC236}">
              <a16:creationId xmlns:a16="http://schemas.microsoft.com/office/drawing/2014/main" id="{00000000-0008-0000-0800-0000D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5" name="Text Box 309">
          <a:extLst>
            <a:ext uri="{FF2B5EF4-FFF2-40B4-BE49-F238E27FC236}">
              <a16:creationId xmlns:a16="http://schemas.microsoft.com/office/drawing/2014/main" id="{00000000-0008-0000-0800-0000D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6" name="Text Box 310">
          <a:extLst>
            <a:ext uri="{FF2B5EF4-FFF2-40B4-BE49-F238E27FC236}">
              <a16:creationId xmlns:a16="http://schemas.microsoft.com/office/drawing/2014/main" id="{00000000-0008-0000-0800-0000D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7" name="Text Box 311">
          <a:extLst>
            <a:ext uri="{FF2B5EF4-FFF2-40B4-BE49-F238E27FC236}">
              <a16:creationId xmlns:a16="http://schemas.microsoft.com/office/drawing/2014/main" id="{00000000-0008-0000-0800-0000D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8" name="Text Box 312">
          <a:extLst>
            <a:ext uri="{FF2B5EF4-FFF2-40B4-BE49-F238E27FC236}">
              <a16:creationId xmlns:a16="http://schemas.microsoft.com/office/drawing/2014/main" id="{00000000-0008-0000-0800-0000D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9" name="Text Box 313">
          <a:extLst>
            <a:ext uri="{FF2B5EF4-FFF2-40B4-BE49-F238E27FC236}">
              <a16:creationId xmlns:a16="http://schemas.microsoft.com/office/drawing/2014/main" id="{00000000-0008-0000-0800-0000D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0" name="Text Box 314">
          <a:extLst>
            <a:ext uri="{FF2B5EF4-FFF2-40B4-BE49-F238E27FC236}">
              <a16:creationId xmlns:a16="http://schemas.microsoft.com/office/drawing/2014/main" id="{00000000-0008-0000-0800-0000D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1" name="Text Box 315">
          <a:extLst>
            <a:ext uri="{FF2B5EF4-FFF2-40B4-BE49-F238E27FC236}">
              <a16:creationId xmlns:a16="http://schemas.microsoft.com/office/drawing/2014/main" id="{00000000-0008-0000-0800-0000D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2" name="Text Box 316">
          <a:extLst>
            <a:ext uri="{FF2B5EF4-FFF2-40B4-BE49-F238E27FC236}">
              <a16:creationId xmlns:a16="http://schemas.microsoft.com/office/drawing/2014/main" id="{00000000-0008-0000-0800-0000D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3" name="Text Box 317">
          <a:extLst>
            <a:ext uri="{FF2B5EF4-FFF2-40B4-BE49-F238E27FC236}">
              <a16:creationId xmlns:a16="http://schemas.microsoft.com/office/drawing/2014/main" id="{00000000-0008-0000-0800-0000D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4" name="Text Box 318">
          <a:extLst>
            <a:ext uri="{FF2B5EF4-FFF2-40B4-BE49-F238E27FC236}">
              <a16:creationId xmlns:a16="http://schemas.microsoft.com/office/drawing/2014/main" id="{00000000-0008-0000-0800-0000D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5" name="Text Box 319">
          <a:extLst>
            <a:ext uri="{FF2B5EF4-FFF2-40B4-BE49-F238E27FC236}">
              <a16:creationId xmlns:a16="http://schemas.microsoft.com/office/drawing/2014/main" id="{00000000-0008-0000-0800-0000D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6" name="Text Box 320">
          <a:extLst>
            <a:ext uri="{FF2B5EF4-FFF2-40B4-BE49-F238E27FC236}">
              <a16:creationId xmlns:a16="http://schemas.microsoft.com/office/drawing/2014/main" id="{00000000-0008-0000-0800-0000D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7" name="Text Box 28">
          <a:extLst>
            <a:ext uri="{FF2B5EF4-FFF2-40B4-BE49-F238E27FC236}">
              <a16:creationId xmlns:a16="http://schemas.microsoft.com/office/drawing/2014/main" id="{00000000-0008-0000-0800-0000D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8" name="Text Box 29">
          <a:extLst>
            <a:ext uri="{FF2B5EF4-FFF2-40B4-BE49-F238E27FC236}">
              <a16:creationId xmlns:a16="http://schemas.microsoft.com/office/drawing/2014/main" id="{00000000-0008-0000-0800-0000E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9" name="Text Box 30">
          <a:extLst>
            <a:ext uri="{FF2B5EF4-FFF2-40B4-BE49-F238E27FC236}">
              <a16:creationId xmlns:a16="http://schemas.microsoft.com/office/drawing/2014/main" id="{00000000-0008-0000-0800-0000E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0" name="Text Box 31">
          <a:extLst>
            <a:ext uri="{FF2B5EF4-FFF2-40B4-BE49-F238E27FC236}">
              <a16:creationId xmlns:a16="http://schemas.microsoft.com/office/drawing/2014/main" id="{00000000-0008-0000-0800-0000E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1" name="Text Box 32">
          <a:extLst>
            <a:ext uri="{FF2B5EF4-FFF2-40B4-BE49-F238E27FC236}">
              <a16:creationId xmlns:a16="http://schemas.microsoft.com/office/drawing/2014/main" id="{00000000-0008-0000-0800-0000E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2" name="Text Box 33">
          <a:extLst>
            <a:ext uri="{FF2B5EF4-FFF2-40B4-BE49-F238E27FC236}">
              <a16:creationId xmlns:a16="http://schemas.microsoft.com/office/drawing/2014/main" id="{00000000-0008-0000-0800-0000E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3" name="Text Box 34">
          <a:extLst>
            <a:ext uri="{FF2B5EF4-FFF2-40B4-BE49-F238E27FC236}">
              <a16:creationId xmlns:a16="http://schemas.microsoft.com/office/drawing/2014/main" id="{00000000-0008-0000-0800-0000E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4" name="Text Box 35">
          <a:extLst>
            <a:ext uri="{FF2B5EF4-FFF2-40B4-BE49-F238E27FC236}">
              <a16:creationId xmlns:a16="http://schemas.microsoft.com/office/drawing/2014/main" id="{00000000-0008-0000-0800-0000E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5" name="Text Box 36">
          <a:extLst>
            <a:ext uri="{FF2B5EF4-FFF2-40B4-BE49-F238E27FC236}">
              <a16:creationId xmlns:a16="http://schemas.microsoft.com/office/drawing/2014/main" id="{00000000-0008-0000-0800-0000E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6" name="Text Box 37">
          <a:extLst>
            <a:ext uri="{FF2B5EF4-FFF2-40B4-BE49-F238E27FC236}">
              <a16:creationId xmlns:a16="http://schemas.microsoft.com/office/drawing/2014/main" id="{00000000-0008-0000-0800-0000E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7" name="Text Box 38">
          <a:extLst>
            <a:ext uri="{FF2B5EF4-FFF2-40B4-BE49-F238E27FC236}">
              <a16:creationId xmlns:a16="http://schemas.microsoft.com/office/drawing/2014/main" id="{00000000-0008-0000-0800-0000E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8" name="Text Box 39">
          <a:extLst>
            <a:ext uri="{FF2B5EF4-FFF2-40B4-BE49-F238E27FC236}">
              <a16:creationId xmlns:a16="http://schemas.microsoft.com/office/drawing/2014/main" id="{00000000-0008-0000-0800-0000E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9" name="Text Box 40">
          <a:extLst>
            <a:ext uri="{FF2B5EF4-FFF2-40B4-BE49-F238E27FC236}">
              <a16:creationId xmlns:a16="http://schemas.microsoft.com/office/drawing/2014/main" id="{00000000-0008-0000-0800-0000E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0" name="Text Box 41">
          <a:extLst>
            <a:ext uri="{FF2B5EF4-FFF2-40B4-BE49-F238E27FC236}">
              <a16:creationId xmlns:a16="http://schemas.microsoft.com/office/drawing/2014/main" id="{00000000-0008-0000-0800-0000E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1" name="Text Box 42">
          <a:extLst>
            <a:ext uri="{FF2B5EF4-FFF2-40B4-BE49-F238E27FC236}">
              <a16:creationId xmlns:a16="http://schemas.microsoft.com/office/drawing/2014/main" id="{00000000-0008-0000-0800-0000E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2" name="Text Box 43">
          <a:extLst>
            <a:ext uri="{FF2B5EF4-FFF2-40B4-BE49-F238E27FC236}">
              <a16:creationId xmlns:a16="http://schemas.microsoft.com/office/drawing/2014/main" id="{00000000-0008-0000-0800-0000E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3" name="Text Box 44">
          <a:extLst>
            <a:ext uri="{FF2B5EF4-FFF2-40B4-BE49-F238E27FC236}">
              <a16:creationId xmlns:a16="http://schemas.microsoft.com/office/drawing/2014/main" id="{00000000-0008-0000-0800-0000E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4" name="Text Box 45">
          <a:extLst>
            <a:ext uri="{FF2B5EF4-FFF2-40B4-BE49-F238E27FC236}">
              <a16:creationId xmlns:a16="http://schemas.microsoft.com/office/drawing/2014/main" id="{00000000-0008-0000-0800-0000F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5" name="Text Box 46">
          <a:extLst>
            <a:ext uri="{FF2B5EF4-FFF2-40B4-BE49-F238E27FC236}">
              <a16:creationId xmlns:a16="http://schemas.microsoft.com/office/drawing/2014/main" id="{00000000-0008-0000-0800-0000F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6" name="Text Box 47">
          <a:extLst>
            <a:ext uri="{FF2B5EF4-FFF2-40B4-BE49-F238E27FC236}">
              <a16:creationId xmlns:a16="http://schemas.microsoft.com/office/drawing/2014/main" id="{00000000-0008-0000-0800-0000F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7" name="Text Box 48">
          <a:extLst>
            <a:ext uri="{FF2B5EF4-FFF2-40B4-BE49-F238E27FC236}">
              <a16:creationId xmlns:a16="http://schemas.microsoft.com/office/drawing/2014/main" id="{00000000-0008-0000-0800-0000F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8" name="Text Box 49">
          <a:extLst>
            <a:ext uri="{FF2B5EF4-FFF2-40B4-BE49-F238E27FC236}">
              <a16:creationId xmlns:a16="http://schemas.microsoft.com/office/drawing/2014/main" id="{00000000-0008-0000-0800-0000F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9" name="Text Box 50">
          <a:extLst>
            <a:ext uri="{FF2B5EF4-FFF2-40B4-BE49-F238E27FC236}">
              <a16:creationId xmlns:a16="http://schemas.microsoft.com/office/drawing/2014/main" id="{00000000-0008-0000-0800-0000F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0" name="Text Box 51">
          <a:extLst>
            <a:ext uri="{FF2B5EF4-FFF2-40B4-BE49-F238E27FC236}">
              <a16:creationId xmlns:a16="http://schemas.microsoft.com/office/drawing/2014/main" id="{00000000-0008-0000-0800-0000F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1" name="Text Box 52">
          <a:extLst>
            <a:ext uri="{FF2B5EF4-FFF2-40B4-BE49-F238E27FC236}">
              <a16:creationId xmlns:a16="http://schemas.microsoft.com/office/drawing/2014/main" id="{00000000-0008-0000-0800-0000F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2" name="Text Box 53">
          <a:extLst>
            <a:ext uri="{FF2B5EF4-FFF2-40B4-BE49-F238E27FC236}">
              <a16:creationId xmlns:a16="http://schemas.microsoft.com/office/drawing/2014/main" id="{00000000-0008-0000-0800-0000F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3" name="Text Box 54">
          <a:extLst>
            <a:ext uri="{FF2B5EF4-FFF2-40B4-BE49-F238E27FC236}">
              <a16:creationId xmlns:a16="http://schemas.microsoft.com/office/drawing/2014/main" id="{00000000-0008-0000-0800-0000F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4" name="Text Box 55">
          <a:extLst>
            <a:ext uri="{FF2B5EF4-FFF2-40B4-BE49-F238E27FC236}">
              <a16:creationId xmlns:a16="http://schemas.microsoft.com/office/drawing/2014/main" id="{00000000-0008-0000-0800-0000F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5" name="Text Box 56">
          <a:extLst>
            <a:ext uri="{FF2B5EF4-FFF2-40B4-BE49-F238E27FC236}">
              <a16:creationId xmlns:a16="http://schemas.microsoft.com/office/drawing/2014/main" id="{00000000-0008-0000-0800-0000F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6" name="Text Box 57">
          <a:extLst>
            <a:ext uri="{FF2B5EF4-FFF2-40B4-BE49-F238E27FC236}">
              <a16:creationId xmlns:a16="http://schemas.microsoft.com/office/drawing/2014/main" id="{00000000-0008-0000-0800-0000F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7" name="Text Box 58">
          <a:extLst>
            <a:ext uri="{FF2B5EF4-FFF2-40B4-BE49-F238E27FC236}">
              <a16:creationId xmlns:a16="http://schemas.microsoft.com/office/drawing/2014/main" id="{00000000-0008-0000-0800-0000F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8" name="Text Box 59">
          <a:extLst>
            <a:ext uri="{FF2B5EF4-FFF2-40B4-BE49-F238E27FC236}">
              <a16:creationId xmlns:a16="http://schemas.microsoft.com/office/drawing/2014/main" id="{00000000-0008-0000-0800-0000F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9" name="Text Box 60">
          <a:extLst>
            <a:ext uri="{FF2B5EF4-FFF2-40B4-BE49-F238E27FC236}">
              <a16:creationId xmlns:a16="http://schemas.microsoft.com/office/drawing/2014/main" id="{00000000-0008-0000-0800-0000F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0" name="Text Box 61">
          <a:extLst>
            <a:ext uri="{FF2B5EF4-FFF2-40B4-BE49-F238E27FC236}">
              <a16:creationId xmlns:a16="http://schemas.microsoft.com/office/drawing/2014/main" id="{00000000-0008-0000-0800-00000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1" name="Text Box 62">
          <a:extLst>
            <a:ext uri="{FF2B5EF4-FFF2-40B4-BE49-F238E27FC236}">
              <a16:creationId xmlns:a16="http://schemas.microsoft.com/office/drawing/2014/main" id="{00000000-0008-0000-0800-00000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2" name="Text Box 63">
          <a:extLst>
            <a:ext uri="{FF2B5EF4-FFF2-40B4-BE49-F238E27FC236}">
              <a16:creationId xmlns:a16="http://schemas.microsoft.com/office/drawing/2014/main" id="{00000000-0008-0000-0800-00000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3" name="Text Box 64">
          <a:extLst>
            <a:ext uri="{FF2B5EF4-FFF2-40B4-BE49-F238E27FC236}">
              <a16:creationId xmlns:a16="http://schemas.microsoft.com/office/drawing/2014/main" id="{00000000-0008-0000-0800-00000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4" name="Text Box 65">
          <a:extLst>
            <a:ext uri="{FF2B5EF4-FFF2-40B4-BE49-F238E27FC236}">
              <a16:creationId xmlns:a16="http://schemas.microsoft.com/office/drawing/2014/main" id="{00000000-0008-0000-0800-00000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5" name="Text Box 66">
          <a:extLst>
            <a:ext uri="{FF2B5EF4-FFF2-40B4-BE49-F238E27FC236}">
              <a16:creationId xmlns:a16="http://schemas.microsoft.com/office/drawing/2014/main" id="{00000000-0008-0000-0800-00000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6" name="Text Box 67">
          <a:extLst>
            <a:ext uri="{FF2B5EF4-FFF2-40B4-BE49-F238E27FC236}">
              <a16:creationId xmlns:a16="http://schemas.microsoft.com/office/drawing/2014/main" id="{00000000-0008-0000-0800-00000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7" name="Text Box 68">
          <a:extLst>
            <a:ext uri="{FF2B5EF4-FFF2-40B4-BE49-F238E27FC236}">
              <a16:creationId xmlns:a16="http://schemas.microsoft.com/office/drawing/2014/main" id="{00000000-0008-0000-0800-00000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8" name="Text Box 69">
          <a:extLst>
            <a:ext uri="{FF2B5EF4-FFF2-40B4-BE49-F238E27FC236}">
              <a16:creationId xmlns:a16="http://schemas.microsoft.com/office/drawing/2014/main" id="{00000000-0008-0000-0800-00000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9" name="Text Box 70">
          <a:extLst>
            <a:ext uri="{FF2B5EF4-FFF2-40B4-BE49-F238E27FC236}">
              <a16:creationId xmlns:a16="http://schemas.microsoft.com/office/drawing/2014/main" id="{00000000-0008-0000-0800-00000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0" name="Text Box 71">
          <a:extLst>
            <a:ext uri="{FF2B5EF4-FFF2-40B4-BE49-F238E27FC236}">
              <a16:creationId xmlns:a16="http://schemas.microsoft.com/office/drawing/2014/main" id="{00000000-0008-0000-0800-00000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1" name="Text Box 72">
          <a:extLst>
            <a:ext uri="{FF2B5EF4-FFF2-40B4-BE49-F238E27FC236}">
              <a16:creationId xmlns:a16="http://schemas.microsoft.com/office/drawing/2014/main" id="{00000000-0008-0000-0800-00000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2" name="Text Box 73">
          <a:extLst>
            <a:ext uri="{FF2B5EF4-FFF2-40B4-BE49-F238E27FC236}">
              <a16:creationId xmlns:a16="http://schemas.microsoft.com/office/drawing/2014/main" id="{00000000-0008-0000-0800-00000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3" name="Text Box 74">
          <a:extLst>
            <a:ext uri="{FF2B5EF4-FFF2-40B4-BE49-F238E27FC236}">
              <a16:creationId xmlns:a16="http://schemas.microsoft.com/office/drawing/2014/main" id="{00000000-0008-0000-0800-00000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4" name="Text Box 75">
          <a:extLst>
            <a:ext uri="{FF2B5EF4-FFF2-40B4-BE49-F238E27FC236}">
              <a16:creationId xmlns:a16="http://schemas.microsoft.com/office/drawing/2014/main" id="{00000000-0008-0000-0800-00000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5" name="Text Box 76">
          <a:extLst>
            <a:ext uri="{FF2B5EF4-FFF2-40B4-BE49-F238E27FC236}">
              <a16:creationId xmlns:a16="http://schemas.microsoft.com/office/drawing/2014/main" id="{00000000-0008-0000-0800-00000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6" name="Text Box 77">
          <a:extLst>
            <a:ext uri="{FF2B5EF4-FFF2-40B4-BE49-F238E27FC236}">
              <a16:creationId xmlns:a16="http://schemas.microsoft.com/office/drawing/2014/main" id="{00000000-0008-0000-0800-00001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7" name="Text Box 78">
          <a:extLst>
            <a:ext uri="{FF2B5EF4-FFF2-40B4-BE49-F238E27FC236}">
              <a16:creationId xmlns:a16="http://schemas.microsoft.com/office/drawing/2014/main" id="{00000000-0008-0000-0800-00001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8" name="Text Box 79">
          <a:extLst>
            <a:ext uri="{FF2B5EF4-FFF2-40B4-BE49-F238E27FC236}">
              <a16:creationId xmlns:a16="http://schemas.microsoft.com/office/drawing/2014/main" id="{00000000-0008-0000-0800-00001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9" name="Text Box 80">
          <a:extLst>
            <a:ext uri="{FF2B5EF4-FFF2-40B4-BE49-F238E27FC236}">
              <a16:creationId xmlns:a16="http://schemas.microsoft.com/office/drawing/2014/main" id="{00000000-0008-0000-0800-00001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0" name="Text Box 81">
          <a:extLst>
            <a:ext uri="{FF2B5EF4-FFF2-40B4-BE49-F238E27FC236}">
              <a16:creationId xmlns:a16="http://schemas.microsoft.com/office/drawing/2014/main" id="{00000000-0008-0000-0800-00001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1" name="Text Box 82">
          <a:extLst>
            <a:ext uri="{FF2B5EF4-FFF2-40B4-BE49-F238E27FC236}">
              <a16:creationId xmlns:a16="http://schemas.microsoft.com/office/drawing/2014/main" id="{00000000-0008-0000-0800-00001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2" name="Text Box 83">
          <a:extLst>
            <a:ext uri="{FF2B5EF4-FFF2-40B4-BE49-F238E27FC236}">
              <a16:creationId xmlns:a16="http://schemas.microsoft.com/office/drawing/2014/main" id="{00000000-0008-0000-0800-00001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3" name="Text Box 84">
          <a:extLst>
            <a:ext uri="{FF2B5EF4-FFF2-40B4-BE49-F238E27FC236}">
              <a16:creationId xmlns:a16="http://schemas.microsoft.com/office/drawing/2014/main" id="{00000000-0008-0000-0800-00001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4" name="Text Box 85">
          <a:extLst>
            <a:ext uri="{FF2B5EF4-FFF2-40B4-BE49-F238E27FC236}">
              <a16:creationId xmlns:a16="http://schemas.microsoft.com/office/drawing/2014/main" id="{00000000-0008-0000-0800-00001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5" name="Text Box 86">
          <a:extLst>
            <a:ext uri="{FF2B5EF4-FFF2-40B4-BE49-F238E27FC236}">
              <a16:creationId xmlns:a16="http://schemas.microsoft.com/office/drawing/2014/main" id="{00000000-0008-0000-0800-00001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6" name="Text Box 87">
          <a:extLst>
            <a:ext uri="{FF2B5EF4-FFF2-40B4-BE49-F238E27FC236}">
              <a16:creationId xmlns:a16="http://schemas.microsoft.com/office/drawing/2014/main" id="{00000000-0008-0000-0800-00001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7" name="Text Box 88">
          <a:extLst>
            <a:ext uri="{FF2B5EF4-FFF2-40B4-BE49-F238E27FC236}">
              <a16:creationId xmlns:a16="http://schemas.microsoft.com/office/drawing/2014/main" id="{00000000-0008-0000-0800-00001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8" name="Text Box 89">
          <a:extLst>
            <a:ext uri="{FF2B5EF4-FFF2-40B4-BE49-F238E27FC236}">
              <a16:creationId xmlns:a16="http://schemas.microsoft.com/office/drawing/2014/main" id="{00000000-0008-0000-0800-00001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9" name="Text Box 90">
          <a:extLst>
            <a:ext uri="{FF2B5EF4-FFF2-40B4-BE49-F238E27FC236}">
              <a16:creationId xmlns:a16="http://schemas.microsoft.com/office/drawing/2014/main" id="{00000000-0008-0000-0800-00001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0" name="Text Box 91">
          <a:extLst>
            <a:ext uri="{FF2B5EF4-FFF2-40B4-BE49-F238E27FC236}">
              <a16:creationId xmlns:a16="http://schemas.microsoft.com/office/drawing/2014/main" id="{00000000-0008-0000-0800-00001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1" name="Text Box 92">
          <a:extLst>
            <a:ext uri="{FF2B5EF4-FFF2-40B4-BE49-F238E27FC236}">
              <a16:creationId xmlns:a16="http://schemas.microsoft.com/office/drawing/2014/main" id="{00000000-0008-0000-0800-00001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2" name="Text Box 93">
          <a:extLst>
            <a:ext uri="{FF2B5EF4-FFF2-40B4-BE49-F238E27FC236}">
              <a16:creationId xmlns:a16="http://schemas.microsoft.com/office/drawing/2014/main" id="{00000000-0008-0000-0800-00002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3" name="Text Box 94">
          <a:extLst>
            <a:ext uri="{FF2B5EF4-FFF2-40B4-BE49-F238E27FC236}">
              <a16:creationId xmlns:a16="http://schemas.microsoft.com/office/drawing/2014/main" id="{00000000-0008-0000-0800-00002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4" name="Text Box 95">
          <a:extLst>
            <a:ext uri="{FF2B5EF4-FFF2-40B4-BE49-F238E27FC236}">
              <a16:creationId xmlns:a16="http://schemas.microsoft.com/office/drawing/2014/main" id="{00000000-0008-0000-0800-00002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5" name="Text Box 96">
          <a:extLst>
            <a:ext uri="{FF2B5EF4-FFF2-40B4-BE49-F238E27FC236}">
              <a16:creationId xmlns:a16="http://schemas.microsoft.com/office/drawing/2014/main" id="{00000000-0008-0000-0800-00002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6" name="Text Box 97">
          <a:extLst>
            <a:ext uri="{FF2B5EF4-FFF2-40B4-BE49-F238E27FC236}">
              <a16:creationId xmlns:a16="http://schemas.microsoft.com/office/drawing/2014/main" id="{00000000-0008-0000-0800-00002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7" name="Text Box 100">
          <a:extLst>
            <a:ext uri="{FF2B5EF4-FFF2-40B4-BE49-F238E27FC236}">
              <a16:creationId xmlns:a16="http://schemas.microsoft.com/office/drawing/2014/main" id="{00000000-0008-0000-0800-00002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8" name="Text Box 101">
          <a:extLst>
            <a:ext uri="{FF2B5EF4-FFF2-40B4-BE49-F238E27FC236}">
              <a16:creationId xmlns:a16="http://schemas.microsoft.com/office/drawing/2014/main" id="{00000000-0008-0000-0800-00002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9" name="Text Box 102">
          <a:extLst>
            <a:ext uri="{FF2B5EF4-FFF2-40B4-BE49-F238E27FC236}">
              <a16:creationId xmlns:a16="http://schemas.microsoft.com/office/drawing/2014/main" id="{00000000-0008-0000-0800-00002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0" name="Text Box 103">
          <a:extLst>
            <a:ext uri="{FF2B5EF4-FFF2-40B4-BE49-F238E27FC236}">
              <a16:creationId xmlns:a16="http://schemas.microsoft.com/office/drawing/2014/main" id="{00000000-0008-0000-0800-00002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1" name="Text Box 104">
          <a:extLst>
            <a:ext uri="{FF2B5EF4-FFF2-40B4-BE49-F238E27FC236}">
              <a16:creationId xmlns:a16="http://schemas.microsoft.com/office/drawing/2014/main" id="{00000000-0008-0000-0800-00002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2" name="Text Box 105">
          <a:extLst>
            <a:ext uri="{FF2B5EF4-FFF2-40B4-BE49-F238E27FC236}">
              <a16:creationId xmlns:a16="http://schemas.microsoft.com/office/drawing/2014/main" id="{00000000-0008-0000-0800-00002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3" name="Text Box 106">
          <a:extLst>
            <a:ext uri="{FF2B5EF4-FFF2-40B4-BE49-F238E27FC236}">
              <a16:creationId xmlns:a16="http://schemas.microsoft.com/office/drawing/2014/main" id="{00000000-0008-0000-0800-00002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4" name="Text Box 107">
          <a:extLst>
            <a:ext uri="{FF2B5EF4-FFF2-40B4-BE49-F238E27FC236}">
              <a16:creationId xmlns:a16="http://schemas.microsoft.com/office/drawing/2014/main" id="{00000000-0008-0000-0800-00002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5" name="Text Box 108">
          <a:extLst>
            <a:ext uri="{FF2B5EF4-FFF2-40B4-BE49-F238E27FC236}">
              <a16:creationId xmlns:a16="http://schemas.microsoft.com/office/drawing/2014/main" id="{00000000-0008-0000-0800-00002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6" name="Text Box 109">
          <a:extLst>
            <a:ext uri="{FF2B5EF4-FFF2-40B4-BE49-F238E27FC236}">
              <a16:creationId xmlns:a16="http://schemas.microsoft.com/office/drawing/2014/main" id="{00000000-0008-0000-0800-00002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7" name="Text Box 110">
          <a:extLst>
            <a:ext uri="{FF2B5EF4-FFF2-40B4-BE49-F238E27FC236}">
              <a16:creationId xmlns:a16="http://schemas.microsoft.com/office/drawing/2014/main" id="{00000000-0008-0000-0800-00002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8" name="Text Box 111">
          <a:extLst>
            <a:ext uri="{FF2B5EF4-FFF2-40B4-BE49-F238E27FC236}">
              <a16:creationId xmlns:a16="http://schemas.microsoft.com/office/drawing/2014/main" id="{00000000-0008-0000-0800-00003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9" name="Text Box 119">
          <a:extLst>
            <a:ext uri="{FF2B5EF4-FFF2-40B4-BE49-F238E27FC236}">
              <a16:creationId xmlns:a16="http://schemas.microsoft.com/office/drawing/2014/main" id="{00000000-0008-0000-0800-00003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0" name="Text Box 120">
          <a:extLst>
            <a:ext uri="{FF2B5EF4-FFF2-40B4-BE49-F238E27FC236}">
              <a16:creationId xmlns:a16="http://schemas.microsoft.com/office/drawing/2014/main" id="{00000000-0008-0000-0800-00003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1" name="Text Box 121">
          <a:extLst>
            <a:ext uri="{FF2B5EF4-FFF2-40B4-BE49-F238E27FC236}">
              <a16:creationId xmlns:a16="http://schemas.microsoft.com/office/drawing/2014/main" id="{00000000-0008-0000-0800-00003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2" name="Text Box 122">
          <a:extLst>
            <a:ext uri="{FF2B5EF4-FFF2-40B4-BE49-F238E27FC236}">
              <a16:creationId xmlns:a16="http://schemas.microsoft.com/office/drawing/2014/main" id="{00000000-0008-0000-0800-00003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3" name="Text Box 123">
          <a:extLst>
            <a:ext uri="{FF2B5EF4-FFF2-40B4-BE49-F238E27FC236}">
              <a16:creationId xmlns:a16="http://schemas.microsoft.com/office/drawing/2014/main" id="{00000000-0008-0000-0800-00003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4" name="Text Box 124">
          <a:extLst>
            <a:ext uri="{FF2B5EF4-FFF2-40B4-BE49-F238E27FC236}">
              <a16:creationId xmlns:a16="http://schemas.microsoft.com/office/drawing/2014/main" id="{00000000-0008-0000-0800-00003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5" name="Text Box 125">
          <a:extLst>
            <a:ext uri="{FF2B5EF4-FFF2-40B4-BE49-F238E27FC236}">
              <a16:creationId xmlns:a16="http://schemas.microsoft.com/office/drawing/2014/main" id="{00000000-0008-0000-0800-00003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6" name="Text Box 126">
          <a:extLst>
            <a:ext uri="{FF2B5EF4-FFF2-40B4-BE49-F238E27FC236}">
              <a16:creationId xmlns:a16="http://schemas.microsoft.com/office/drawing/2014/main" id="{00000000-0008-0000-0800-00003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7" name="Text Box 127">
          <a:extLst>
            <a:ext uri="{FF2B5EF4-FFF2-40B4-BE49-F238E27FC236}">
              <a16:creationId xmlns:a16="http://schemas.microsoft.com/office/drawing/2014/main" id="{00000000-0008-0000-0800-00003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8" name="Text Box 128">
          <a:extLst>
            <a:ext uri="{FF2B5EF4-FFF2-40B4-BE49-F238E27FC236}">
              <a16:creationId xmlns:a16="http://schemas.microsoft.com/office/drawing/2014/main" id="{00000000-0008-0000-0800-00003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9" name="Text Box 129">
          <a:extLst>
            <a:ext uri="{FF2B5EF4-FFF2-40B4-BE49-F238E27FC236}">
              <a16:creationId xmlns:a16="http://schemas.microsoft.com/office/drawing/2014/main" id="{00000000-0008-0000-0800-00003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20" name="Text Box 130">
          <a:extLst>
            <a:ext uri="{FF2B5EF4-FFF2-40B4-BE49-F238E27FC236}">
              <a16:creationId xmlns:a16="http://schemas.microsoft.com/office/drawing/2014/main" id="{00000000-0008-0000-0800-00003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1" name="Text Box 133">
          <a:extLst>
            <a:ext uri="{FF2B5EF4-FFF2-40B4-BE49-F238E27FC236}">
              <a16:creationId xmlns:a16="http://schemas.microsoft.com/office/drawing/2014/main" id="{00000000-0008-0000-0800-00003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2" name="Text Box 134">
          <a:extLst>
            <a:ext uri="{FF2B5EF4-FFF2-40B4-BE49-F238E27FC236}">
              <a16:creationId xmlns:a16="http://schemas.microsoft.com/office/drawing/2014/main" id="{00000000-0008-0000-0800-00003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3" name="Text Box 135">
          <a:extLst>
            <a:ext uri="{FF2B5EF4-FFF2-40B4-BE49-F238E27FC236}">
              <a16:creationId xmlns:a16="http://schemas.microsoft.com/office/drawing/2014/main" id="{00000000-0008-0000-0800-00003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4" name="Text Box 136">
          <a:extLst>
            <a:ext uri="{FF2B5EF4-FFF2-40B4-BE49-F238E27FC236}">
              <a16:creationId xmlns:a16="http://schemas.microsoft.com/office/drawing/2014/main" id="{00000000-0008-0000-0800-00004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5" name="Text Box 137">
          <a:extLst>
            <a:ext uri="{FF2B5EF4-FFF2-40B4-BE49-F238E27FC236}">
              <a16:creationId xmlns:a16="http://schemas.microsoft.com/office/drawing/2014/main" id="{00000000-0008-0000-0800-00004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6" name="Text Box 138">
          <a:extLst>
            <a:ext uri="{FF2B5EF4-FFF2-40B4-BE49-F238E27FC236}">
              <a16:creationId xmlns:a16="http://schemas.microsoft.com/office/drawing/2014/main" id="{00000000-0008-0000-0800-00004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7" name="Text Box 139">
          <a:extLst>
            <a:ext uri="{FF2B5EF4-FFF2-40B4-BE49-F238E27FC236}">
              <a16:creationId xmlns:a16="http://schemas.microsoft.com/office/drawing/2014/main" id="{00000000-0008-0000-0800-00004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8" name="Text Box 140">
          <a:extLst>
            <a:ext uri="{FF2B5EF4-FFF2-40B4-BE49-F238E27FC236}">
              <a16:creationId xmlns:a16="http://schemas.microsoft.com/office/drawing/2014/main" id="{00000000-0008-0000-0800-00004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9" name="Text Box 141">
          <a:extLst>
            <a:ext uri="{FF2B5EF4-FFF2-40B4-BE49-F238E27FC236}">
              <a16:creationId xmlns:a16="http://schemas.microsoft.com/office/drawing/2014/main" id="{00000000-0008-0000-0800-00004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0" name="Text Box 142">
          <a:extLst>
            <a:ext uri="{FF2B5EF4-FFF2-40B4-BE49-F238E27FC236}">
              <a16:creationId xmlns:a16="http://schemas.microsoft.com/office/drawing/2014/main" id="{00000000-0008-0000-0800-00004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1" name="Text Box 143">
          <a:extLst>
            <a:ext uri="{FF2B5EF4-FFF2-40B4-BE49-F238E27FC236}">
              <a16:creationId xmlns:a16="http://schemas.microsoft.com/office/drawing/2014/main" id="{00000000-0008-0000-0800-00004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2" name="Text Box 144">
          <a:extLst>
            <a:ext uri="{FF2B5EF4-FFF2-40B4-BE49-F238E27FC236}">
              <a16:creationId xmlns:a16="http://schemas.microsoft.com/office/drawing/2014/main" id="{00000000-0008-0000-0800-00004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3" name="Text Box 145">
          <a:extLst>
            <a:ext uri="{FF2B5EF4-FFF2-40B4-BE49-F238E27FC236}">
              <a16:creationId xmlns:a16="http://schemas.microsoft.com/office/drawing/2014/main" id="{00000000-0008-0000-0800-00004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4" name="Text Box 146">
          <a:extLst>
            <a:ext uri="{FF2B5EF4-FFF2-40B4-BE49-F238E27FC236}">
              <a16:creationId xmlns:a16="http://schemas.microsoft.com/office/drawing/2014/main" id="{00000000-0008-0000-0800-00004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5" name="Text Box 147">
          <a:extLst>
            <a:ext uri="{FF2B5EF4-FFF2-40B4-BE49-F238E27FC236}">
              <a16:creationId xmlns:a16="http://schemas.microsoft.com/office/drawing/2014/main" id="{00000000-0008-0000-0800-00004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6" name="Text Box 148">
          <a:extLst>
            <a:ext uri="{FF2B5EF4-FFF2-40B4-BE49-F238E27FC236}">
              <a16:creationId xmlns:a16="http://schemas.microsoft.com/office/drawing/2014/main" id="{00000000-0008-0000-0800-00004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7" name="Text Box 149">
          <a:extLst>
            <a:ext uri="{FF2B5EF4-FFF2-40B4-BE49-F238E27FC236}">
              <a16:creationId xmlns:a16="http://schemas.microsoft.com/office/drawing/2014/main" id="{00000000-0008-0000-0800-00004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8" name="Text Box 150">
          <a:extLst>
            <a:ext uri="{FF2B5EF4-FFF2-40B4-BE49-F238E27FC236}">
              <a16:creationId xmlns:a16="http://schemas.microsoft.com/office/drawing/2014/main" id="{00000000-0008-0000-0800-00004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9" name="Text Box 151">
          <a:extLst>
            <a:ext uri="{FF2B5EF4-FFF2-40B4-BE49-F238E27FC236}">
              <a16:creationId xmlns:a16="http://schemas.microsoft.com/office/drawing/2014/main" id="{00000000-0008-0000-0800-00004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0" name="Text Box 152">
          <a:extLst>
            <a:ext uri="{FF2B5EF4-FFF2-40B4-BE49-F238E27FC236}">
              <a16:creationId xmlns:a16="http://schemas.microsoft.com/office/drawing/2014/main" id="{00000000-0008-0000-0800-00005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1" name="Text Box 153">
          <a:extLst>
            <a:ext uri="{FF2B5EF4-FFF2-40B4-BE49-F238E27FC236}">
              <a16:creationId xmlns:a16="http://schemas.microsoft.com/office/drawing/2014/main" id="{00000000-0008-0000-0800-00005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2" name="Text Box 154">
          <a:extLst>
            <a:ext uri="{FF2B5EF4-FFF2-40B4-BE49-F238E27FC236}">
              <a16:creationId xmlns:a16="http://schemas.microsoft.com/office/drawing/2014/main" id="{00000000-0008-0000-0800-00005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3" name="Text Box 155">
          <a:extLst>
            <a:ext uri="{FF2B5EF4-FFF2-40B4-BE49-F238E27FC236}">
              <a16:creationId xmlns:a16="http://schemas.microsoft.com/office/drawing/2014/main" id="{00000000-0008-0000-0800-00005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4" name="Text Box 156">
          <a:extLst>
            <a:ext uri="{FF2B5EF4-FFF2-40B4-BE49-F238E27FC236}">
              <a16:creationId xmlns:a16="http://schemas.microsoft.com/office/drawing/2014/main" id="{00000000-0008-0000-0800-00005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5" name="Text Box 157">
          <a:extLst>
            <a:ext uri="{FF2B5EF4-FFF2-40B4-BE49-F238E27FC236}">
              <a16:creationId xmlns:a16="http://schemas.microsoft.com/office/drawing/2014/main" id="{00000000-0008-0000-0800-00005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6" name="Text Box 158">
          <a:extLst>
            <a:ext uri="{FF2B5EF4-FFF2-40B4-BE49-F238E27FC236}">
              <a16:creationId xmlns:a16="http://schemas.microsoft.com/office/drawing/2014/main" id="{00000000-0008-0000-0800-00005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7" name="Text Box 159">
          <a:extLst>
            <a:ext uri="{FF2B5EF4-FFF2-40B4-BE49-F238E27FC236}">
              <a16:creationId xmlns:a16="http://schemas.microsoft.com/office/drawing/2014/main" id="{00000000-0008-0000-0800-00005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8" name="Text Box 160">
          <a:extLst>
            <a:ext uri="{FF2B5EF4-FFF2-40B4-BE49-F238E27FC236}">
              <a16:creationId xmlns:a16="http://schemas.microsoft.com/office/drawing/2014/main" id="{00000000-0008-0000-0800-00005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9" name="Text Box 161">
          <a:extLst>
            <a:ext uri="{FF2B5EF4-FFF2-40B4-BE49-F238E27FC236}">
              <a16:creationId xmlns:a16="http://schemas.microsoft.com/office/drawing/2014/main" id="{00000000-0008-0000-0800-00005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0" name="Text Box 162">
          <a:extLst>
            <a:ext uri="{FF2B5EF4-FFF2-40B4-BE49-F238E27FC236}">
              <a16:creationId xmlns:a16="http://schemas.microsoft.com/office/drawing/2014/main" id="{00000000-0008-0000-0800-00005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1" name="Text Box 163">
          <a:extLst>
            <a:ext uri="{FF2B5EF4-FFF2-40B4-BE49-F238E27FC236}">
              <a16:creationId xmlns:a16="http://schemas.microsoft.com/office/drawing/2014/main" id="{00000000-0008-0000-0800-00005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2" name="Text Box 164">
          <a:extLst>
            <a:ext uri="{FF2B5EF4-FFF2-40B4-BE49-F238E27FC236}">
              <a16:creationId xmlns:a16="http://schemas.microsoft.com/office/drawing/2014/main" id="{00000000-0008-0000-0800-00005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3" name="Text Box 165">
          <a:extLst>
            <a:ext uri="{FF2B5EF4-FFF2-40B4-BE49-F238E27FC236}">
              <a16:creationId xmlns:a16="http://schemas.microsoft.com/office/drawing/2014/main" id="{00000000-0008-0000-0800-00005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4" name="Text Box 166">
          <a:extLst>
            <a:ext uri="{FF2B5EF4-FFF2-40B4-BE49-F238E27FC236}">
              <a16:creationId xmlns:a16="http://schemas.microsoft.com/office/drawing/2014/main" id="{00000000-0008-0000-0800-00005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5" name="Text Box 167">
          <a:extLst>
            <a:ext uri="{FF2B5EF4-FFF2-40B4-BE49-F238E27FC236}">
              <a16:creationId xmlns:a16="http://schemas.microsoft.com/office/drawing/2014/main" id="{00000000-0008-0000-0800-00005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6" name="Text Box 168">
          <a:extLst>
            <a:ext uri="{FF2B5EF4-FFF2-40B4-BE49-F238E27FC236}">
              <a16:creationId xmlns:a16="http://schemas.microsoft.com/office/drawing/2014/main" id="{00000000-0008-0000-0800-00006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7" name="Text Box 169">
          <a:extLst>
            <a:ext uri="{FF2B5EF4-FFF2-40B4-BE49-F238E27FC236}">
              <a16:creationId xmlns:a16="http://schemas.microsoft.com/office/drawing/2014/main" id="{00000000-0008-0000-0800-00006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8" name="Text Box 170">
          <a:extLst>
            <a:ext uri="{FF2B5EF4-FFF2-40B4-BE49-F238E27FC236}">
              <a16:creationId xmlns:a16="http://schemas.microsoft.com/office/drawing/2014/main" id="{00000000-0008-0000-0800-00006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9" name="Text Box 171">
          <a:extLst>
            <a:ext uri="{FF2B5EF4-FFF2-40B4-BE49-F238E27FC236}">
              <a16:creationId xmlns:a16="http://schemas.microsoft.com/office/drawing/2014/main" id="{00000000-0008-0000-0800-00006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0" name="Text Box 172">
          <a:extLst>
            <a:ext uri="{FF2B5EF4-FFF2-40B4-BE49-F238E27FC236}">
              <a16:creationId xmlns:a16="http://schemas.microsoft.com/office/drawing/2014/main" id="{00000000-0008-0000-0800-00006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1" name="Text Box 173">
          <a:extLst>
            <a:ext uri="{FF2B5EF4-FFF2-40B4-BE49-F238E27FC236}">
              <a16:creationId xmlns:a16="http://schemas.microsoft.com/office/drawing/2014/main" id="{00000000-0008-0000-0800-00006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2" name="Text Box 174">
          <a:extLst>
            <a:ext uri="{FF2B5EF4-FFF2-40B4-BE49-F238E27FC236}">
              <a16:creationId xmlns:a16="http://schemas.microsoft.com/office/drawing/2014/main" id="{00000000-0008-0000-0800-00006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3" name="Text Box 175">
          <a:extLst>
            <a:ext uri="{FF2B5EF4-FFF2-40B4-BE49-F238E27FC236}">
              <a16:creationId xmlns:a16="http://schemas.microsoft.com/office/drawing/2014/main" id="{00000000-0008-0000-0800-00006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4" name="Text Box 176">
          <a:extLst>
            <a:ext uri="{FF2B5EF4-FFF2-40B4-BE49-F238E27FC236}">
              <a16:creationId xmlns:a16="http://schemas.microsoft.com/office/drawing/2014/main" id="{00000000-0008-0000-0800-00006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5" name="Text Box 177">
          <a:extLst>
            <a:ext uri="{FF2B5EF4-FFF2-40B4-BE49-F238E27FC236}">
              <a16:creationId xmlns:a16="http://schemas.microsoft.com/office/drawing/2014/main" id="{00000000-0008-0000-0800-00006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6" name="Text Box 178">
          <a:extLst>
            <a:ext uri="{FF2B5EF4-FFF2-40B4-BE49-F238E27FC236}">
              <a16:creationId xmlns:a16="http://schemas.microsoft.com/office/drawing/2014/main" id="{00000000-0008-0000-0800-00006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7" name="Text Box 179">
          <a:extLst>
            <a:ext uri="{FF2B5EF4-FFF2-40B4-BE49-F238E27FC236}">
              <a16:creationId xmlns:a16="http://schemas.microsoft.com/office/drawing/2014/main" id="{00000000-0008-0000-0800-00006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8" name="Text Box 180">
          <a:extLst>
            <a:ext uri="{FF2B5EF4-FFF2-40B4-BE49-F238E27FC236}">
              <a16:creationId xmlns:a16="http://schemas.microsoft.com/office/drawing/2014/main" id="{00000000-0008-0000-0800-00006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9" name="Text Box 181">
          <a:extLst>
            <a:ext uri="{FF2B5EF4-FFF2-40B4-BE49-F238E27FC236}">
              <a16:creationId xmlns:a16="http://schemas.microsoft.com/office/drawing/2014/main" id="{00000000-0008-0000-0800-00006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0" name="Text Box 182">
          <a:extLst>
            <a:ext uri="{FF2B5EF4-FFF2-40B4-BE49-F238E27FC236}">
              <a16:creationId xmlns:a16="http://schemas.microsoft.com/office/drawing/2014/main" id="{00000000-0008-0000-0800-00006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1" name="Text Box 183">
          <a:extLst>
            <a:ext uri="{FF2B5EF4-FFF2-40B4-BE49-F238E27FC236}">
              <a16:creationId xmlns:a16="http://schemas.microsoft.com/office/drawing/2014/main" id="{00000000-0008-0000-0800-00006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2" name="Text Box 184">
          <a:extLst>
            <a:ext uri="{FF2B5EF4-FFF2-40B4-BE49-F238E27FC236}">
              <a16:creationId xmlns:a16="http://schemas.microsoft.com/office/drawing/2014/main" id="{00000000-0008-0000-0800-00007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3" name="Text Box 185">
          <a:extLst>
            <a:ext uri="{FF2B5EF4-FFF2-40B4-BE49-F238E27FC236}">
              <a16:creationId xmlns:a16="http://schemas.microsoft.com/office/drawing/2014/main" id="{00000000-0008-0000-0800-00007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4" name="Text Box 186">
          <a:extLst>
            <a:ext uri="{FF2B5EF4-FFF2-40B4-BE49-F238E27FC236}">
              <a16:creationId xmlns:a16="http://schemas.microsoft.com/office/drawing/2014/main" id="{00000000-0008-0000-0800-00007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5" name="Text Box 187">
          <a:extLst>
            <a:ext uri="{FF2B5EF4-FFF2-40B4-BE49-F238E27FC236}">
              <a16:creationId xmlns:a16="http://schemas.microsoft.com/office/drawing/2014/main" id="{00000000-0008-0000-0800-00007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6" name="Text Box 188">
          <a:extLst>
            <a:ext uri="{FF2B5EF4-FFF2-40B4-BE49-F238E27FC236}">
              <a16:creationId xmlns:a16="http://schemas.microsoft.com/office/drawing/2014/main" id="{00000000-0008-0000-0800-00007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7" name="Text Box 189">
          <a:extLst>
            <a:ext uri="{FF2B5EF4-FFF2-40B4-BE49-F238E27FC236}">
              <a16:creationId xmlns:a16="http://schemas.microsoft.com/office/drawing/2014/main" id="{00000000-0008-0000-0800-00007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8" name="Text Box 190">
          <a:extLst>
            <a:ext uri="{FF2B5EF4-FFF2-40B4-BE49-F238E27FC236}">
              <a16:creationId xmlns:a16="http://schemas.microsoft.com/office/drawing/2014/main" id="{00000000-0008-0000-0800-00007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9" name="Text Box 191">
          <a:extLst>
            <a:ext uri="{FF2B5EF4-FFF2-40B4-BE49-F238E27FC236}">
              <a16:creationId xmlns:a16="http://schemas.microsoft.com/office/drawing/2014/main" id="{00000000-0008-0000-0800-00007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0" name="Text Box 192">
          <a:extLst>
            <a:ext uri="{FF2B5EF4-FFF2-40B4-BE49-F238E27FC236}">
              <a16:creationId xmlns:a16="http://schemas.microsoft.com/office/drawing/2014/main" id="{00000000-0008-0000-0800-00007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1" name="Text Box 193">
          <a:extLst>
            <a:ext uri="{FF2B5EF4-FFF2-40B4-BE49-F238E27FC236}">
              <a16:creationId xmlns:a16="http://schemas.microsoft.com/office/drawing/2014/main" id="{00000000-0008-0000-0800-00007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2" name="Text Box 194">
          <a:extLst>
            <a:ext uri="{FF2B5EF4-FFF2-40B4-BE49-F238E27FC236}">
              <a16:creationId xmlns:a16="http://schemas.microsoft.com/office/drawing/2014/main" id="{00000000-0008-0000-0800-00007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3" name="Text Box 195">
          <a:extLst>
            <a:ext uri="{FF2B5EF4-FFF2-40B4-BE49-F238E27FC236}">
              <a16:creationId xmlns:a16="http://schemas.microsoft.com/office/drawing/2014/main" id="{00000000-0008-0000-0800-00007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4" name="Text Box 196">
          <a:extLst>
            <a:ext uri="{FF2B5EF4-FFF2-40B4-BE49-F238E27FC236}">
              <a16:creationId xmlns:a16="http://schemas.microsoft.com/office/drawing/2014/main" id="{00000000-0008-0000-0800-00007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5" name="Text Box 197">
          <a:extLst>
            <a:ext uri="{FF2B5EF4-FFF2-40B4-BE49-F238E27FC236}">
              <a16:creationId xmlns:a16="http://schemas.microsoft.com/office/drawing/2014/main" id="{00000000-0008-0000-0800-00007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6" name="Text Box 198">
          <a:extLst>
            <a:ext uri="{FF2B5EF4-FFF2-40B4-BE49-F238E27FC236}">
              <a16:creationId xmlns:a16="http://schemas.microsoft.com/office/drawing/2014/main" id="{00000000-0008-0000-0800-00007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7" name="Text Box 199">
          <a:extLst>
            <a:ext uri="{FF2B5EF4-FFF2-40B4-BE49-F238E27FC236}">
              <a16:creationId xmlns:a16="http://schemas.microsoft.com/office/drawing/2014/main" id="{00000000-0008-0000-0800-00007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8" name="Text Box 200">
          <a:extLst>
            <a:ext uri="{FF2B5EF4-FFF2-40B4-BE49-F238E27FC236}">
              <a16:creationId xmlns:a16="http://schemas.microsoft.com/office/drawing/2014/main" id="{00000000-0008-0000-0800-00008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9" name="Text Box 201">
          <a:extLst>
            <a:ext uri="{FF2B5EF4-FFF2-40B4-BE49-F238E27FC236}">
              <a16:creationId xmlns:a16="http://schemas.microsoft.com/office/drawing/2014/main" id="{00000000-0008-0000-0800-00008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90" name="Text Box 202">
          <a:extLst>
            <a:ext uri="{FF2B5EF4-FFF2-40B4-BE49-F238E27FC236}">
              <a16:creationId xmlns:a16="http://schemas.microsoft.com/office/drawing/2014/main" id="{00000000-0008-0000-0800-00008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1" name="Text Box 203">
          <a:extLst>
            <a:ext uri="{FF2B5EF4-FFF2-40B4-BE49-F238E27FC236}">
              <a16:creationId xmlns:a16="http://schemas.microsoft.com/office/drawing/2014/main" id="{00000000-0008-0000-0800-00008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2" name="Text Box 204">
          <a:extLst>
            <a:ext uri="{FF2B5EF4-FFF2-40B4-BE49-F238E27FC236}">
              <a16:creationId xmlns:a16="http://schemas.microsoft.com/office/drawing/2014/main" id="{00000000-0008-0000-0800-00008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3" name="Text Box 205">
          <a:extLst>
            <a:ext uri="{FF2B5EF4-FFF2-40B4-BE49-F238E27FC236}">
              <a16:creationId xmlns:a16="http://schemas.microsoft.com/office/drawing/2014/main" id="{00000000-0008-0000-0800-00008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4" name="Text Box 206">
          <a:extLst>
            <a:ext uri="{FF2B5EF4-FFF2-40B4-BE49-F238E27FC236}">
              <a16:creationId xmlns:a16="http://schemas.microsoft.com/office/drawing/2014/main" id="{00000000-0008-0000-0800-00008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5" name="Text Box 207">
          <a:extLst>
            <a:ext uri="{FF2B5EF4-FFF2-40B4-BE49-F238E27FC236}">
              <a16:creationId xmlns:a16="http://schemas.microsoft.com/office/drawing/2014/main" id="{00000000-0008-0000-0800-00008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6" name="Text Box 208">
          <a:extLst>
            <a:ext uri="{FF2B5EF4-FFF2-40B4-BE49-F238E27FC236}">
              <a16:creationId xmlns:a16="http://schemas.microsoft.com/office/drawing/2014/main" id="{00000000-0008-0000-0800-00008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7" name="Text Box 209">
          <a:extLst>
            <a:ext uri="{FF2B5EF4-FFF2-40B4-BE49-F238E27FC236}">
              <a16:creationId xmlns:a16="http://schemas.microsoft.com/office/drawing/2014/main" id="{00000000-0008-0000-0800-00008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8" name="Text Box 210">
          <a:extLst>
            <a:ext uri="{FF2B5EF4-FFF2-40B4-BE49-F238E27FC236}">
              <a16:creationId xmlns:a16="http://schemas.microsoft.com/office/drawing/2014/main" id="{00000000-0008-0000-0800-00008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9" name="Text Box 211">
          <a:extLst>
            <a:ext uri="{FF2B5EF4-FFF2-40B4-BE49-F238E27FC236}">
              <a16:creationId xmlns:a16="http://schemas.microsoft.com/office/drawing/2014/main" id="{00000000-0008-0000-0800-00008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0" name="Text Box 212">
          <a:extLst>
            <a:ext uri="{FF2B5EF4-FFF2-40B4-BE49-F238E27FC236}">
              <a16:creationId xmlns:a16="http://schemas.microsoft.com/office/drawing/2014/main" id="{00000000-0008-0000-0800-00008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1" name="Text Box 213">
          <a:extLst>
            <a:ext uri="{FF2B5EF4-FFF2-40B4-BE49-F238E27FC236}">
              <a16:creationId xmlns:a16="http://schemas.microsoft.com/office/drawing/2014/main" id="{00000000-0008-0000-0800-00008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2" name="Text Box 214">
          <a:extLst>
            <a:ext uri="{FF2B5EF4-FFF2-40B4-BE49-F238E27FC236}">
              <a16:creationId xmlns:a16="http://schemas.microsoft.com/office/drawing/2014/main" id="{00000000-0008-0000-0800-00008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3" name="Text Box 215">
          <a:extLst>
            <a:ext uri="{FF2B5EF4-FFF2-40B4-BE49-F238E27FC236}">
              <a16:creationId xmlns:a16="http://schemas.microsoft.com/office/drawing/2014/main" id="{00000000-0008-0000-0800-00008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4" name="Text Box 216">
          <a:extLst>
            <a:ext uri="{FF2B5EF4-FFF2-40B4-BE49-F238E27FC236}">
              <a16:creationId xmlns:a16="http://schemas.microsoft.com/office/drawing/2014/main" id="{00000000-0008-0000-0800-00009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5" name="Text Box 217">
          <a:extLst>
            <a:ext uri="{FF2B5EF4-FFF2-40B4-BE49-F238E27FC236}">
              <a16:creationId xmlns:a16="http://schemas.microsoft.com/office/drawing/2014/main" id="{00000000-0008-0000-0800-00009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6" name="Text Box 218">
          <a:extLst>
            <a:ext uri="{FF2B5EF4-FFF2-40B4-BE49-F238E27FC236}">
              <a16:creationId xmlns:a16="http://schemas.microsoft.com/office/drawing/2014/main" id="{00000000-0008-0000-0800-00009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7" name="Text Box 219">
          <a:extLst>
            <a:ext uri="{FF2B5EF4-FFF2-40B4-BE49-F238E27FC236}">
              <a16:creationId xmlns:a16="http://schemas.microsoft.com/office/drawing/2014/main" id="{00000000-0008-0000-0800-00009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8" name="Text Box 220">
          <a:extLst>
            <a:ext uri="{FF2B5EF4-FFF2-40B4-BE49-F238E27FC236}">
              <a16:creationId xmlns:a16="http://schemas.microsoft.com/office/drawing/2014/main" id="{00000000-0008-0000-0800-00009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9" name="Text Box 221">
          <a:extLst>
            <a:ext uri="{FF2B5EF4-FFF2-40B4-BE49-F238E27FC236}">
              <a16:creationId xmlns:a16="http://schemas.microsoft.com/office/drawing/2014/main" id="{00000000-0008-0000-0800-00009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0" name="Text Box 222">
          <a:extLst>
            <a:ext uri="{FF2B5EF4-FFF2-40B4-BE49-F238E27FC236}">
              <a16:creationId xmlns:a16="http://schemas.microsoft.com/office/drawing/2014/main" id="{00000000-0008-0000-0800-00009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1" name="Text Box 223">
          <a:extLst>
            <a:ext uri="{FF2B5EF4-FFF2-40B4-BE49-F238E27FC236}">
              <a16:creationId xmlns:a16="http://schemas.microsoft.com/office/drawing/2014/main" id="{00000000-0008-0000-0800-00009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2" name="Text Box 224">
          <a:extLst>
            <a:ext uri="{FF2B5EF4-FFF2-40B4-BE49-F238E27FC236}">
              <a16:creationId xmlns:a16="http://schemas.microsoft.com/office/drawing/2014/main" id="{00000000-0008-0000-0800-00009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3" name="Text Box 225">
          <a:extLst>
            <a:ext uri="{FF2B5EF4-FFF2-40B4-BE49-F238E27FC236}">
              <a16:creationId xmlns:a16="http://schemas.microsoft.com/office/drawing/2014/main" id="{00000000-0008-0000-0800-00009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4" name="Text Box 226">
          <a:extLst>
            <a:ext uri="{FF2B5EF4-FFF2-40B4-BE49-F238E27FC236}">
              <a16:creationId xmlns:a16="http://schemas.microsoft.com/office/drawing/2014/main" id="{00000000-0008-0000-0800-00009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5" name="Text Box 227">
          <a:extLst>
            <a:ext uri="{FF2B5EF4-FFF2-40B4-BE49-F238E27FC236}">
              <a16:creationId xmlns:a16="http://schemas.microsoft.com/office/drawing/2014/main" id="{00000000-0008-0000-0800-00009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6" name="Text Box 228">
          <a:extLst>
            <a:ext uri="{FF2B5EF4-FFF2-40B4-BE49-F238E27FC236}">
              <a16:creationId xmlns:a16="http://schemas.microsoft.com/office/drawing/2014/main" id="{00000000-0008-0000-0800-00009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7" name="Text Box 229">
          <a:extLst>
            <a:ext uri="{FF2B5EF4-FFF2-40B4-BE49-F238E27FC236}">
              <a16:creationId xmlns:a16="http://schemas.microsoft.com/office/drawing/2014/main" id="{00000000-0008-0000-0800-00009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8" name="Text Box 230">
          <a:extLst>
            <a:ext uri="{FF2B5EF4-FFF2-40B4-BE49-F238E27FC236}">
              <a16:creationId xmlns:a16="http://schemas.microsoft.com/office/drawing/2014/main" id="{00000000-0008-0000-0800-00009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9" name="Text Box 231">
          <a:extLst>
            <a:ext uri="{FF2B5EF4-FFF2-40B4-BE49-F238E27FC236}">
              <a16:creationId xmlns:a16="http://schemas.microsoft.com/office/drawing/2014/main" id="{00000000-0008-0000-0800-00009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0" name="Text Box 232">
          <a:extLst>
            <a:ext uri="{FF2B5EF4-FFF2-40B4-BE49-F238E27FC236}">
              <a16:creationId xmlns:a16="http://schemas.microsoft.com/office/drawing/2014/main" id="{00000000-0008-0000-0800-0000A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1" name="Text Box 233">
          <a:extLst>
            <a:ext uri="{FF2B5EF4-FFF2-40B4-BE49-F238E27FC236}">
              <a16:creationId xmlns:a16="http://schemas.microsoft.com/office/drawing/2014/main" id="{00000000-0008-0000-0800-0000A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2" name="Text Box 234">
          <a:extLst>
            <a:ext uri="{FF2B5EF4-FFF2-40B4-BE49-F238E27FC236}">
              <a16:creationId xmlns:a16="http://schemas.microsoft.com/office/drawing/2014/main" id="{00000000-0008-0000-0800-0000A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3" name="Text Box 235">
          <a:extLst>
            <a:ext uri="{FF2B5EF4-FFF2-40B4-BE49-F238E27FC236}">
              <a16:creationId xmlns:a16="http://schemas.microsoft.com/office/drawing/2014/main" id="{00000000-0008-0000-0800-0000A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4" name="Text Box 236">
          <a:extLst>
            <a:ext uri="{FF2B5EF4-FFF2-40B4-BE49-F238E27FC236}">
              <a16:creationId xmlns:a16="http://schemas.microsoft.com/office/drawing/2014/main" id="{00000000-0008-0000-0800-0000A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5" name="Text Box 237">
          <a:extLst>
            <a:ext uri="{FF2B5EF4-FFF2-40B4-BE49-F238E27FC236}">
              <a16:creationId xmlns:a16="http://schemas.microsoft.com/office/drawing/2014/main" id="{00000000-0008-0000-0800-0000A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6" name="Text Box 238">
          <a:extLst>
            <a:ext uri="{FF2B5EF4-FFF2-40B4-BE49-F238E27FC236}">
              <a16:creationId xmlns:a16="http://schemas.microsoft.com/office/drawing/2014/main" id="{00000000-0008-0000-0800-0000A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7" name="Text Box 239">
          <a:extLst>
            <a:ext uri="{FF2B5EF4-FFF2-40B4-BE49-F238E27FC236}">
              <a16:creationId xmlns:a16="http://schemas.microsoft.com/office/drawing/2014/main" id="{00000000-0008-0000-0800-0000A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8" name="Text Box 240">
          <a:extLst>
            <a:ext uri="{FF2B5EF4-FFF2-40B4-BE49-F238E27FC236}">
              <a16:creationId xmlns:a16="http://schemas.microsoft.com/office/drawing/2014/main" id="{00000000-0008-0000-0800-0000A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9" name="Text Box 241">
          <a:extLst>
            <a:ext uri="{FF2B5EF4-FFF2-40B4-BE49-F238E27FC236}">
              <a16:creationId xmlns:a16="http://schemas.microsoft.com/office/drawing/2014/main" id="{00000000-0008-0000-0800-0000A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0" name="Text Box 242">
          <a:extLst>
            <a:ext uri="{FF2B5EF4-FFF2-40B4-BE49-F238E27FC236}">
              <a16:creationId xmlns:a16="http://schemas.microsoft.com/office/drawing/2014/main" id="{00000000-0008-0000-0800-0000A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1" name="Text Box 243">
          <a:extLst>
            <a:ext uri="{FF2B5EF4-FFF2-40B4-BE49-F238E27FC236}">
              <a16:creationId xmlns:a16="http://schemas.microsoft.com/office/drawing/2014/main" id="{00000000-0008-0000-0800-0000A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2" name="Text Box 244">
          <a:extLst>
            <a:ext uri="{FF2B5EF4-FFF2-40B4-BE49-F238E27FC236}">
              <a16:creationId xmlns:a16="http://schemas.microsoft.com/office/drawing/2014/main" id="{00000000-0008-0000-0800-0000A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3" name="Text Box 245">
          <a:extLst>
            <a:ext uri="{FF2B5EF4-FFF2-40B4-BE49-F238E27FC236}">
              <a16:creationId xmlns:a16="http://schemas.microsoft.com/office/drawing/2014/main" id="{00000000-0008-0000-0800-0000A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4" name="Text Box 246">
          <a:extLst>
            <a:ext uri="{FF2B5EF4-FFF2-40B4-BE49-F238E27FC236}">
              <a16:creationId xmlns:a16="http://schemas.microsoft.com/office/drawing/2014/main" id="{00000000-0008-0000-0800-0000A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5" name="Text Box 247">
          <a:extLst>
            <a:ext uri="{FF2B5EF4-FFF2-40B4-BE49-F238E27FC236}">
              <a16:creationId xmlns:a16="http://schemas.microsoft.com/office/drawing/2014/main" id="{00000000-0008-0000-0800-0000A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6" name="Text Box 248">
          <a:extLst>
            <a:ext uri="{FF2B5EF4-FFF2-40B4-BE49-F238E27FC236}">
              <a16:creationId xmlns:a16="http://schemas.microsoft.com/office/drawing/2014/main" id="{00000000-0008-0000-0800-0000B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7" name="Text Box 249">
          <a:extLst>
            <a:ext uri="{FF2B5EF4-FFF2-40B4-BE49-F238E27FC236}">
              <a16:creationId xmlns:a16="http://schemas.microsoft.com/office/drawing/2014/main" id="{00000000-0008-0000-0800-0000B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8" name="Text Box 250">
          <a:extLst>
            <a:ext uri="{FF2B5EF4-FFF2-40B4-BE49-F238E27FC236}">
              <a16:creationId xmlns:a16="http://schemas.microsoft.com/office/drawing/2014/main" id="{00000000-0008-0000-0800-0000B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9" name="Text Box 251">
          <a:extLst>
            <a:ext uri="{FF2B5EF4-FFF2-40B4-BE49-F238E27FC236}">
              <a16:creationId xmlns:a16="http://schemas.microsoft.com/office/drawing/2014/main" id="{00000000-0008-0000-0800-0000B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0" name="Text Box 252">
          <a:extLst>
            <a:ext uri="{FF2B5EF4-FFF2-40B4-BE49-F238E27FC236}">
              <a16:creationId xmlns:a16="http://schemas.microsoft.com/office/drawing/2014/main" id="{00000000-0008-0000-0800-0000B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1" name="Text Box 253">
          <a:extLst>
            <a:ext uri="{FF2B5EF4-FFF2-40B4-BE49-F238E27FC236}">
              <a16:creationId xmlns:a16="http://schemas.microsoft.com/office/drawing/2014/main" id="{00000000-0008-0000-0800-0000B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2" name="Text Box 254">
          <a:extLst>
            <a:ext uri="{FF2B5EF4-FFF2-40B4-BE49-F238E27FC236}">
              <a16:creationId xmlns:a16="http://schemas.microsoft.com/office/drawing/2014/main" id="{00000000-0008-0000-0800-0000B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3" name="Text Box 255">
          <a:extLst>
            <a:ext uri="{FF2B5EF4-FFF2-40B4-BE49-F238E27FC236}">
              <a16:creationId xmlns:a16="http://schemas.microsoft.com/office/drawing/2014/main" id="{00000000-0008-0000-0800-0000B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4" name="Text Box 256">
          <a:extLst>
            <a:ext uri="{FF2B5EF4-FFF2-40B4-BE49-F238E27FC236}">
              <a16:creationId xmlns:a16="http://schemas.microsoft.com/office/drawing/2014/main" id="{00000000-0008-0000-0800-0000B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5" name="Text Box 257">
          <a:extLst>
            <a:ext uri="{FF2B5EF4-FFF2-40B4-BE49-F238E27FC236}">
              <a16:creationId xmlns:a16="http://schemas.microsoft.com/office/drawing/2014/main" id="{00000000-0008-0000-0800-0000B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6" name="Text Box 258">
          <a:extLst>
            <a:ext uri="{FF2B5EF4-FFF2-40B4-BE49-F238E27FC236}">
              <a16:creationId xmlns:a16="http://schemas.microsoft.com/office/drawing/2014/main" id="{00000000-0008-0000-0800-0000B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7" name="Text Box 259">
          <a:extLst>
            <a:ext uri="{FF2B5EF4-FFF2-40B4-BE49-F238E27FC236}">
              <a16:creationId xmlns:a16="http://schemas.microsoft.com/office/drawing/2014/main" id="{00000000-0008-0000-0800-0000B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8" name="Text Box 260">
          <a:extLst>
            <a:ext uri="{FF2B5EF4-FFF2-40B4-BE49-F238E27FC236}">
              <a16:creationId xmlns:a16="http://schemas.microsoft.com/office/drawing/2014/main" id="{00000000-0008-0000-0800-0000B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9" name="Text Box 261">
          <a:extLst>
            <a:ext uri="{FF2B5EF4-FFF2-40B4-BE49-F238E27FC236}">
              <a16:creationId xmlns:a16="http://schemas.microsoft.com/office/drawing/2014/main" id="{00000000-0008-0000-0800-0000B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0" name="Text Box 262">
          <a:extLst>
            <a:ext uri="{FF2B5EF4-FFF2-40B4-BE49-F238E27FC236}">
              <a16:creationId xmlns:a16="http://schemas.microsoft.com/office/drawing/2014/main" id="{00000000-0008-0000-0800-0000B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1" name="Text Box 263">
          <a:extLst>
            <a:ext uri="{FF2B5EF4-FFF2-40B4-BE49-F238E27FC236}">
              <a16:creationId xmlns:a16="http://schemas.microsoft.com/office/drawing/2014/main" id="{00000000-0008-0000-0800-0000B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2" name="Text Box 264">
          <a:extLst>
            <a:ext uri="{FF2B5EF4-FFF2-40B4-BE49-F238E27FC236}">
              <a16:creationId xmlns:a16="http://schemas.microsoft.com/office/drawing/2014/main" id="{00000000-0008-0000-0800-0000C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3" name="Text Box 265">
          <a:extLst>
            <a:ext uri="{FF2B5EF4-FFF2-40B4-BE49-F238E27FC236}">
              <a16:creationId xmlns:a16="http://schemas.microsoft.com/office/drawing/2014/main" id="{00000000-0008-0000-0800-0000C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4" name="Text Box 266">
          <a:extLst>
            <a:ext uri="{FF2B5EF4-FFF2-40B4-BE49-F238E27FC236}">
              <a16:creationId xmlns:a16="http://schemas.microsoft.com/office/drawing/2014/main" id="{00000000-0008-0000-0800-0000C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5" name="Text Box 267">
          <a:extLst>
            <a:ext uri="{FF2B5EF4-FFF2-40B4-BE49-F238E27FC236}">
              <a16:creationId xmlns:a16="http://schemas.microsoft.com/office/drawing/2014/main" id="{00000000-0008-0000-0800-0000C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6" name="Text Box 268">
          <a:extLst>
            <a:ext uri="{FF2B5EF4-FFF2-40B4-BE49-F238E27FC236}">
              <a16:creationId xmlns:a16="http://schemas.microsoft.com/office/drawing/2014/main" id="{00000000-0008-0000-0800-0000C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7" name="Text Box 269">
          <a:extLst>
            <a:ext uri="{FF2B5EF4-FFF2-40B4-BE49-F238E27FC236}">
              <a16:creationId xmlns:a16="http://schemas.microsoft.com/office/drawing/2014/main" id="{00000000-0008-0000-0800-0000C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8" name="Text Box 270">
          <a:extLst>
            <a:ext uri="{FF2B5EF4-FFF2-40B4-BE49-F238E27FC236}">
              <a16:creationId xmlns:a16="http://schemas.microsoft.com/office/drawing/2014/main" id="{00000000-0008-0000-0800-0000C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9" name="Text Box 271">
          <a:extLst>
            <a:ext uri="{FF2B5EF4-FFF2-40B4-BE49-F238E27FC236}">
              <a16:creationId xmlns:a16="http://schemas.microsoft.com/office/drawing/2014/main" id="{00000000-0008-0000-0800-0000C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0" name="Text Box 272">
          <a:extLst>
            <a:ext uri="{FF2B5EF4-FFF2-40B4-BE49-F238E27FC236}">
              <a16:creationId xmlns:a16="http://schemas.microsoft.com/office/drawing/2014/main" id="{00000000-0008-0000-0800-0000C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1" name="Text Box 273">
          <a:extLst>
            <a:ext uri="{FF2B5EF4-FFF2-40B4-BE49-F238E27FC236}">
              <a16:creationId xmlns:a16="http://schemas.microsoft.com/office/drawing/2014/main" id="{00000000-0008-0000-0800-0000C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2" name="Text Box 274">
          <a:extLst>
            <a:ext uri="{FF2B5EF4-FFF2-40B4-BE49-F238E27FC236}">
              <a16:creationId xmlns:a16="http://schemas.microsoft.com/office/drawing/2014/main" id="{00000000-0008-0000-0800-0000C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3" name="Text Box 275">
          <a:extLst>
            <a:ext uri="{FF2B5EF4-FFF2-40B4-BE49-F238E27FC236}">
              <a16:creationId xmlns:a16="http://schemas.microsoft.com/office/drawing/2014/main" id="{00000000-0008-0000-0800-0000C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4" name="Text Box 276">
          <a:extLst>
            <a:ext uri="{FF2B5EF4-FFF2-40B4-BE49-F238E27FC236}">
              <a16:creationId xmlns:a16="http://schemas.microsoft.com/office/drawing/2014/main" id="{00000000-0008-0000-0800-0000C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5" name="Text Box 277">
          <a:extLst>
            <a:ext uri="{FF2B5EF4-FFF2-40B4-BE49-F238E27FC236}">
              <a16:creationId xmlns:a16="http://schemas.microsoft.com/office/drawing/2014/main" id="{00000000-0008-0000-0800-0000C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6" name="Text Box 278">
          <a:extLst>
            <a:ext uri="{FF2B5EF4-FFF2-40B4-BE49-F238E27FC236}">
              <a16:creationId xmlns:a16="http://schemas.microsoft.com/office/drawing/2014/main" id="{00000000-0008-0000-0800-0000C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7" name="Text Box 279">
          <a:extLst>
            <a:ext uri="{FF2B5EF4-FFF2-40B4-BE49-F238E27FC236}">
              <a16:creationId xmlns:a16="http://schemas.microsoft.com/office/drawing/2014/main" id="{00000000-0008-0000-0800-0000C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8" name="Text Box 280">
          <a:extLst>
            <a:ext uri="{FF2B5EF4-FFF2-40B4-BE49-F238E27FC236}">
              <a16:creationId xmlns:a16="http://schemas.microsoft.com/office/drawing/2014/main" id="{00000000-0008-0000-0800-0000D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9" name="Text Box 281">
          <a:extLst>
            <a:ext uri="{FF2B5EF4-FFF2-40B4-BE49-F238E27FC236}">
              <a16:creationId xmlns:a16="http://schemas.microsoft.com/office/drawing/2014/main" id="{00000000-0008-0000-0800-0000D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0" name="Text Box 282">
          <a:extLst>
            <a:ext uri="{FF2B5EF4-FFF2-40B4-BE49-F238E27FC236}">
              <a16:creationId xmlns:a16="http://schemas.microsoft.com/office/drawing/2014/main" id="{00000000-0008-0000-0800-0000D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1" name="Text Box 283">
          <a:extLst>
            <a:ext uri="{FF2B5EF4-FFF2-40B4-BE49-F238E27FC236}">
              <a16:creationId xmlns:a16="http://schemas.microsoft.com/office/drawing/2014/main" id="{00000000-0008-0000-0800-0000D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2" name="Text Box 284">
          <a:extLst>
            <a:ext uri="{FF2B5EF4-FFF2-40B4-BE49-F238E27FC236}">
              <a16:creationId xmlns:a16="http://schemas.microsoft.com/office/drawing/2014/main" id="{00000000-0008-0000-0800-0000D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3" name="Text Box 285">
          <a:extLst>
            <a:ext uri="{FF2B5EF4-FFF2-40B4-BE49-F238E27FC236}">
              <a16:creationId xmlns:a16="http://schemas.microsoft.com/office/drawing/2014/main" id="{00000000-0008-0000-0800-0000D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4" name="Text Box 286">
          <a:extLst>
            <a:ext uri="{FF2B5EF4-FFF2-40B4-BE49-F238E27FC236}">
              <a16:creationId xmlns:a16="http://schemas.microsoft.com/office/drawing/2014/main" id="{00000000-0008-0000-0800-0000D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5" name="Text Box 287">
          <a:extLst>
            <a:ext uri="{FF2B5EF4-FFF2-40B4-BE49-F238E27FC236}">
              <a16:creationId xmlns:a16="http://schemas.microsoft.com/office/drawing/2014/main" id="{00000000-0008-0000-0800-0000D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6" name="Text Box 288">
          <a:extLst>
            <a:ext uri="{FF2B5EF4-FFF2-40B4-BE49-F238E27FC236}">
              <a16:creationId xmlns:a16="http://schemas.microsoft.com/office/drawing/2014/main" id="{00000000-0008-0000-0800-0000D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7" name="Text Box 289">
          <a:extLst>
            <a:ext uri="{FF2B5EF4-FFF2-40B4-BE49-F238E27FC236}">
              <a16:creationId xmlns:a16="http://schemas.microsoft.com/office/drawing/2014/main" id="{00000000-0008-0000-0800-0000D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8" name="Text Box 290">
          <a:extLst>
            <a:ext uri="{FF2B5EF4-FFF2-40B4-BE49-F238E27FC236}">
              <a16:creationId xmlns:a16="http://schemas.microsoft.com/office/drawing/2014/main" id="{00000000-0008-0000-0800-0000D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9" name="Text Box 291">
          <a:extLst>
            <a:ext uri="{FF2B5EF4-FFF2-40B4-BE49-F238E27FC236}">
              <a16:creationId xmlns:a16="http://schemas.microsoft.com/office/drawing/2014/main" id="{00000000-0008-0000-0800-0000D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0" name="Text Box 292">
          <a:extLst>
            <a:ext uri="{FF2B5EF4-FFF2-40B4-BE49-F238E27FC236}">
              <a16:creationId xmlns:a16="http://schemas.microsoft.com/office/drawing/2014/main" id="{00000000-0008-0000-0800-0000D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1" name="Text Box 293">
          <a:extLst>
            <a:ext uri="{FF2B5EF4-FFF2-40B4-BE49-F238E27FC236}">
              <a16:creationId xmlns:a16="http://schemas.microsoft.com/office/drawing/2014/main" id="{00000000-0008-0000-0800-0000D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2" name="Text Box 294">
          <a:extLst>
            <a:ext uri="{FF2B5EF4-FFF2-40B4-BE49-F238E27FC236}">
              <a16:creationId xmlns:a16="http://schemas.microsoft.com/office/drawing/2014/main" id="{00000000-0008-0000-0800-0000D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3" name="Text Box 295">
          <a:extLst>
            <a:ext uri="{FF2B5EF4-FFF2-40B4-BE49-F238E27FC236}">
              <a16:creationId xmlns:a16="http://schemas.microsoft.com/office/drawing/2014/main" id="{00000000-0008-0000-0800-0000D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4" name="Text Box 296">
          <a:extLst>
            <a:ext uri="{FF2B5EF4-FFF2-40B4-BE49-F238E27FC236}">
              <a16:creationId xmlns:a16="http://schemas.microsoft.com/office/drawing/2014/main" id="{00000000-0008-0000-0800-0000E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5" name="Text Box 297">
          <a:extLst>
            <a:ext uri="{FF2B5EF4-FFF2-40B4-BE49-F238E27FC236}">
              <a16:creationId xmlns:a16="http://schemas.microsoft.com/office/drawing/2014/main" id="{00000000-0008-0000-0800-0000E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6" name="Text Box 298">
          <a:extLst>
            <a:ext uri="{FF2B5EF4-FFF2-40B4-BE49-F238E27FC236}">
              <a16:creationId xmlns:a16="http://schemas.microsoft.com/office/drawing/2014/main" id="{00000000-0008-0000-0800-0000E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7" name="Text Box 299">
          <a:extLst>
            <a:ext uri="{FF2B5EF4-FFF2-40B4-BE49-F238E27FC236}">
              <a16:creationId xmlns:a16="http://schemas.microsoft.com/office/drawing/2014/main" id="{00000000-0008-0000-0800-0000E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8" name="Text Box 300">
          <a:extLst>
            <a:ext uri="{FF2B5EF4-FFF2-40B4-BE49-F238E27FC236}">
              <a16:creationId xmlns:a16="http://schemas.microsoft.com/office/drawing/2014/main" id="{00000000-0008-0000-0800-0000E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9" name="Text Box 301">
          <a:extLst>
            <a:ext uri="{FF2B5EF4-FFF2-40B4-BE49-F238E27FC236}">
              <a16:creationId xmlns:a16="http://schemas.microsoft.com/office/drawing/2014/main" id="{00000000-0008-0000-0800-0000E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0" name="Text Box 302">
          <a:extLst>
            <a:ext uri="{FF2B5EF4-FFF2-40B4-BE49-F238E27FC236}">
              <a16:creationId xmlns:a16="http://schemas.microsoft.com/office/drawing/2014/main" id="{00000000-0008-0000-0800-0000E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1" name="Text Box 303">
          <a:extLst>
            <a:ext uri="{FF2B5EF4-FFF2-40B4-BE49-F238E27FC236}">
              <a16:creationId xmlns:a16="http://schemas.microsoft.com/office/drawing/2014/main" id="{00000000-0008-0000-0800-0000E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2" name="Text Box 304">
          <a:extLst>
            <a:ext uri="{FF2B5EF4-FFF2-40B4-BE49-F238E27FC236}">
              <a16:creationId xmlns:a16="http://schemas.microsoft.com/office/drawing/2014/main" id="{00000000-0008-0000-0800-0000E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3" name="Text Box 305">
          <a:extLst>
            <a:ext uri="{FF2B5EF4-FFF2-40B4-BE49-F238E27FC236}">
              <a16:creationId xmlns:a16="http://schemas.microsoft.com/office/drawing/2014/main" id="{00000000-0008-0000-0800-0000E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4" name="Text Box 306">
          <a:extLst>
            <a:ext uri="{FF2B5EF4-FFF2-40B4-BE49-F238E27FC236}">
              <a16:creationId xmlns:a16="http://schemas.microsoft.com/office/drawing/2014/main" id="{00000000-0008-0000-0800-0000E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5" name="Text Box 307">
          <a:extLst>
            <a:ext uri="{FF2B5EF4-FFF2-40B4-BE49-F238E27FC236}">
              <a16:creationId xmlns:a16="http://schemas.microsoft.com/office/drawing/2014/main" id="{00000000-0008-0000-0800-0000E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6" name="Text Box 308">
          <a:extLst>
            <a:ext uri="{FF2B5EF4-FFF2-40B4-BE49-F238E27FC236}">
              <a16:creationId xmlns:a16="http://schemas.microsoft.com/office/drawing/2014/main" id="{00000000-0008-0000-0800-0000E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7" name="Text Box 309">
          <a:extLst>
            <a:ext uri="{FF2B5EF4-FFF2-40B4-BE49-F238E27FC236}">
              <a16:creationId xmlns:a16="http://schemas.microsoft.com/office/drawing/2014/main" id="{00000000-0008-0000-0800-0000E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8" name="Text Box 310">
          <a:extLst>
            <a:ext uri="{FF2B5EF4-FFF2-40B4-BE49-F238E27FC236}">
              <a16:creationId xmlns:a16="http://schemas.microsoft.com/office/drawing/2014/main" id="{00000000-0008-0000-0800-0000E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9" name="Text Box 311">
          <a:extLst>
            <a:ext uri="{FF2B5EF4-FFF2-40B4-BE49-F238E27FC236}">
              <a16:creationId xmlns:a16="http://schemas.microsoft.com/office/drawing/2014/main" id="{00000000-0008-0000-0800-0000E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0" name="Text Box 312">
          <a:extLst>
            <a:ext uri="{FF2B5EF4-FFF2-40B4-BE49-F238E27FC236}">
              <a16:creationId xmlns:a16="http://schemas.microsoft.com/office/drawing/2014/main" id="{00000000-0008-0000-0800-0000F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1" name="Text Box 313">
          <a:extLst>
            <a:ext uri="{FF2B5EF4-FFF2-40B4-BE49-F238E27FC236}">
              <a16:creationId xmlns:a16="http://schemas.microsoft.com/office/drawing/2014/main" id="{00000000-0008-0000-0800-0000F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2" name="Text Box 314">
          <a:extLst>
            <a:ext uri="{FF2B5EF4-FFF2-40B4-BE49-F238E27FC236}">
              <a16:creationId xmlns:a16="http://schemas.microsoft.com/office/drawing/2014/main" id="{00000000-0008-0000-0800-0000F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3" name="Text Box 315">
          <a:extLst>
            <a:ext uri="{FF2B5EF4-FFF2-40B4-BE49-F238E27FC236}">
              <a16:creationId xmlns:a16="http://schemas.microsoft.com/office/drawing/2014/main" id="{00000000-0008-0000-0800-0000F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4" name="Text Box 316">
          <a:extLst>
            <a:ext uri="{FF2B5EF4-FFF2-40B4-BE49-F238E27FC236}">
              <a16:creationId xmlns:a16="http://schemas.microsoft.com/office/drawing/2014/main" id="{00000000-0008-0000-0800-0000F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5" name="Text Box 317">
          <a:extLst>
            <a:ext uri="{FF2B5EF4-FFF2-40B4-BE49-F238E27FC236}">
              <a16:creationId xmlns:a16="http://schemas.microsoft.com/office/drawing/2014/main" id="{00000000-0008-0000-0800-0000F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6" name="Text Box 318">
          <a:extLst>
            <a:ext uri="{FF2B5EF4-FFF2-40B4-BE49-F238E27FC236}">
              <a16:creationId xmlns:a16="http://schemas.microsoft.com/office/drawing/2014/main" id="{00000000-0008-0000-0800-0000F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7" name="Text Box 319">
          <a:extLst>
            <a:ext uri="{FF2B5EF4-FFF2-40B4-BE49-F238E27FC236}">
              <a16:creationId xmlns:a16="http://schemas.microsoft.com/office/drawing/2014/main" id="{00000000-0008-0000-0800-0000F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8" name="Text Box 320">
          <a:extLst>
            <a:ext uri="{FF2B5EF4-FFF2-40B4-BE49-F238E27FC236}">
              <a16:creationId xmlns:a16="http://schemas.microsoft.com/office/drawing/2014/main" id="{00000000-0008-0000-0800-0000F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09" name="Text Box 28">
          <a:extLst>
            <a:ext uri="{FF2B5EF4-FFF2-40B4-BE49-F238E27FC236}">
              <a16:creationId xmlns:a16="http://schemas.microsoft.com/office/drawing/2014/main" id="{00000000-0008-0000-0800-0000F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0" name="Text Box 29">
          <a:extLst>
            <a:ext uri="{FF2B5EF4-FFF2-40B4-BE49-F238E27FC236}">
              <a16:creationId xmlns:a16="http://schemas.microsoft.com/office/drawing/2014/main" id="{00000000-0008-0000-0800-0000F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1" name="Text Box 30">
          <a:extLst>
            <a:ext uri="{FF2B5EF4-FFF2-40B4-BE49-F238E27FC236}">
              <a16:creationId xmlns:a16="http://schemas.microsoft.com/office/drawing/2014/main" id="{00000000-0008-0000-0800-0000F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2" name="Text Box 31">
          <a:extLst>
            <a:ext uri="{FF2B5EF4-FFF2-40B4-BE49-F238E27FC236}">
              <a16:creationId xmlns:a16="http://schemas.microsoft.com/office/drawing/2014/main" id="{00000000-0008-0000-0800-0000F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3" name="Text Box 32">
          <a:extLst>
            <a:ext uri="{FF2B5EF4-FFF2-40B4-BE49-F238E27FC236}">
              <a16:creationId xmlns:a16="http://schemas.microsoft.com/office/drawing/2014/main" id="{00000000-0008-0000-0800-0000F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4" name="Text Box 33">
          <a:extLst>
            <a:ext uri="{FF2B5EF4-FFF2-40B4-BE49-F238E27FC236}">
              <a16:creationId xmlns:a16="http://schemas.microsoft.com/office/drawing/2014/main" id="{00000000-0008-0000-0800-0000F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5" name="Text Box 34">
          <a:extLst>
            <a:ext uri="{FF2B5EF4-FFF2-40B4-BE49-F238E27FC236}">
              <a16:creationId xmlns:a16="http://schemas.microsoft.com/office/drawing/2014/main" id="{00000000-0008-0000-0800-0000F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6" name="Text Box 35">
          <a:extLst>
            <a:ext uri="{FF2B5EF4-FFF2-40B4-BE49-F238E27FC236}">
              <a16:creationId xmlns:a16="http://schemas.microsoft.com/office/drawing/2014/main" id="{00000000-0008-0000-0800-00000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7" name="Text Box 36">
          <a:extLst>
            <a:ext uri="{FF2B5EF4-FFF2-40B4-BE49-F238E27FC236}">
              <a16:creationId xmlns:a16="http://schemas.microsoft.com/office/drawing/2014/main" id="{00000000-0008-0000-0800-00000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8" name="Text Box 37">
          <a:extLst>
            <a:ext uri="{FF2B5EF4-FFF2-40B4-BE49-F238E27FC236}">
              <a16:creationId xmlns:a16="http://schemas.microsoft.com/office/drawing/2014/main" id="{00000000-0008-0000-0800-00000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9" name="Text Box 38">
          <a:extLst>
            <a:ext uri="{FF2B5EF4-FFF2-40B4-BE49-F238E27FC236}">
              <a16:creationId xmlns:a16="http://schemas.microsoft.com/office/drawing/2014/main" id="{00000000-0008-0000-0800-00000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0" name="Text Box 39">
          <a:extLst>
            <a:ext uri="{FF2B5EF4-FFF2-40B4-BE49-F238E27FC236}">
              <a16:creationId xmlns:a16="http://schemas.microsoft.com/office/drawing/2014/main" id="{00000000-0008-0000-0800-00000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1" name="Text Box 40">
          <a:extLst>
            <a:ext uri="{FF2B5EF4-FFF2-40B4-BE49-F238E27FC236}">
              <a16:creationId xmlns:a16="http://schemas.microsoft.com/office/drawing/2014/main" id="{00000000-0008-0000-0800-00000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2" name="Text Box 41">
          <a:extLst>
            <a:ext uri="{FF2B5EF4-FFF2-40B4-BE49-F238E27FC236}">
              <a16:creationId xmlns:a16="http://schemas.microsoft.com/office/drawing/2014/main" id="{00000000-0008-0000-0800-00000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3" name="Text Box 42">
          <a:extLst>
            <a:ext uri="{FF2B5EF4-FFF2-40B4-BE49-F238E27FC236}">
              <a16:creationId xmlns:a16="http://schemas.microsoft.com/office/drawing/2014/main" id="{00000000-0008-0000-0800-00000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4" name="Text Box 43">
          <a:extLst>
            <a:ext uri="{FF2B5EF4-FFF2-40B4-BE49-F238E27FC236}">
              <a16:creationId xmlns:a16="http://schemas.microsoft.com/office/drawing/2014/main" id="{00000000-0008-0000-0800-00000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5" name="Text Box 44">
          <a:extLst>
            <a:ext uri="{FF2B5EF4-FFF2-40B4-BE49-F238E27FC236}">
              <a16:creationId xmlns:a16="http://schemas.microsoft.com/office/drawing/2014/main" id="{00000000-0008-0000-0800-00000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6" name="Text Box 45">
          <a:extLst>
            <a:ext uri="{FF2B5EF4-FFF2-40B4-BE49-F238E27FC236}">
              <a16:creationId xmlns:a16="http://schemas.microsoft.com/office/drawing/2014/main" id="{00000000-0008-0000-0800-00000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7" name="Text Box 46">
          <a:extLst>
            <a:ext uri="{FF2B5EF4-FFF2-40B4-BE49-F238E27FC236}">
              <a16:creationId xmlns:a16="http://schemas.microsoft.com/office/drawing/2014/main" id="{00000000-0008-0000-0800-00000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8" name="Text Box 47">
          <a:extLst>
            <a:ext uri="{FF2B5EF4-FFF2-40B4-BE49-F238E27FC236}">
              <a16:creationId xmlns:a16="http://schemas.microsoft.com/office/drawing/2014/main" id="{00000000-0008-0000-0800-00000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9" name="Text Box 48">
          <a:extLst>
            <a:ext uri="{FF2B5EF4-FFF2-40B4-BE49-F238E27FC236}">
              <a16:creationId xmlns:a16="http://schemas.microsoft.com/office/drawing/2014/main" id="{00000000-0008-0000-0800-00000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0" name="Text Box 49">
          <a:extLst>
            <a:ext uri="{FF2B5EF4-FFF2-40B4-BE49-F238E27FC236}">
              <a16:creationId xmlns:a16="http://schemas.microsoft.com/office/drawing/2014/main" id="{00000000-0008-0000-0800-00000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1" name="Text Box 50">
          <a:extLst>
            <a:ext uri="{FF2B5EF4-FFF2-40B4-BE49-F238E27FC236}">
              <a16:creationId xmlns:a16="http://schemas.microsoft.com/office/drawing/2014/main" id="{00000000-0008-0000-0800-00000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2" name="Text Box 51">
          <a:extLst>
            <a:ext uri="{FF2B5EF4-FFF2-40B4-BE49-F238E27FC236}">
              <a16:creationId xmlns:a16="http://schemas.microsoft.com/office/drawing/2014/main" id="{00000000-0008-0000-0800-00001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3" name="Text Box 52">
          <a:extLst>
            <a:ext uri="{FF2B5EF4-FFF2-40B4-BE49-F238E27FC236}">
              <a16:creationId xmlns:a16="http://schemas.microsoft.com/office/drawing/2014/main" id="{00000000-0008-0000-0800-00001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4" name="Text Box 53">
          <a:extLst>
            <a:ext uri="{FF2B5EF4-FFF2-40B4-BE49-F238E27FC236}">
              <a16:creationId xmlns:a16="http://schemas.microsoft.com/office/drawing/2014/main" id="{00000000-0008-0000-0800-00001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5" name="Text Box 54">
          <a:extLst>
            <a:ext uri="{FF2B5EF4-FFF2-40B4-BE49-F238E27FC236}">
              <a16:creationId xmlns:a16="http://schemas.microsoft.com/office/drawing/2014/main" id="{00000000-0008-0000-0800-00001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6" name="Text Box 55">
          <a:extLst>
            <a:ext uri="{FF2B5EF4-FFF2-40B4-BE49-F238E27FC236}">
              <a16:creationId xmlns:a16="http://schemas.microsoft.com/office/drawing/2014/main" id="{00000000-0008-0000-0800-00001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7" name="Text Box 56">
          <a:extLst>
            <a:ext uri="{FF2B5EF4-FFF2-40B4-BE49-F238E27FC236}">
              <a16:creationId xmlns:a16="http://schemas.microsoft.com/office/drawing/2014/main" id="{00000000-0008-0000-0800-00001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8" name="Text Box 57">
          <a:extLst>
            <a:ext uri="{FF2B5EF4-FFF2-40B4-BE49-F238E27FC236}">
              <a16:creationId xmlns:a16="http://schemas.microsoft.com/office/drawing/2014/main" id="{00000000-0008-0000-0800-00001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9" name="Text Box 58">
          <a:extLst>
            <a:ext uri="{FF2B5EF4-FFF2-40B4-BE49-F238E27FC236}">
              <a16:creationId xmlns:a16="http://schemas.microsoft.com/office/drawing/2014/main" id="{00000000-0008-0000-0800-00001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0" name="Text Box 59">
          <a:extLst>
            <a:ext uri="{FF2B5EF4-FFF2-40B4-BE49-F238E27FC236}">
              <a16:creationId xmlns:a16="http://schemas.microsoft.com/office/drawing/2014/main" id="{00000000-0008-0000-0800-00001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1" name="Text Box 60">
          <a:extLst>
            <a:ext uri="{FF2B5EF4-FFF2-40B4-BE49-F238E27FC236}">
              <a16:creationId xmlns:a16="http://schemas.microsoft.com/office/drawing/2014/main" id="{00000000-0008-0000-0800-00001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2" name="Text Box 61">
          <a:extLst>
            <a:ext uri="{FF2B5EF4-FFF2-40B4-BE49-F238E27FC236}">
              <a16:creationId xmlns:a16="http://schemas.microsoft.com/office/drawing/2014/main" id="{00000000-0008-0000-0800-00001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3" name="Text Box 62">
          <a:extLst>
            <a:ext uri="{FF2B5EF4-FFF2-40B4-BE49-F238E27FC236}">
              <a16:creationId xmlns:a16="http://schemas.microsoft.com/office/drawing/2014/main" id="{00000000-0008-0000-0800-00001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4" name="Text Box 63">
          <a:extLst>
            <a:ext uri="{FF2B5EF4-FFF2-40B4-BE49-F238E27FC236}">
              <a16:creationId xmlns:a16="http://schemas.microsoft.com/office/drawing/2014/main" id="{00000000-0008-0000-0800-00001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5" name="Text Box 64">
          <a:extLst>
            <a:ext uri="{FF2B5EF4-FFF2-40B4-BE49-F238E27FC236}">
              <a16:creationId xmlns:a16="http://schemas.microsoft.com/office/drawing/2014/main" id="{00000000-0008-0000-0800-00001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6" name="Text Box 65">
          <a:extLst>
            <a:ext uri="{FF2B5EF4-FFF2-40B4-BE49-F238E27FC236}">
              <a16:creationId xmlns:a16="http://schemas.microsoft.com/office/drawing/2014/main" id="{00000000-0008-0000-0800-00001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7" name="Text Box 66">
          <a:extLst>
            <a:ext uri="{FF2B5EF4-FFF2-40B4-BE49-F238E27FC236}">
              <a16:creationId xmlns:a16="http://schemas.microsoft.com/office/drawing/2014/main" id="{00000000-0008-0000-0800-00001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8" name="Text Box 67">
          <a:extLst>
            <a:ext uri="{FF2B5EF4-FFF2-40B4-BE49-F238E27FC236}">
              <a16:creationId xmlns:a16="http://schemas.microsoft.com/office/drawing/2014/main" id="{00000000-0008-0000-0800-00002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9" name="Text Box 68">
          <a:extLst>
            <a:ext uri="{FF2B5EF4-FFF2-40B4-BE49-F238E27FC236}">
              <a16:creationId xmlns:a16="http://schemas.microsoft.com/office/drawing/2014/main" id="{00000000-0008-0000-0800-00002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0" name="Text Box 69">
          <a:extLst>
            <a:ext uri="{FF2B5EF4-FFF2-40B4-BE49-F238E27FC236}">
              <a16:creationId xmlns:a16="http://schemas.microsoft.com/office/drawing/2014/main" id="{00000000-0008-0000-0800-00002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1" name="Text Box 70">
          <a:extLst>
            <a:ext uri="{FF2B5EF4-FFF2-40B4-BE49-F238E27FC236}">
              <a16:creationId xmlns:a16="http://schemas.microsoft.com/office/drawing/2014/main" id="{00000000-0008-0000-0800-00002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2" name="Text Box 71">
          <a:extLst>
            <a:ext uri="{FF2B5EF4-FFF2-40B4-BE49-F238E27FC236}">
              <a16:creationId xmlns:a16="http://schemas.microsoft.com/office/drawing/2014/main" id="{00000000-0008-0000-0800-00002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3" name="Text Box 72">
          <a:extLst>
            <a:ext uri="{FF2B5EF4-FFF2-40B4-BE49-F238E27FC236}">
              <a16:creationId xmlns:a16="http://schemas.microsoft.com/office/drawing/2014/main" id="{00000000-0008-0000-0800-00002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4" name="Text Box 73">
          <a:extLst>
            <a:ext uri="{FF2B5EF4-FFF2-40B4-BE49-F238E27FC236}">
              <a16:creationId xmlns:a16="http://schemas.microsoft.com/office/drawing/2014/main" id="{00000000-0008-0000-0800-00002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5" name="Text Box 74">
          <a:extLst>
            <a:ext uri="{FF2B5EF4-FFF2-40B4-BE49-F238E27FC236}">
              <a16:creationId xmlns:a16="http://schemas.microsoft.com/office/drawing/2014/main" id="{00000000-0008-0000-0800-00002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6" name="Text Box 75">
          <a:extLst>
            <a:ext uri="{FF2B5EF4-FFF2-40B4-BE49-F238E27FC236}">
              <a16:creationId xmlns:a16="http://schemas.microsoft.com/office/drawing/2014/main" id="{00000000-0008-0000-0800-00002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7" name="Text Box 76">
          <a:extLst>
            <a:ext uri="{FF2B5EF4-FFF2-40B4-BE49-F238E27FC236}">
              <a16:creationId xmlns:a16="http://schemas.microsoft.com/office/drawing/2014/main" id="{00000000-0008-0000-0800-00002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8" name="Text Box 77">
          <a:extLst>
            <a:ext uri="{FF2B5EF4-FFF2-40B4-BE49-F238E27FC236}">
              <a16:creationId xmlns:a16="http://schemas.microsoft.com/office/drawing/2014/main" id="{00000000-0008-0000-0800-00002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9" name="Text Box 78">
          <a:extLst>
            <a:ext uri="{FF2B5EF4-FFF2-40B4-BE49-F238E27FC236}">
              <a16:creationId xmlns:a16="http://schemas.microsoft.com/office/drawing/2014/main" id="{00000000-0008-0000-0800-00002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0" name="Text Box 79">
          <a:extLst>
            <a:ext uri="{FF2B5EF4-FFF2-40B4-BE49-F238E27FC236}">
              <a16:creationId xmlns:a16="http://schemas.microsoft.com/office/drawing/2014/main" id="{00000000-0008-0000-0800-00002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1" name="Text Box 80">
          <a:extLst>
            <a:ext uri="{FF2B5EF4-FFF2-40B4-BE49-F238E27FC236}">
              <a16:creationId xmlns:a16="http://schemas.microsoft.com/office/drawing/2014/main" id="{00000000-0008-0000-0800-00002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2" name="Text Box 81">
          <a:extLst>
            <a:ext uri="{FF2B5EF4-FFF2-40B4-BE49-F238E27FC236}">
              <a16:creationId xmlns:a16="http://schemas.microsoft.com/office/drawing/2014/main" id="{00000000-0008-0000-0800-00002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3" name="Text Box 82">
          <a:extLst>
            <a:ext uri="{FF2B5EF4-FFF2-40B4-BE49-F238E27FC236}">
              <a16:creationId xmlns:a16="http://schemas.microsoft.com/office/drawing/2014/main" id="{00000000-0008-0000-0800-00002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4" name="Text Box 83">
          <a:extLst>
            <a:ext uri="{FF2B5EF4-FFF2-40B4-BE49-F238E27FC236}">
              <a16:creationId xmlns:a16="http://schemas.microsoft.com/office/drawing/2014/main" id="{00000000-0008-0000-0800-00003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5" name="Text Box 84">
          <a:extLst>
            <a:ext uri="{FF2B5EF4-FFF2-40B4-BE49-F238E27FC236}">
              <a16:creationId xmlns:a16="http://schemas.microsoft.com/office/drawing/2014/main" id="{00000000-0008-0000-0800-00003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6" name="Text Box 85">
          <a:extLst>
            <a:ext uri="{FF2B5EF4-FFF2-40B4-BE49-F238E27FC236}">
              <a16:creationId xmlns:a16="http://schemas.microsoft.com/office/drawing/2014/main" id="{00000000-0008-0000-0800-00003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7" name="Text Box 86">
          <a:extLst>
            <a:ext uri="{FF2B5EF4-FFF2-40B4-BE49-F238E27FC236}">
              <a16:creationId xmlns:a16="http://schemas.microsoft.com/office/drawing/2014/main" id="{00000000-0008-0000-0800-00003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8" name="Text Box 87">
          <a:extLst>
            <a:ext uri="{FF2B5EF4-FFF2-40B4-BE49-F238E27FC236}">
              <a16:creationId xmlns:a16="http://schemas.microsoft.com/office/drawing/2014/main" id="{00000000-0008-0000-0800-00003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9" name="Text Box 88">
          <a:extLst>
            <a:ext uri="{FF2B5EF4-FFF2-40B4-BE49-F238E27FC236}">
              <a16:creationId xmlns:a16="http://schemas.microsoft.com/office/drawing/2014/main" id="{00000000-0008-0000-0800-00003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0" name="Text Box 89">
          <a:extLst>
            <a:ext uri="{FF2B5EF4-FFF2-40B4-BE49-F238E27FC236}">
              <a16:creationId xmlns:a16="http://schemas.microsoft.com/office/drawing/2014/main" id="{00000000-0008-0000-0800-00003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1" name="Text Box 90">
          <a:extLst>
            <a:ext uri="{FF2B5EF4-FFF2-40B4-BE49-F238E27FC236}">
              <a16:creationId xmlns:a16="http://schemas.microsoft.com/office/drawing/2014/main" id="{00000000-0008-0000-0800-00003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2" name="Text Box 91">
          <a:extLst>
            <a:ext uri="{FF2B5EF4-FFF2-40B4-BE49-F238E27FC236}">
              <a16:creationId xmlns:a16="http://schemas.microsoft.com/office/drawing/2014/main" id="{00000000-0008-0000-0800-00003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3" name="Text Box 92">
          <a:extLst>
            <a:ext uri="{FF2B5EF4-FFF2-40B4-BE49-F238E27FC236}">
              <a16:creationId xmlns:a16="http://schemas.microsoft.com/office/drawing/2014/main" id="{00000000-0008-0000-0800-00003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4" name="Text Box 93">
          <a:extLst>
            <a:ext uri="{FF2B5EF4-FFF2-40B4-BE49-F238E27FC236}">
              <a16:creationId xmlns:a16="http://schemas.microsoft.com/office/drawing/2014/main" id="{00000000-0008-0000-0800-00003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5" name="Text Box 94">
          <a:extLst>
            <a:ext uri="{FF2B5EF4-FFF2-40B4-BE49-F238E27FC236}">
              <a16:creationId xmlns:a16="http://schemas.microsoft.com/office/drawing/2014/main" id="{00000000-0008-0000-0800-00003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6" name="Text Box 95">
          <a:extLst>
            <a:ext uri="{FF2B5EF4-FFF2-40B4-BE49-F238E27FC236}">
              <a16:creationId xmlns:a16="http://schemas.microsoft.com/office/drawing/2014/main" id="{00000000-0008-0000-0800-00003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7" name="Text Box 96">
          <a:extLst>
            <a:ext uri="{FF2B5EF4-FFF2-40B4-BE49-F238E27FC236}">
              <a16:creationId xmlns:a16="http://schemas.microsoft.com/office/drawing/2014/main" id="{00000000-0008-0000-0800-00003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8" name="Text Box 97">
          <a:extLst>
            <a:ext uri="{FF2B5EF4-FFF2-40B4-BE49-F238E27FC236}">
              <a16:creationId xmlns:a16="http://schemas.microsoft.com/office/drawing/2014/main" id="{00000000-0008-0000-0800-00003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79" name="Text Box 100">
          <a:extLst>
            <a:ext uri="{FF2B5EF4-FFF2-40B4-BE49-F238E27FC236}">
              <a16:creationId xmlns:a16="http://schemas.microsoft.com/office/drawing/2014/main" id="{00000000-0008-0000-0800-00003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0" name="Text Box 101">
          <a:extLst>
            <a:ext uri="{FF2B5EF4-FFF2-40B4-BE49-F238E27FC236}">
              <a16:creationId xmlns:a16="http://schemas.microsoft.com/office/drawing/2014/main" id="{00000000-0008-0000-0800-00004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1" name="Text Box 102">
          <a:extLst>
            <a:ext uri="{FF2B5EF4-FFF2-40B4-BE49-F238E27FC236}">
              <a16:creationId xmlns:a16="http://schemas.microsoft.com/office/drawing/2014/main" id="{00000000-0008-0000-0800-00004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2" name="Text Box 103">
          <a:extLst>
            <a:ext uri="{FF2B5EF4-FFF2-40B4-BE49-F238E27FC236}">
              <a16:creationId xmlns:a16="http://schemas.microsoft.com/office/drawing/2014/main" id="{00000000-0008-0000-0800-00004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3" name="Text Box 104">
          <a:extLst>
            <a:ext uri="{FF2B5EF4-FFF2-40B4-BE49-F238E27FC236}">
              <a16:creationId xmlns:a16="http://schemas.microsoft.com/office/drawing/2014/main" id="{00000000-0008-0000-0800-00004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4" name="Text Box 105">
          <a:extLst>
            <a:ext uri="{FF2B5EF4-FFF2-40B4-BE49-F238E27FC236}">
              <a16:creationId xmlns:a16="http://schemas.microsoft.com/office/drawing/2014/main" id="{00000000-0008-0000-0800-00004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5" name="Text Box 106">
          <a:extLst>
            <a:ext uri="{FF2B5EF4-FFF2-40B4-BE49-F238E27FC236}">
              <a16:creationId xmlns:a16="http://schemas.microsoft.com/office/drawing/2014/main" id="{00000000-0008-0000-0800-00004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6" name="Text Box 107">
          <a:extLst>
            <a:ext uri="{FF2B5EF4-FFF2-40B4-BE49-F238E27FC236}">
              <a16:creationId xmlns:a16="http://schemas.microsoft.com/office/drawing/2014/main" id="{00000000-0008-0000-0800-00004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7" name="Text Box 108">
          <a:extLst>
            <a:ext uri="{FF2B5EF4-FFF2-40B4-BE49-F238E27FC236}">
              <a16:creationId xmlns:a16="http://schemas.microsoft.com/office/drawing/2014/main" id="{00000000-0008-0000-0800-00004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8" name="Text Box 109">
          <a:extLst>
            <a:ext uri="{FF2B5EF4-FFF2-40B4-BE49-F238E27FC236}">
              <a16:creationId xmlns:a16="http://schemas.microsoft.com/office/drawing/2014/main" id="{00000000-0008-0000-0800-00004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9" name="Text Box 110">
          <a:extLst>
            <a:ext uri="{FF2B5EF4-FFF2-40B4-BE49-F238E27FC236}">
              <a16:creationId xmlns:a16="http://schemas.microsoft.com/office/drawing/2014/main" id="{00000000-0008-0000-0800-00004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0" name="Text Box 111">
          <a:extLst>
            <a:ext uri="{FF2B5EF4-FFF2-40B4-BE49-F238E27FC236}">
              <a16:creationId xmlns:a16="http://schemas.microsoft.com/office/drawing/2014/main" id="{00000000-0008-0000-0800-00004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1" name="Text Box 119">
          <a:extLst>
            <a:ext uri="{FF2B5EF4-FFF2-40B4-BE49-F238E27FC236}">
              <a16:creationId xmlns:a16="http://schemas.microsoft.com/office/drawing/2014/main" id="{00000000-0008-0000-0800-00004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2" name="Text Box 120">
          <a:extLst>
            <a:ext uri="{FF2B5EF4-FFF2-40B4-BE49-F238E27FC236}">
              <a16:creationId xmlns:a16="http://schemas.microsoft.com/office/drawing/2014/main" id="{00000000-0008-0000-0800-00004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3" name="Text Box 121">
          <a:extLst>
            <a:ext uri="{FF2B5EF4-FFF2-40B4-BE49-F238E27FC236}">
              <a16:creationId xmlns:a16="http://schemas.microsoft.com/office/drawing/2014/main" id="{00000000-0008-0000-0800-00004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4" name="Text Box 122">
          <a:extLst>
            <a:ext uri="{FF2B5EF4-FFF2-40B4-BE49-F238E27FC236}">
              <a16:creationId xmlns:a16="http://schemas.microsoft.com/office/drawing/2014/main" id="{00000000-0008-0000-0800-00004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5" name="Text Box 123">
          <a:extLst>
            <a:ext uri="{FF2B5EF4-FFF2-40B4-BE49-F238E27FC236}">
              <a16:creationId xmlns:a16="http://schemas.microsoft.com/office/drawing/2014/main" id="{00000000-0008-0000-0800-00004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6" name="Text Box 124">
          <a:extLst>
            <a:ext uri="{FF2B5EF4-FFF2-40B4-BE49-F238E27FC236}">
              <a16:creationId xmlns:a16="http://schemas.microsoft.com/office/drawing/2014/main" id="{00000000-0008-0000-0800-00005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7" name="Text Box 125">
          <a:extLst>
            <a:ext uri="{FF2B5EF4-FFF2-40B4-BE49-F238E27FC236}">
              <a16:creationId xmlns:a16="http://schemas.microsoft.com/office/drawing/2014/main" id="{00000000-0008-0000-0800-00005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8" name="Text Box 126">
          <a:extLst>
            <a:ext uri="{FF2B5EF4-FFF2-40B4-BE49-F238E27FC236}">
              <a16:creationId xmlns:a16="http://schemas.microsoft.com/office/drawing/2014/main" id="{00000000-0008-0000-0800-00005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9" name="Text Box 127">
          <a:extLst>
            <a:ext uri="{FF2B5EF4-FFF2-40B4-BE49-F238E27FC236}">
              <a16:creationId xmlns:a16="http://schemas.microsoft.com/office/drawing/2014/main" id="{00000000-0008-0000-0800-00005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0" name="Text Box 128">
          <a:extLst>
            <a:ext uri="{FF2B5EF4-FFF2-40B4-BE49-F238E27FC236}">
              <a16:creationId xmlns:a16="http://schemas.microsoft.com/office/drawing/2014/main" id="{00000000-0008-0000-0800-00005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1" name="Text Box 129">
          <a:extLst>
            <a:ext uri="{FF2B5EF4-FFF2-40B4-BE49-F238E27FC236}">
              <a16:creationId xmlns:a16="http://schemas.microsoft.com/office/drawing/2014/main" id="{00000000-0008-0000-0800-00005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2" name="Text Box 130">
          <a:extLst>
            <a:ext uri="{FF2B5EF4-FFF2-40B4-BE49-F238E27FC236}">
              <a16:creationId xmlns:a16="http://schemas.microsoft.com/office/drawing/2014/main" id="{00000000-0008-0000-0800-00005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3" name="Text Box 133">
          <a:extLst>
            <a:ext uri="{FF2B5EF4-FFF2-40B4-BE49-F238E27FC236}">
              <a16:creationId xmlns:a16="http://schemas.microsoft.com/office/drawing/2014/main" id="{00000000-0008-0000-0800-00005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4" name="Text Box 134">
          <a:extLst>
            <a:ext uri="{FF2B5EF4-FFF2-40B4-BE49-F238E27FC236}">
              <a16:creationId xmlns:a16="http://schemas.microsoft.com/office/drawing/2014/main" id="{00000000-0008-0000-0800-00005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5" name="Text Box 135">
          <a:extLst>
            <a:ext uri="{FF2B5EF4-FFF2-40B4-BE49-F238E27FC236}">
              <a16:creationId xmlns:a16="http://schemas.microsoft.com/office/drawing/2014/main" id="{00000000-0008-0000-0800-00005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6" name="Text Box 136">
          <a:extLst>
            <a:ext uri="{FF2B5EF4-FFF2-40B4-BE49-F238E27FC236}">
              <a16:creationId xmlns:a16="http://schemas.microsoft.com/office/drawing/2014/main" id="{00000000-0008-0000-0800-00005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7" name="Text Box 137">
          <a:extLst>
            <a:ext uri="{FF2B5EF4-FFF2-40B4-BE49-F238E27FC236}">
              <a16:creationId xmlns:a16="http://schemas.microsoft.com/office/drawing/2014/main" id="{00000000-0008-0000-0800-00005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8" name="Text Box 138">
          <a:extLst>
            <a:ext uri="{FF2B5EF4-FFF2-40B4-BE49-F238E27FC236}">
              <a16:creationId xmlns:a16="http://schemas.microsoft.com/office/drawing/2014/main" id="{00000000-0008-0000-0800-00005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9" name="Text Box 139">
          <a:extLst>
            <a:ext uri="{FF2B5EF4-FFF2-40B4-BE49-F238E27FC236}">
              <a16:creationId xmlns:a16="http://schemas.microsoft.com/office/drawing/2014/main" id="{00000000-0008-0000-0800-00005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0" name="Text Box 140">
          <a:extLst>
            <a:ext uri="{FF2B5EF4-FFF2-40B4-BE49-F238E27FC236}">
              <a16:creationId xmlns:a16="http://schemas.microsoft.com/office/drawing/2014/main" id="{00000000-0008-0000-0800-00005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1" name="Text Box 141">
          <a:extLst>
            <a:ext uri="{FF2B5EF4-FFF2-40B4-BE49-F238E27FC236}">
              <a16:creationId xmlns:a16="http://schemas.microsoft.com/office/drawing/2014/main" id="{00000000-0008-0000-0800-00005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2" name="Text Box 142">
          <a:extLst>
            <a:ext uri="{FF2B5EF4-FFF2-40B4-BE49-F238E27FC236}">
              <a16:creationId xmlns:a16="http://schemas.microsoft.com/office/drawing/2014/main" id="{00000000-0008-0000-0800-00006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3" name="Text Box 143">
          <a:extLst>
            <a:ext uri="{FF2B5EF4-FFF2-40B4-BE49-F238E27FC236}">
              <a16:creationId xmlns:a16="http://schemas.microsoft.com/office/drawing/2014/main" id="{00000000-0008-0000-0800-00006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4" name="Text Box 144">
          <a:extLst>
            <a:ext uri="{FF2B5EF4-FFF2-40B4-BE49-F238E27FC236}">
              <a16:creationId xmlns:a16="http://schemas.microsoft.com/office/drawing/2014/main" id="{00000000-0008-0000-0800-00006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5" name="Text Box 145">
          <a:extLst>
            <a:ext uri="{FF2B5EF4-FFF2-40B4-BE49-F238E27FC236}">
              <a16:creationId xmlns:a16="http://schemas.microsoft.com/office/drawing/2014/main" id="{00000000-0008-0000-0800-00006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6" name="Text Box 146">
          <a:extLst>
            <a:ext uri="{FF2B5EF4-FFF2-40B4-BE49-F238E27FC236}">
              <a16:creationId xmlns:a16="http://schemas.microsoft.com/office/drawing/2014/main" id="{00000000-0008-0000-0800-00006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7" name="Text Box 147">
          <a:extLst>
            <a:ext uri="{FF2B5EF4-FFF2-40B4-BE49-F238E27FC236}">
              <a16:creationId xmlns:a16="http://schemas.microsoft.com/office/drawing/2014/main" id="{00000000-0008-0000-0800-00006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8" name="Text Box 148">
          <a:extLst>
            <a:ext uri="{FF2B5EF4-FFF2-40B4-BE49-F238E27FC236}">
              <a16:creationId xmlns:a16="http://schemas.microsoft.com/office/drawing/2014/main" id="{00000000-0008-0000-0800-00006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9" name="Text Box 149">
          <a:extLst>
            <a:ext uri="{FF2B5EF4-FFF2-40B4-BE49-F238E27FC236}">
              <a16:creationId xmlns:a16="http://schemas.microsoft.com/office/drawing/2014/main" id="{00000000-0008-0000-0800-00006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0" name="Text Box 150">
          <a:extLst>
            <a:ext uri="{FF2B5EF4-FFF2-40B4-BE49-F238E27FC236}">
              <a16:creationId xmlns:a16="http://schemas.microsoft.com/office/drawing/2014/main" id="{00000000-0008-0000-0800-00006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1" name="Text Box 151">
          <a:extLst>
            <a:ext uri="{FF2B5EF4-FFF2-40B4-BE49-F238E27FC236}">
              <a16:creationId xmlns:a16="http://schemas.microsoft.com/office/drawing/2014/main" id="{00000000-0008-0000-0800-00006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2" name="Text Box 152">
          <a:extLst>
            <a:ext uri="{FF2B5EF4-FFF2-40B4-BE49-F238E27FC236}">
              <a16:creationId xmlns:a16="http://schemas.microsoft.com/office/drawing/2014/main" id="{00000000-0008-0000-0800-00006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3" name="Text Box 153">
          <a:extLst>
            <a:ext uri="{FF2B5EF4-FFF2-40B4-BE49-F238E27FC236}">
              <a16:creationId xmlns:a16="http://schemas.microsoft.com/office/drawing/2014/main" id="{00000000-0008-0000-0800-00006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4" name="Text Box 154">
          <a:extLst>
            <a:ext uri="{FF2B5EF4-FFF2-40B4-BE49-F238E27FC236}">
              <a16:creationId xmlns:a16="http://schemas.microsoft.com/office/drawing/2014/main" id="{00000000-0008-0000-0800-00006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5" name="Text Box 155">
          <a:extLst>
            <a:ext uri="{FF2B5EF4-FFF2-40B4-BE49-F238E27FC236}">
              <a16:creationId xmlns:a16="http://schemas.microsoft.com/office/drawing/2014/main" id="{00000000-0008-0000-0800-00006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6" name="Text Box 156">
          <a:extLst>
            <a:ext uri="{FF2B5EF4-FFF2-40B4-BE49-F238E27FC236}">
              <a16:creationId xmlns:a16="http://schemas.microsoft.com/office/drawing/2014/main" id="{00000000-0008-0000-0800-00006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7" name="Text Box 157">
          <a:extLst>
            <a:ext uri="{FF2B5EF4-FFF2-40B4-BE49-F238E27FC236}">
              <a16:creationId xmlns:a16="http://schemas.microsoft.com/office/drawing/2014/main" id="{00000000-0008-0000-0800-00006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8" name="Text Box 158">
          <a:extLst>
            <a:ext uri="{FF2B5EF4-FFF2-40B4-BE49-F238E27FC236}">
              <a16:creationId xmlns:a16="http://schemas.microsoft.com/office/drawing/2014/main" id="{00000000-0008-0000-0800-00007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9" name="Text Box 159">
          <a:extLst>
            <a:ext uri="{FF2B5EF4-FFF2-40B4-BE49-F238E27FC236}">
              <a16:creationId xmlns:a16="http://schemas.microsoft.com/office/drawing/2014/main" id="{00000000-0008-0000-0800-00007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0" name="Text Box 160">
          <a:extLst>
            <a:ext uri="{FF2B5EF4-FFF2-40B4-BE49-F238E27FC236}">
              <a16:creationId xmlns:a16="http://schemas.microsoft.com/office/drawing/2014/main" id="{00000000-0008-0000-0800-00007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1" name="Text Box 161">
          <a:extLst>
            <a:ext uri="{FF2B5EF4-FFF2-40B4-BE49-F238E27FC236}">
              <a16:creationId xmlns:a16="http://schemas.microsoft.com/office/drawing/2014/main" id="{00000000-0008-0000-0800-00007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2" name="Text Box 162">
          <a:extLst>
            <a:ext uri="{FF2B5EF4-FFF2-40B4-BE49-F238E27FC236}">
              <a16:creationId xmlns:a16="http://schemas.microsoft.com/office/drawing/2014/main" id="{00000000-0008-0000-0800-00007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3" name="Text Box 163">
          <a:extLst>
            <a:ext uri="{FF2B5EF4-FFF2-40B4-BE49-F238E27FC236}">
              <a16:creationId xmlns:a16="http://schemas.microsoft.com/office/drawing/2014/main" id="{00000000-0008-0000-0800-00007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4" name="Text Box 164">
          <a:extLst>
            <a:ext uri="{FF2B5EF4-FFF2-40B4-BE49-F238E27FC236}">
              <a16:creationId xmlns:a16="http://schemas.microsoft.com/office/drawing/2014/main" id="{00000000-0008-0000-0800-00007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5" name="Text Box 165">
          <a:extLst>
            <a:ext uri="{FF2B5EF4-FFF2-40B4-BE49-F238E27FC236}">
              <a16:creationId xmlns:a16="http://schemas.microsoft.com/office/drawing/2014/main" id="{00000000-0008-0000-0800-00007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6" name="Text Box 166">
          <a:extLst>
            <a:ext uri="{FF2B5EF4-FFF2-40B4-BE49-F238E27FC236}">
              <a16:creationId xmlns:a16="http://schemas.microsoft.com/office/drawing/2014/main" id="{00000000-0008-0000-0800-00007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7" name="Text Box 167">
          <a:extLst>
            <a:ext uri="{FF2B5EF4-FFF2-40B4-BE49-F238E27FC236}">
              <a16:creationId xmlns:a16="http://schemas.microsoft.com/office/drawing/2014/main" id="{00000000-0008-0000-0800-00007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8" name="Text Box 168">
          <a:extLst>
            <a:ext uri="{FF2B5EF4-FFF2-40B4-BE49-F238E27FC236}">
              <a16:creationId xmlns:a16="http://schemas.microsoft.com/office/drawing/2014/main" id="{00000000-0008-0000-0800-00007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9" name="Text Box 169">
          <a:extLst>
            <a:ext uri="{FF2B5EF4-FFF2-40B4-BE49-F238E27FC236}">
              <a16:creationId xmlns:a16="http://schemas.microsoft.com/office/drawing/2014/main" id="{00000000-0008-0000-0800-00007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0" name="Text Box 170">
          <a:extLst>
            <a:ext uri="{FF2B5EF4-FFF2-40B4-BE49-F238E27FC236}">
              <a16:creationId xmlns:a16="http://schemas.microsoft.com/office/drawing/2014/main" id="{00000000-0008-0000-0800-00007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1" name="Text Box 171">
          <a:extLst>
            <a:ext uri="{FF2B5EF4-FFF2-40B4-BE49-F238E27FC236}">
              <a16:creationId xmlns:a16="http://schemas.microsoft.com/office/drawing/2014/main" id="{00000000-0008-0000-0800-00007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2" name="Text Box 172">
          <a:extLst>
            <a:ext uri="{FF2B5EF4-FFF2-40B4-BE49-F238E27FC236}">
              <a16:creationId xmlns:a16="http://schemas.microsoft.com/office/drawing/2014/main" id="{00000000-0008-0000-0800-00007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3" name="Text Box 173">
          <a:extLst>
            <a:ext uri="{FF2B5EF4-FFF2-40B4-BE49-F238E27FC236}">
              <a16:creationId xmlns:a16="http://schemas.microsoft.com/office/drawing/2014/main" id="{00000000-0008-0000-0800-00007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4" name="Text Box 174">
          <a:extLst>
            <a:ext uri="{FF2B5EF4-FFF2-40B4-BE49-F238E27FC236}">
              <a16:creationId xmlns:a16="http://schemas.microsoft.com/office/drawing/2014/main" id="{00000000-0008-0000-0800-00008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5" name="Text Box 175">
          <a:extLst>
            <a:ext uri="{FF2B5EF4-FFF2-40B4-BE49-F238E27FC236}">
              <a16:creationId xmlns:a16="http://schemas.microsoft.com/office/drawing/2014/main" id="{00000000-0008-0000-0800-00008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6" name="Text Box 176">
          <a:extLst>
            <a:ext uri="{FF2B5EF4-FFF2-40B4-BE49-F238E27FC236}">
              <a16:creationId xmlns:a16="http://schemas.microsoft.com/office/drawing/2014/main" id="{00000000-0008-0000-0800-00008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7" name="Text Box 177">
          <a:extLst>
            <a:ext uri="{FF2B5EF4-FFF2-40B4-BE49-F238E27FC236}">
              <a16:creationId xmlns:a16="http://schemas.microsoft.com/office/drawing/2014/main" id="{00000000-0008-0000-0800-00008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8" name="Text Box 178">
          <a:extLst>
            <a:ext uri="{FF2B5EF4-FFF2-40B4-BE49-F238E27FC236}">
              <a16:creationId xmlns:a16="http://schemas.microsoft.com/office/drawing/2014/main" id="{00000000-0008-0000-0800-00008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9" name="Text Box 179">
          <a:extLst>
            <a:ext uri="{FF2B5EF4-FFF2-40B4-BE49-F238E27FC236}">
              <a16:creationId xmlns:a16="http://schemas.microsoft.com/office/drawing/2014/main" id="{00000000-0008-0000-0800-00008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0" name="Text Box 180">
          <a:extLst>
            <a:ext uri="{FF2B5EF4-FFF2-40B4-BE49-F238E27FC236}">
              <a16:creationId xmlns:a16="http://schemas.microsoft.com/office/drawing/2014/main" id="{00000000-0008-0000-0800-00008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1" name="Text Box 181">
          <a:extLst>
            <a:ext uri="{FF2B5EF4-FFF2-40B4-BE49-F238E27FC236}">
              <a16:creationId xmlns:a16="http://schemas.microsoft.com/office/drawing/2014/main" id="{00000000-0008-0000-0800-00008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2" name="Text Box 182">
          <a:extLst>
            <a:ext uri="{FF2B5EF4-FFF2-40B4-BE49-F238E27FC236}">
              <a16:creationId xmlns:a16="http://schemas.microsoft.com/office/drawing/2014/main" id="{00000000-0008-0000-0800-00008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3" name="Text Box 183">
          <a:extLst>
            <a:ext uri="{FF2B5EF4-FFF2-40B4-BE49-F238E27FC236}">
              <a16:creationId xmlns:a16="http://schemas.microsoft.com/office/drawing/2014/main" id="{00000000-0008-0000-0800-00008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4" name="Text Box 184">
          <a:extLst>
            <a:ext uri="{FF2B5EF4-FFF2-40B4-BE49-F238E27FC236}">
              <a16:creationId xmlns:a16="http://schemas.microsoft.com/office/drawing/2014/main" id="{00000000-0008-0000-0800-00008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5" name="Text Box 185">
          <a:extLst>
            <a:ext uri="{FF2B5EF4-FFF2-40B4-BE49-F238E27FC236}">
              <a16:creationId xmlns:a16="http://schemas.microsoft.com/office/drawing/2014/main" id="{00000000-0008-0000-0800-00008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6" name="Text Box 186">
          <a:extLst>
            <a:ext uri="{FF2B5EF4-FFF2-40B4-BE49-F238E27FC236}">
              <a16:creationId xmlns:a16="http://schemas.microsoft.com/office/drawing/2014/main" id="{00000000-0008-0000-0800-00008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7" name="Text Box 187">
          <a:extLst>
            <a:ext uri="{FF2B5EF4-FFF2-40B4-BE49-F238E27FC236}">
              <a16:creationId xmlns:a16="http://schemas.microsoft.com/office/drawing/2014/main" id="{00000000-0008-0000-0800-00008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8" name="Text Box 188">
          <a:extLst>
            <a:ext uri="{FF2B5EF4-FFF2-40B4-BE49-F238E27FC236}">
              <a16:creationId xmlns:a16="http://schemas.microsoft.com/office/drawing/2014/main" id="{00000000-0008-0000-0800-00008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9" name="Text Box 189">
          <a:extLst>
            <a:ext uri="{FF2B5EF4-FFF2-40B4-BE49-F238E27FC236}">
              <a16:creationId xmlns:a16="http://schemas.microsoft.com/office/drawing/2014/main" id="{00000000-0008-0000-0800-00008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0" name="Text Box 190">
          <a:extLst>
            <a:ext uri="{FF2B5EF4-FFF2-40B4-BE49-F238E27FC236}">
              <a16:creationId xmlns:a16="http://schemas.microsoft.com/office/drawing/2014/main" id="{00000000-0008-0000-0800-00009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1" name="Text Box 191">
          <a:extLst>
            <a:ext uri="{FF2B5EF4-FFF2-40B4-BE49-F238E27FC236}">
              <a16:creationId xmlns:a16="http://schemas.microsoft.com/office/drawing/2014/main" id="{00000000-0008-0000-0800-00009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2" name="Text Box 192">
          <a:extLst>
            <a:ext uri="{FF2B5EF4-FFF2-40B4-BE49-F238E27FC236}">
              <a16:creationId xmlns:a16="http://schemas.microsoft.com/office/drawing/2014/main" id="{00000000-0008-0000-0800-00009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3" name="Text Box 193">
          <a:extLst>
            <a:ext uri="{FF2B5EF4-FFF2-40B4-BE49-F238E27FC236}">
              <a16:creationId xmlns:a16="http://schemas.microsoft.com/office/drawing/2014/main" id="{00000000-0008-0000-0800-00009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4" name="Text Box 194">
          <a:extLst>
            <a:ext uri="{FF2B5EF4-FFF2-40B4-BE49-F238E27FC236}">
              <a16:creationId xmlns:a16="http://schemas.microsoft.com/office/drawing/2014/main" id="{00000000-0008-0000-0800-00009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5" name="Text Box 195">
          <a:extLst>
            <a:ext uri="{FF2B5EF4-FFF2-40B4-BE49-F238E27FC236}">
              <a16:creationId xmlns:a16="http://schemas.microsoft.com/office/drawing/2014/main" id="{00000000-0008-0000-0800-00009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6" name="Text Box 196">
          <a:extLst>
            <a:ext uri="{FF2B5EF4-FFF2-40B4-BE49-F238E27FC236}">
              <a16:creationId xmlns:a16="http://schemas.microsoft.com/office/drawing/2014/main" id="{00000000-0008-0000-0800-00009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7" name="Text Box 197">
          <a:extLst>
            <a:ext uri="{FF2B5EF4-FFF2-40B4-BE49-F238E27FC236}">
              <a16:creationId xmlns:a16="http://schemas.microsoft.com/office/drawing/2014/main" id="{00000000-0008-0000-0800-00009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8" name="Text Box 198">
          <a:extLst>
            <a:ext uri="{FF2B5EF4-FFF2-40B4-BE49-F238E27FC236}">
              <a16:creationId xmlns:a16="http://schemas.microsoft.com/office/drawing/2014/main" id="{00000000-0008-0000-0800-00009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9" name="Text Box 199">
          <a:extLst>
            <a:ext uri="{FF2B5EF4-FFF2-40B4-BE49-F238E27FC236}">
              <a16:creationId xmlns:a16="http://schemas.microsoft.com/office/drawing/2014/main" id="{00000000-0008-0000-0800-00009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0" name="Text Box 200">
          <a:extLst>
            <a:ext uri="{FF2B5EF4-FFF2-40B4-BE49-F238E27FC236}">
              <a16:creationId xmlns:a16="http://schemas.microsoft.com/office/drawing/2014/main" id="{00000000-0008-0000-0800-00009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1" name="Text Box 201">
          <a:extLst>
            <a:ext uri="{FF2B5EF4-FFF2-40B4-BE49-F238E27FC236}">
              <a16:creationId xmlns:a16="http://schemas.microsoft.com/office/drawing/2014/main" id="{00000000-0008-0000-0800-00009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2" name="Text Box 202">
          <a:extLst>
            <a:ext uri="{FF2B5EF4-FFF2-40B4-BE49-F238E27FC236}">
              <a16:creationId xmlns:a16="http://schemas.microsoft.com/office/drawing/2014/main" id="{00000000-0008-0000-0800-00009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3" name="Text Box 203">
          <a:extLst>
            <a:ext uri="{FF2B5EF4-FFF2-40B4-BE49-F238E27FC236}">
              <a16:creationId xmlns:a16="http://schemas.microsoft.com/office/drawing/2014/main" id="{00000000-0008-0000-0800-00009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4" name="Text Box 204">
          <a:extLst>
            <a:ext uri="{FF2B5EF4-FFF2-40B4-BE49-F238E27FC236}">
              <a16:creationId xmlns:a16="http://schemas.microsoft.com/office/drawing/2014/main" id="{00000000-0008-0000-0800-00009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5" name="Text Box 205">
          <a:extLst>
            <a:ext uri="{FF2B5EF4-FFF2-40B4-BE49-F238E27FC236}">
              <a16:creationId xmlns:a16="http://schemas.microsoft.com/office/drawing/2014/main" id="{00000000-0008-0000-0800-00009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6" name="Text Box 206">
          <a:extLst>
            <a:ext uri="{FF2B5EF4-FFF2-40B4-BE49-F238E27FC236}">
              <a16:creationId xmlns:a16="http://schemas.microsoft.com/office/drawing/2014/main" id="{00000000-0008-0000-0800-0000A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7" name="Text Box 207">
          <a:extLst>
            <a:ext uri="{FF2B5EF4-FFF2-40B4-BE49-F238E27FC236}">
              <a16:creationId xmlns:a16="http://schemas.microsoft.com/office/drawing/2014/main" id="{00000000-0008-0000-0800-0000A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8" name="Text Box 208">
          <a:extLst>
            <a:ext uri="{FF2B5EF4-FFF2-40B4-BE49-F238E27FC236}">
              <a16:creationId xmlns:a16="http://schemas.microsoft.com/office/drawing/2014/main" id="{00000000-0008-0000-0800-0000A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9" name="Text Box 209">
          <a:extLst>
            <a:ext uri="{FF2B5EF4-FFF2-40B4-BE49-F238E27FC236}">
              <a16:creationId xmlns:a16="http://schemas.microsoft.com/office/drawing/2014/main" id="{00000000-0008-0000-0800-0000A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0" name="Text Box 210">
          <a:extLst>
            <a:ext uri="{FF2B5EF4-FFF2-40B4-BE49-F238E27FC236}">
              <a16:creationId xmlns:a16="http://schemas.microsoft.com/office/drawing/2014/main" id="{00000000-0008-0000-0800-0000A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1" name="Text Box 211">
          <a:extLst>
            <a:ext uri="{FF2B5EF4-FFF2-40B4-BE49-F238E27FC236}">
              <a16:creationId xmlns:a16="http://schemas.microsoft.com/office/drawing/2014/main" id="{00000000-0008-0000-0800-0000A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2" name="Text Box 212">
          <a:extLst>
            <a:ext uri="{FF2B5EF4-FFF2-40B4-BE49-F238E27FC236}">
              <a16:creationId xmlns:a16="http://schemas.microsoft.com/office/drawing/2014/main" id="{00000000-0008-0000-0800-0000A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3" name="Text Box 213">
          <a:extLst>
            <a:ext uri="{FF2B5EF4-FFF2-40B4-BE49-F238E27FC236}">
              <a16:creationId xmlns:a16="http://schemas.microsoft.com/office/drawing/2014/main" id="{00000000-0008-0000-0800-0000A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4" name="Text Box 214">
          <a:extLst>
            <a:ext uri="{FF2B5EF4-FFF2-40B4-BE49-F238E27FC236}">
              <a16:creationId xmlns:a16="http://schemas.microsoft.com/office/drawing/2014/main" id="{00000000-0008-0000-0800-0000A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5" name="Text Box 215">
          <a:extLst>
            <a:ext uri="{FF2B5EF4-FFF2-40B4-BE49-F238E27FC236}">
              <a16:creationId xmlns:a16="http://schemas.microsoft.com/office/drawing/2014/main" id="{00000000-0008-0000-0800-0000A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6" name="Text Box 216">
          <a:extLst>
            <a:ext uri="{FF2B5EF4-FFF2-40B4-BE49-F238E27FC236}">
              <a16:creationId xmlns:a16="http://schemas.microsoft.com/office/drawing/2014/main" id="{00000000-0008-0000-0800-0000A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7" name="Text Box 217">
          <a:extLst>
            <a:ext uri="{FF2B5EF4-FFF2-40B4-BE49-F238E27FC236}">
              <a16:creationId xmlns:a16="http://schemas.microsoft.com/office/drawing/2014/main" id="{00000000-0008-0000-0800-0000A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8" name="Text Box 218">
          <a:extLst>
            <a:ext uri="{FF2B5EF4-FFF2-40B4-BE49-F238E27FC236}">
              <a16:creationId xmlns:a16="http://schemas.microsoft.com/office/drawing/2014/main" id="{00000000-0008-0000-0800-0000A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9" name="Text Box 219">
          <a:extLst>
            <a:ext uri="{FF2B5EF4-FFF2-40B4-BE49-F238E27FC236}">
              <a16:creationId xmlns:a16="http://schemas.microsoft.com/office/drawing/2014/main" id="{00000000-0008-0000-0800-0000A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0" name="Text Box 220">
          <a:extLst>
            <a:ext uri="{FF2B5EF4-FFF2-40B4-BE49-F238E27FC236}">
              <a16:creationId xmlns:a16="http://schemas.microsoft.com/office/drawing/2014/main" id="{00000000-0008-0000-0800-0000A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1" name="Text Box 221">
          <a:extLst>
            <a:ext uri="{FF2B5EF4-FFF2-40B4-BE49-F238E27FC236}">
              <a16:creationId xmlns:a16="http://schemas.microsoft.com/office/drawing/2014/main" id="{00000000-0008-0000-0800-0000A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2" name="Text Box 222">
          <a:extLst>
            <a:ext uri="{FF2B5EF4-FFF2-40B4-BE49-F238E27FC236}">
              <a16:creationId xmlns:a16="http://schemas.microsoft.com/office/drawing/2014/main" id="{00000000-0008-0000-0800-0000B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3" name="Text Box 223">
          <a:extLst>
            <a:ext uri="{FF2B5EF4-FFF2-40B4-BE49-F238E27FC236}">
              <a16:creationId xmlns:a16="http://schemas.microsoft.com/office/drawing/2014/main" id="{00000000-0008-0000-0800-0000B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4" name="Text Box 224">
          <a:extLst>
            <a:ext uri="{FF2B5EF4-FFF2-40B4-BE49-F238E27FC236}">
              <a16:creationId xmlns:a16="http://schemas.microsoft.com/office/drawing/2014/main" id="{00000000-0008-0000-0800-0000B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5" name="Text Box 225">
          <a:extLst>
            <a:ext uri="{FF2B5EF4-FFF2-40B4-BE49-F238E27FC236}">
              <a16:creationId xmlns:a16="http://schemas.microsoft.com/office/drawing/2014/main" id="{00000000-0008-0000-0800-0000B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6" name="Text Box 226">
          <a:extLst>
            <a:ext uri="{FF2B5EF4-FFF2-40B4-BE49-F238E27FC236}">
              <a16:creationId xmlns:a16="http://schemas.microsoft.com/office/drawing/2014/main" id="{00000000-0008-0000-0800-0000B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7" name="Text Box 227">
          <a:extLst>
            <a:ext uri="{FF2B5EF4-FFF2-40B4-BE49-F238E27FC236}">
              <a16:creationId xmlns:a16="http://schemas.microsoft.com/office/drawing/2014/main" id="{00000000-0008-0000-0800-0000B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8" name="Text Box 228">
          <a:extLst>
            <a:ext uri="{FF2B5EF4-FFF2-40B4-BE49-F238E27FC236}">
              <a16:creationId xmlns:a16="http://schemas.microsoft.com/office/drawing/2014/main" id="{00000000-0008-0000-0800-0000B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9" name="Text Box 229">
          <a:extLst>
            <a:ext uri="{FF2B5EF4-FFF2-40B4-BE49-F238E27FC236}">
              <a16:creationId xmlns:a16="http://schemas.microsoft.com/office/drawing/2014/main" id="{00000000-0008-0000-0800-0000B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0" name="Text Box 230">
          <a:extLst>
            <a:ext uri="{FF2B5EF4-FFF2-40B4-BE49-F238E27FC236}">
              <a16:creationId xmlns:a16="http://schemas.microsoft.com/office/drawing/2014/main" id="{00000000-0008-0000-0800-0000B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1" name="Text Box 231">
          <a:extLst>
            <a:ext uri="{FF2B5EF4-FFF2-40B4-BE49-F238E27FC236}">
              <a16:creationId xmlns:a16="http://schemas.microsoft.com/office/drawing/2014/main" id="{00000000-0008-0000-0800-0000B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2" name="Text Box 232">
          <a:extLst>
            <a:ext uri="{FF2B5EF4-FFF2-40B4-BE49-F238E27FC236}">
              <a16:creationId xmlns:a16="http://schemas.microsoft.com/office/drawing/2014/main" id="{00000000-0008-0000-0800-0000B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3" name="Text Box 233">
          <a:extLst>
            <a:ext uri="{FF2B5EF4-FFF2-40B4-BE49-F238E27FC236}">
              <a16:creationId xmlns:a16="http://schemas.microsoft.com/office/drawing/2014/main" id="{00000000-0008-0000-0800-0000B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4" name="Text Box 234">
          <a:extLst>
            <a:ext uri="{FF2B5EF4-FFF2-40B4-BE49-F238E27FC236}">
              <a16:creationId xmlns:a16="http://schemas.microsoft.com/office/drawing/2014/main" id="{00000000-0008-0000-0800-0000B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5" name="Text Box 235">
          <a:extLst>
            <a:ext uri="{FF2B5EF4-FFF2-40B4-BE49-F238E27FC236}">
              <a16:creationId xmlns:a16="http://schemas.microsoft.com/office/drawing/2014/main" id="{00000000-0008-0000-0800-0000B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6" name="Text Box 236">
          <a:extLst>
            <a:ext uri="{FF2B5EF4-FFF2-40B4-BE49-F238E27FC236}">
              <a16:creationId xmlns:a16="http://schemas.microsoft.com/office/drawing/2014/main" id="{00000000-0008-0000-0800-0000B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7" name="Text Box 237">
          <a:extLst>
            <a:ext uri="{FF2B5EF4-FFF2-40B4-BE49-F238E27FC236}">
              <a16:creationId xmlns:a16="http://schemas.microsoft.com/office/drawing/2014/main" id="{00000000-0008-0000-0800-0000B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8" name="Text Box 238">
          <a:extLst>
            <a:ext uri="{FF2B5EF4-FFF2-40B4-BE49-F238E27FC236}">
              <a16:creationId xmlns:a16="http://schemas.microsoft.com/office/drawing/2014/main" id="{00000000-0008-0000-0800-0000C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9" name="Text Box 239">
          <a:extLst>
            <a:ext uri="{FF2B5EF4-FFF2-40B4-BE49-F238E27FC236}">
              <a16:creationId xmlns:a16="http://schemas.microsoft.com/office/drawing/2014/main" id="{00000000-0008-0000-0800-0000C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0" name="Text Box 240">
          <a:extLst>
            <a:ext uri="{FF2B5EF4-FFF2-40B4-BE49-F238E27FC236}">
              <a16:creationId xmlns:a16="http://schemas.microsoft.com/office/drawing/2014/main" id="{00000000-0008-0000-0800-0000C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1" name="Text Box 241">
          <a:extLst>
            <a:ext uri="{FF2B5EF4-FFF2-40B4-BE49-F238E27FC236}">
              <a16:creationId xmlns:a16="http://schemas.microsoft.com/office/drawing/2014/main" id="{00000000-0008-0000-0800-0000C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2" name="Text Box 242">
          <a:extLst>
            <a:ext uri="{FF2B5EF4-FFF2-40B4-BE49-F238E27FC236}">
              <a16:creationId xmlns:a16="http://schemas.microsoft.com/office/drawing/2014/main" id="{00000000-0008-0000-0800-0000C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3" name="Text Box 243">
          <a:extLst>
            <a:ext uri="{FF2B5EF4-FFF2-40B4-BE49-F238E27FC236}">
              <a16:creationId xmlns:a16="http://schemas.microsoft.com/office/drawing/2014/main" id="{00000000-0008-0000-0800-0000C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4" name="Text Box 244">
          <a:extLst>
            <a:ext uri="{FF2B5EF4-FFF2-40B4-BE49-F238E27FC236}">
              <a16:creationId xmlns:a16="http://schemas.microsoft.com/office/drawing/2014/main" id="{00000000-0008-0000-0800-0000C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5" name="Text Box 245">
          <a:extLst>
            <a:ext uri="{FF2B5EF4-FFF2-40B4-BE49-F238E27FC236}">
              <a16:creationId xmlns:a16="http://schemas.microsoft.com/office/drawing/2014/main" id="{00000000-0008-0000-0800-0000C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6" name="Text Box 246">
          <a:extLst>
            <a:ext uri="{FF2B5EF4-FFF2-40B4-BE49-F238E27FC236}">
              <a16:creationId xmlns:a16="http://schemas.microsoft.com/office/drawing/2014/main" id="{00000000-0008-0000-0800-0000C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7" name="Text Box 247">
          <a:extLst>
            <a:ext uri="{FF2B5EF4-FFF2-40B4-BE49-F238E27FC236}">
              <a16:creationId xmlns:a16="http://schemas.microsoft.com/office/drawing/2014/main" id="{00000000-0008-0000-0800-0000C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8" name="Text Box 248">
          <a:extLst>
            <a:ext uri="{FF2B5EF4-FFF2-40B4-BE49-F238E27FC236}">
              <a16:creationId xmlns:a16="http://schemas.microsoft.com/office/drawing/2014/main" id="{00000000-0008-0000-0800-0000C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9" name="Text Box 249">
          <a:extLst>
            <a:ext uri="{FF2B5EF4-FFF2-40B4-BE49-F238E27FC236}">
              <a16:creationId xmlns:a16="http://schemas.microsoft.com/office/drawing/2014/main" id="{00000000-0008-0000-0800-0000C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0" name="Text Box 250">
          <a:extLst>
            <a:ext uri="{FF2B5EF4-FFF2-40B4-BE49-F238E27FC236}">
              <a16:creationId xmlns:a16="http://schemas.microsoft.com/office/drawing/2014/main" id="{00000000-0008-0000-0800-0000C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1" name="Text Box 251">
          <a:extLst>
            <a:ext uri="{FF2B5EF4-FFF2-40B4-BE49-F238E27FC236}">
              <a16:creationId xmlns:a16="http://schemas.microsoft.com/office/drawing/2014/main" id="{00000000-0008-0000-0800-0000C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2" name="Text Box 252">
          <a:extLst>
            <a:ext uri="{FF2B5EF4-FFF2-40B4-BE49-F238E27FC236}">
              <a16:creationId xmlns:a16="http://schemas.microsoft.com/office/drawing/2014/main" id="{00000000-0008-0000-0800-0000C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3" name="Text Box 253">
          <a:extLst>
            <a:ext uri="{FF2B5EF4-FFF2-40B4-BE49-F238E27FC236}">
              <a16:creationId xmlns:a16="http://schemas.microsoft.com/office/drawing/2014/main" id="{00000000-0008-0000-0800-0000C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4" name="Text Box 254">
          <a:extLst>
            <a:ext uri="{FF2B5EF4-FFF2-40B4-BE49-F238E27FC236}">
              <a16:creationId xmlns:a16="http://schemas.microsoft.com/office/drawing/2014/main" id="{00000000-0008-0000-0800-0000D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5" name="Text Box 255">
          <a:extLst>
            <a:ext uri="{FF2B5EF4-FFF2-40B4-BE49-F238E27FC236}">
              <a16:creationId xmlns:a16="http://schemas.microsoft.com/office/drawing/2014/main" id="{00000000-0008-0000-0800-0000D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6" name="Text Box 256">
          <a:extLst>
            <a:ext uri="{FF2B5EF4-FFF2-40B4-BE49-F238E27FC236}">
              <a16:creationId xmlns:a16="http://schemas.microsoft.com/office/drawing/2014/main" id="{00000000-0008-0000-0800-0000D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7" name="Text Box 257">
          <a:extLst>
            <a:ext uri="{FF2B5EF4-FFF2-40B4-BE49-F238E27FC236}">
              <a16:creationId xmlns:a16="http://schemas.microsoft.com/office/drawing/2014/main" id="{00000000-0008-0000-0800-0000D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8" name="Text Box 258">
          <a:extLst>
            <a:ext uri="{FF2B5EF4-FFF2-40B4-BE49-F238E27FC236}">
              <a16:creationId xmlns:a16="http://schemas.microsoft.com/office/drawing/2014/main" id="{00000000-0008-0000-0800-0000D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9" name="Text Box 259">
          <a:extLst>
            <a:ext uri="{FF2B5EF4-FFF2-40B4-BE49-F238E27FC236}">
              <a16:creationId xmlns:a16="http://schemas.microsoft.com/office/drawing/2014/main" id="{00000000-0008-0000-0800-0000D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0" name="Text Box 260">
          <a:extLst>
            <a:ext uri="{FF2B5EF4-FFF2-40B4-BE49-F238E27FC236}">
              <a16:creationId xmlns:a16="http://schemas.microsoft.com/office/drawing/2014/main" id="{00000000-0008-0000-0800-0000D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1" name="Text Box 261">
          <a:extLst>
            <a:ext uri="{FF2B5EF4-FFF2-40B4-BE49-F238E27FC236}">
              <a16:creationId xmlns:a16="http://schemas.microsoft.com/office/drawing/2014/main" id="{00000000-0008-0000-0800-0000D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2" name="Text Box 262">
          <a:extLst>
            <a:ext uri="{FF2B5EF4-FFF2-40B4-BE49-F238E27FC236}">
              <a16:creationId xmlns:a16="http://schemas.microsoft.com/office/drawing/2014/main" id="{00000000-0008-0000-0800-0000D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3" name="Text Box 263">
          <a:extLst>
            <a:ext uri="{FF2B5EF4-FFF2-40B4-BE49-F238E27FC236}">
              <a16:creationId xmlns:a16="http://schemas.microsoft.com/office/drawing/2014/main" id="{00000000-0008-0000-0800-0000D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4" name="Text Box 264">
          <a:extLst>
            <a:ext uri="{FF2B5EF4-FFF2-40B4-BE49-F238E27FC236}">
              <a16:creationId xmlns:a16="http://schemas.microsoft.com/office/drawing/2014/main" id="{00000000-0008-0000-0800-0000D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5" name="Text Box 265">
          <a:extLst>
            <a:ext uri="{FF2B5EF4-FFF2-40B4-BE49-F238E27FC236}">
              <a16:creationId xmlns:a16="http://schemas.microsoft.com/office/drawing/2014/main" id="{00000000-0008-0000-0800-0000D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6" name="Text Box 266">
          <a:extLst>
            <a:ext uri="{FF2B5EF4-FFF2-40B4-BE49-F238E27FC236}">
              <a16:creationId xmlns:a16="http://schemas.microsoft.com/office/drawing/2014/main" id="{00000000-0008-0000-0800-0000D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7" name="Text Box 267">
          <a:extLst>
            <a:ext uri="{FF2B5EF4-FFF2-40B4-BE49-F238E27FC236}">
              <a16:creationId xmlns:a16="http://schemas.microsoft.com/office/drawing/2014/main" id="{00000000-0008-0000-0800-0000D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8" name="Text Box 268">
          <a:extLst>
            <a:ext uri="{FF2B5EF4-FFF2-40B4-BE49-F238E27FC236}">
              <a16:creationId xmlns:a16="http://schemas.microsoft.com/office/drawing/2014/main" id="{00000000-0008-0000-0800-0000D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9" name="Text Box 269">
          <a:extLst>
            <a:ext uri="{FF2B5EF4-FFF2-40B4-BE49-F238E27FC236}">
              <a16:creationId xmlns:a16="http://schemas.microsoft.com/office/drawing/2014/main" id="{00000000-0008-0000-0800-0000D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0" name="Text Box 270">
          <a:extLst>
            <a:ext uri="{FF2B5EF4-FFF2-40B4-BE49-F238E27FC236}">
              <a16:creationId xmlns:a16="http://schemas.microsoft.com/office/drawing/2014/main" id="{00000000-0008-0000-0800-0000E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1" name="Text Box 271">
          <a:extLst>
            <a:ext uri="{FF2B5EF4-FFF2-40B4-BE49-F238E27FC236}">
              <a16:creationId xmlns:a16="http://schemas.microsoft.com/office/drawing/2014/main" id="{00000000-0008-0000-0800-0000E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2" name="Text Box 272">
          <a:extLst>
            <a:ext uri="{FF2B5EF4-FFF2-40B4-BE49-F238E27FC236}">
              <a16:creationId xmlns:a16="http://schemas.microsoft.com/office/drawing/2014/main" id="{00000000-0008-0000-0800-0000E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3" name="Text Box 273">
          <a:extLst>
            <a:ext uri="{FF2B5EF4-FFF2-40B4-BE49-F238E27FC236}">
              <a16:creationId xmlns:a16="http://schemas.microsoft.com/office/drawing/2014/main" id="{00000000-0008-0000-0800-0000E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4" name="Text Box 274">
          <a:extLst>
            <a:ext uri="{FF2B5EF4-FFF2-40B4-BE49-F238E27FC236}">
              <a16:creationId xmlns:a16="http://schemas.microsoft.com/office/drawing/2014/main" id="{00000000-0008-0000-0800-0000E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5" name="Text Box 275">
          <a:extLst>
            <a:ext uri="{FF2B5EF4-FFF2-40B4-BE49-F238E27FC236}">
              <a16:creationId xmlns:a16="http://schemas.microsoft.com/office/drawing/2014/main" id="{00000000-0008-0000-0800-0000E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6" name="Text Box 276">
          <a:extLst>
            <a:ext uri="{FF2B5EF4-FFF2-40B4-BE49-F238E27FC236}">
              <a16:creationId xmlns:a16="http://schemas.microsoft.com/office/drawing/2014/main" id="{00000000-0008-0000-0800-0000E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7" name="Text Box 277">
          <a:extLst>
            <a:ext uri="{FF2B5EF4-FFF2-40B4-BE49-F238E27FC236}">
              <a16:creationId xmlns:a16="http://schemas.microsoft.com/office/drawing/2014/main" id="{00000000-0008-0000-0800-0000E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8" name="Text Box 278">
          <a:extLst>
            <a:ext uri="{FF2B5EF4-FFF2-40B4-BE49-F238E27FC236}">
              <a16:creationId xmlns:a16="http://schemas.microsoft.com/office/drawing/2014/main" id="{00000000-0008-0000-0800-0000E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9" name="Text Box 279">
          <a:extLst>
            <a:ext uri="{FF2B5EF4-FFF2-40B4-BE49-F238E27FC236}">
              <a16:creationId xmlns:a16="http://schemas.microsoft.com/office/drawing/2014/main" id="{00000000-0008-0000-0800-0000E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0" name="Text Box 280">
          <a:extLst>
            <a:ext uri="{FF2B5EF4-FFF2-40B4-BE49-F238E27FC236}">
              <a16:creationId xmlns:a16="http://schemas.microsoft.com/office/drawing/2014/main" id="{00000000-0008-0000-0800-0000E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1" name="Text Box 281">
          <a:extLst>
            <a:ext uri="{FF2B5EF4-FFF2-40B4-BE49-F238E27FC236}">
              <a16:creationId xmlns:a16="http://schemas.microsoft.com/office/drawing/2014/main" id="{00000000-0008-0000-0800-0000E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2" name="Text Box 282">
          <a:extLst>
            <a:ext uri="{FF2B5EF4-FFF2-40B4-BE49-F238E27FC236}">
              <a16:creationId xmlns:a16="http://schemas.microsoft.com/office/drawing/2014/main" id="{00000000-0008-0000-0800-0000E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3" name="Text Box 283">
          <a:extLst>
            <a:ext uri="{FF2B5EF4-FFF2-40B4-BE49-F238E27FC236}">
              <a16:creationId xmlns:a16="http://schemas.microsoft.com/office/drawing/2014/main" id="{00000000-0008-0000-0800-0000E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4" name="Text Box 284">
          <a:extLst>
            <a:ext uri="{FF2B5EF4-FFF2-40B4-BE49-F238E27FC236}">
              <a16:creationId xmlns:a16="http://schemas.microsoft.com/office/drawing/2014/main" id="{00000000-0008-0000-0800-0000E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5" name="Text Box 285">
          <a:extLst>
            <a:ext uri="{FF2B5EF4-FFF2-40B4-BE49-F238E27FC236}">
              <a16:creationId xmlns:a16="http://schemas.microsoft.com/office/drawing/2014/main" id="{00000000-0008-0000-0800-0000E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6" name="Text Box 286">
          <a:extLst>
            <a:ext uri="{FF2B5EF4-FFF2-40B4-BE49-F238E27FC236}">
              <a16:creationId xmlns:a16="http://schemas.microsoft.com/office/drawing/2014/main" id="{00000000-0008-0000-0800-0000F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7" name="Text Box 287">
          <a:extLst>
            <a:ext uri="{FF2B5EF4-FFF2-40B4-BE49-F238E27FC236}">
              <a16:creationId xmlns:a16="http://schemas.microsoft.com/office/drawing/2014/main" id="{00000000-0008-0000-0800-0000F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8" name="Text Box 288">
          <a:extLst>
            <a:ext uri="{FF2B5EF4-FFF2-40B4-BE49-F238E27FC236}">
              <a16:creationId xmlns:a16="http://schemas.microsoft.com/office/drawing/2014/main" id="{00000000-0008-0000-0800-0000F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9" name="Text Box 289">
          <a:extLst>
            <a:ext uri="{FF2B5EF4-FFF2-40B4-BE49-F238E27FC236}">
              <a16:creationId xmlns:a16="http://schemas.microsoft.com/office/drawing/2014/main" id="{00000000-0008-0000-0800-0000F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0" name="Text Box 290">
          <a:extLst>
            <a:ext uri="{FF2B5EF4-FFF2-40B4-BE49-F238E27FC236}">
              <a16:creationId xmlns:a16="http://schemas.microsoft.com/office/drawing/2014/main" id="{00000000-0008-0000-0800-0000F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1" name="Text Box 291">
          <a:extLst>
            <a:ext uri="{FF2B5EF4-FFF2-40B4-BE49-F238E27FC236}">
              <a16:creationId xmlns:a16="http://schemas.microsoft.com/office/drawing/2014/main" id="{00000000-0008-0000-0800-0000F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2" name="Text Box 292">
          <a:extLst>
            <a:ext uri="{FF2B5EF4-FFF2-40B4-BE49-F238E27FC236}">
              <a16:creationId xmlns:a16="http://schemas.microsoft.com/office/drawing/2014/main" id="{00000000-0008-0000-0800-0000F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3" name="Text Box 293">
          <a:extLst>
            <a:ext uri="{FF2B5EF4-FFF2-40B4-BE49-F238E27FC236}">
              <a16:creationId xmlns:a16="http://schemas.microsoft.com/office/drawing/2014/main" id="{00000000-0008-0000-0800-0000F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4" name="Text Box 294">
          <a:extLst>
            <a:ext uri="{FF2B5EF4-FFF2-40B4-BE49-F238E27FC236}">
              <a16:creationId xmlns:a16="http://schemas.microsoft.com/office/drawing/2014/main" id="{00000000-0008-0000-0800-0000F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5" name="Text Box 295">
          <a:extLst>
            <a:ext uri="{FF2B5EF4-FFF2-40B4-BE49-F238E27FC236}">
              <a16:creationId xmlns:a16="http://schemas.microsoft.com/office/drawing/2014/main" id="{00000000-0008-0000-0800-0000F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6" name="Text Box 296">
          <a:extLst>
            <a:ext uri="{FF2B5EF4-FFF2-40B4-BE49-F238E27FC236}">
              <a16:creationId xmlns:a16="http://schemas.microsoft.com/office/drawing/2014/main" id="{00000000-0008-0000-0800-0000F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7" name="Text Box 297">
          <a:extLst>
            <a:ext uri="{FF2B5EF4-FFF2-40B4-BE49-F238E27FC236}">
              <a16:creationId xmlns:a16="http://schemas.microsoft.com/office/drawing/2014/main" id="{00000000-0008-0000-0800-0000F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8" name="Text Box 298">
          <a:extLst>
            <a:ext uri="{FF2B5EF4-FFF2-40B4-BE49-F238E27FC236}">
              <a16:creationId xmlns:a16="http://schemas.microsoft.com/office/drawing/2014/main" id="{00000000-0008-0000-0800-0000F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9" name="Text Box 299">
          <a:extLst>
            <a:ext uri="{FF2B5EF4-FFF2-40B4-BE49-F238E27FC236}">
              <a16:creationId xmlns:a16="http://schemas.microsoft.com/office/drawing/2014/main" id="{00000000-0008-0000-0800-0000F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0" name="Text Box 300">
          <a:extLst>
            <a:ext uri="{FF2B5EF4-FFF2-40B4-BE49-F238E27FC236}">
              <a16:creationId xmlns:a16="http://schemas.microsoft.com/office/drawing/2014/main" id="{00000000-0008-0000-0800-0000F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1" name="Text Box 301">
          <a:extLst>
            <a:ext uri="{FF2B5EF4-FFF2-40B4-BE49-F238E27FC236}">
              <a16:creationId xmlns:a16="http://schemas.microsoft.com/office/drawing/2014/main" id="{00000000-0008-0000-0800-0000F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2" name="Text Box 302">
          <a:extLst>
            <a:ext uri="{FF2B5EF4-FFF2-40B4-BE49-F238E27FC236}">
              <a16:creationId xmlns:a16="http://schemas.microsoft.com/office/drawing/2014/main" id="{00000000-0008-0000-0800-00000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3" name="Text Box 303">
          <a:extLst>
            <a:ext uri="{FF2B5EF4-FFF2-40B4-BE49-F238E27FC236}">
              <a16:creationId xmlns:a16="http://schemas.microsoft.com/office/drawing/2014/main" id="{00000000-0008-0000-0800-00000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4" name="Text Box 304">
          <a:extLst>
            <a:ext uri="{FF2B5EF4-FFF2-40B4-BE49-F238E27FC236}">
              <a16:creationId xmlns:a16="http://schemas.microsoft.com/office/drawing/2014/main" id="{00000000-0008-0000-0800-00000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5" name="Text Box 305">
          <a:extLst>
            <a:ext uri="{FF2B5EF4-FFF2-40B4-BE49-F238E27FC236}">
              <a16:creationId xmlns:a16="http://schemas.microsoft.com/office/drawing/2014/main" id="{00000000-0008-0000-0800-00000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6" name="Text Box 306">
          <a:extLst>
            <a:ext uri="{FF2B5EF4-FFF2-40B4-BE49-F238E27FC236}">
              <a16:creationId xmlns:a16="http://schemas.microsoft.com/office/drawing/2014/main" id="{00000000-0008-0000-0800-00000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7" name="Text Box 307">
          <a:extLst>
            <a:ext uri="{FF2B5EF4-FFF2-40B4-BE49-F238E27FC236}">
              <a16:creationId xmlns:a16="http://schemas.microsoft.com/office/drawing/2014/main" id="{00000000-0008-0000-0800-00000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8" name="Text Box 308">
          <a:extLst>
            <a:ext uri="{FF2B5EF4-FFF2-40B4-BE49-F238E27FC236}">
              <a16:creationId xmlns:a16="http://schemas.microsoft.com/office/drawing/2014/main" id="{00000000-0008-0000-0800-00000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9" name="Text Box 309">
          <a:extLst>
            <a:ext uri="{FF2B5EF4-FFF2-40B4-BE49-F238E27FC236}">
              <a16:creationId xmlns:a16="http://schemas.microsoft.com/office/drawing/2014/main" id="{00000000-0008-0000-0800-00000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0" name="Text Box 310">
          <a:extLst>
            <a:ext uri="{FF2B5EF4-FFF2-40B4-BE49-F238E27FC236}">
              <a16:creationId xmlns:a16="http://schemas.microsoft.com/office/drawing/2014/main" id="{00000000-0008-0000-0800-00000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1" name="Text Box 311">
          <a:extLst>
            <a:ext uri="{FF2B5EF4-FFF2-40B4-BE49-F238E27FC236}">
              <a16:creationId xmlns:a16="http://schemas.microsoft.com/office/drawing/2014/main" id="{00000000-0008-0000-0800-00000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2" name="Text Box 312">
          <a:extLst>
            <a:ext uri="{FF2B5EF4-FFF2-40B4-BE49-F238E27FC236}">
              <a16:creationId xmlns:a16="http://schemas.microsoft.com/office/drawing/2014/main" id="{00000000-0008-0000-0800-00000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3" name="Text Box 313">
          <a:extLst>
            <a:ext uri="{FF2B5EF4-FFF2-40B4-BE49-F238E27FC236}">
              <a16:creationId xmlns:a16="http://schemas.microsoft.com/office/drawing/2014/main" id="{00000000-0008-0000-0800-00000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4" name="Text Box 314">
          <a:extLst>
            <a:ext uri="{FF2B5EF4-FFF2-40B4-BE49-F238E27FC236}">
              <a16:creationId xmlns:a16="http://schemas.microsoft.com/office/drawing/2014/main" id="{00000000-0008-0000-0800-00000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5" name="Text Box 315">
          <a:extLst>
            <a:ext uri="{FF2B5EF4-FFF2-40B4-BE49-F238E27FC236}">
              <a16:creationId xmlns:a16="http://schemas.microsoft.com/office/drawing/2014/main" id="{00000000-0008-0000-0800-00000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6" name="Text Box 316">
          <a:extLst>
            <a:ext uri="{FF2B5EF4-FFF2-40B4-BE49-F238E27FC236}">
              <a16:creationId xmlns:a16="http://schemas.microsoft.com/office/drawing/2014/main" id="{00000000-0008-0000-0800-00000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7" name="Text Box 317">
          <a:extLst>
            <a:ext uri="{FF2B5EF4-FFF2-40B4-BE49-F238E27FC236}">
              <a16:creationId xmlns:a16="http://schemas.microsoft.com/office/drawing/2014/main" id="{00000000-0008-0000-0800-00000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8" name="Text Box 318">
          <a:extLst>
            <a:ext uri="{FF2B5EF4-FFF2-40B4-BE49-F238E27FC236}">
              <a16:creationId xmlns:a16="http://schemas.microsoft.com/office/drawing/2014/main" id="{00000000-0008-0000-0800-00001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9" name="Text Box 319">
          <a:extLst>
            <a:ext uri="{FF2B5EF4-FFF2-40B4-BE49-F238E27FC236}">
              <a16:creationId xmlns:a16="http://schemas.microsoft.com/office/drawing/2014/main" id="{00000000-0008-0000-0800-00001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90" name="Text Box 320">
          <a:extLst>
            <a:ext uri="{FF2B5EF4-FFF2-40B4-BE49-F238E27FC236}">
              <a16:creationId xmlns:a16="http://schemas.microsoft.com/office/drawing/2014/main" id="{00000000-0008-0000-0800-00001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1" name="Text Box 28">
          <a:extLst>
            <a:ext uri="{FF2B5EF4-FFF2-40B4-BE49-F238E27FC236}">
              <a16:creationId xmlns:a16="http://schemas.microsoft.com/office/drawing/2014/main" id="{00000000-0008-0000-0800-00001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2" name="Text Box 29">
          <a:extLst>
            <a:ext uri="{FF2B5EF4-FFF2-40B4-BE49-F238E27FC236}">
              <a16:creationId xmlns:a16="http://schemas.microsoft.com/office/drawing/2014/main" id="{00000000-0008-0000-0800-00001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3" name="Text Box 30">
          <a:extLst>
            <a:ext uri="{FF2B5EF4-FFF2-40B4-BE49-F238E27FC236}">
              <a16:creationId xmlns:a16="http://schemas.microsoft.com/office/drawing/2014/main" id="{00000000-0008-0000-0800-00001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4" name="Text Box 31">
          <a:extLst>
            <a:ext uri="{FF2B5EF4-FFF2-40B4-BE49-F238E27FC236}">
              <a16:creationId xmlns:a16="http://schemas.microsoft.com/office/drawing/2014/main" id="{00000000-0008-0000-0800-00001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5" name="Text Box 32">
          <a:extLst>
            <a:ext uri="{FF2B5EF4-FFF2-40B4-BE49-F238E27FC236}">
              <a16:creationId xmlns:a16="http://schemas.microsoft.com/office/drawing/2014/main" id="{00000000-0008-0000-0800-00001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6" name="Text Box 33">
          <a:extLst>
            <a:ext uri="{FF2B5EF4-FFF2-40B4-BE49-F238E27FC236}">
              <a16:creationId xmlns:a16="http://schemas.microsoft.com/office/drawing/2014/main" id="{00000000-0008-0000-0800-00001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7" name="Text Box 34">
          <a:extLst>
            <a:ext uri="{FF2B5EF4-FFF2-40B4-BE49-F238E27FC236}">
              <a16:creationId xmlns:a16="http://schemas.microsoft.com/office/drawing/2014/main" id="{00000000-0008-0000-0800-00001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8" name="Text Box 35">
          <a:extLst>
            <a:ext uri="{FF2B5EF4-FFF2-40B4-BE49-F238E27FC236}">
              <a16:creationId xmlns:a16="http://schemas.microsoft.com/office/drawing/2014/main" id="{00000000-0008-0000-0800-00001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9" name="Text Box 36">
          <a:extLst>
            <a:ext uri="{FF2B5EF4-FFF2-40B4-BE49-F238E27FC236}">
              <a16:creationId xmlns:a16="http://schemas.microsoft.com/office/drawing/2014/main" id="{00000000-0008-0000-0800-00001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0" name="Text Box 37">
          <a:extLst>
            <a:ext uri="{FF2B5EF4-FFF2-40B4-BE49-F238E27FC236}">
              <a16:creationId xmlns:a16="http://schemas.microsoft.com/office/drawing/2014/main" id="{00000000-0008-0000-0800-00001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1" name="Text Box 38">
          <a:extLst>
            <a:ext uri="{FF2B5EF4-FFF2-40B4-BE49-F238E27FC236}">
              <a16:creationId xmlns:a16="http://schemas.microsoft.com/office/drawing/2014/main" id="{00000000-0008-0000-0800-00001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2" name="Text Box 39">
          <a:extLst>
            <a:ext uri="{FF2B5EF4-FFF2-40B4-BE49-F238E27FC236}">
              <a16:creationId xmlns:a16="http://schemas.microsoft.com/office/drawing/2014/main" id="{00000000-0008-0000-0800-00001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3" name="Text Box 40">
          <a:extLst>
            <a:ext uri="{FF2B5EF4-FFF2-40B4-BE49-F238E27FC236}">
              <a16:creationId xmlns:a16="http://schemas.microsoft.com/office/drawing/2014/main" id="{00000000-0008-0000-0800-00001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4" name="Text Box 41">
          <a:extLst>
            <a:ext uri="{FF2B5EF4-FFF2-40B4-BE49-F238E27FC236}">
              <a16:creationId xmlns:a16="http://schemas.microsoft.com/office/drawing/2014/main" id="{00000000-0008-0000-0800-00002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5" name="Text Box 42">
          <a:extLst>
            <a:ext uri="{FF2B5EF4-FFF2-40B4-BE49-F238E27FC236}">
              <a16:creationId xmlns:a16="http://schemas.microsoft.com/office/drawing/2014/main" id="{00000000-0008-0000-0800-00002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6" name="Text Box 43">
          <a:extLst>
            <a:ext uri="{FF2B5EF4-FFF2-40B4-BE49-F238E27FC236}">
              <a16:creationId xmlns:a16="http://schemas.microsoft.com/office/drawing/2014/main" id="{00000000-0008-0000-0800-00002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7" name="Text Box 44">
          <a:extLst>
            <a:ext uri="{FF2B5EF4-FFF2-40B4-BE49-F238E27FC236}">
              <a16:creationId xmlns:a16="http://schemas.microsoft.com/office/drawing/2014/main" id="{00000000-0008-0000-0800-00002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8" name="Text Box 45">
          <a:extLst>
            <a:ext uri="{FF2B5EF4-FFF2-40B4-BE49-F238E27FC236}">
              <a16:creationId xmlns:a16="http://schemas.microsoft.com/office/drawing/2014/main" id="{00000000-0008-0000-0800-00002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9" name="Text Box 46">
          <a:extLst>
            <a:ext uri="{FF2B5EF4-FFF2-40B4-BE49-F238E27FC236}">
              <a16:creationId xmlns:a16="http://schemas.microsoft.com/office/drawing/2014/main" id="{00000000-0008-0000-0800-00002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0" name="Text Box 47">
          <a:extLst>
            <a:ext uri="{FF2B5EF4-FFF2-40B4-BE49-F238E27FC236}">
              <a16:creationId xmlns:a16="http://schemas.microsoft.com/office/drawing/2014/main" id="{00000000-0008-0000-0800-00002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1" name="Text Box 48">
          <a:extLst>
            <a:ext uri="{FF2B5EF4-FFF2-40B4-BE49-F238E27FC236}">
              <a16:creationId xmlns:a16="http://schemas.microsoft.com/office/drawing/2014/main" id="{00000000-0008-0000-0800-00002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2" name="Text Box 49">
          <a:extLst>
            <a:ext uri="{FF2B5EF4-FFF2-40B4-BE49-F238E27FC236}">
              <a16:creationId xmlns:a16="http://schemas.microsoft.com/office/drawing/2014/main" id="{00000000-0008-0000-0800-00002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3" name="Text Box 50">
          <a:extLst>
            <a:ext uri="{FF2B5EF4-FFF2-40B4-BE49-F238E27FC236}">
              <a16:creationId xmlns:a16="http://schemas.microsoft.com/office/drawing/2014/main" id="{00000000-0008-0000-0800-00002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4" name="Text Box 51">
          <a:extLst>
            <a:ext uri="{FF2B5EF4-FFF2-40B4-BE49-F238E27FC236}">
              <a16:creationId xmlns:a16="http://schemas.microsoft.com/office/drawing/2014/main" id="{00000000-0008-0000-0800-00002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5" name="Text Box 52">
          <a:extLst>
            <a:ext uri="{FF2B5EF4-FFF2-40B4-BE49-F238E27FC236}">
              <a16:creationId xmlns:a16="http://schemas.microsoft.com/office/drawing/2014/main" id="{00000000-0008-0000-0800-00002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6" name="Text Box 53">
          <a:extLst>
            <a:ext uri="{FF2B5EF4-FFF2-40B4-BE49-F238E27FC236}">
              <a16:creationId xmlns:a16="http://schemas.microsoft.com/office/drawing/2014/main" id="{00000000-0008-0000-0800-00002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7" name="Text Box 54">
          <a:extLst>
            <a:ext uri="{FF2B5EF4-FFF2-40B4-BE49-F238E27FC236}">
              <a16:creationId xmlns:a16="http://schemas.microsoft.com/office/drawing/2014/main" id="{00000000-0008-0000-0800-00002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8" name="Text Box 55">
          <a:extLst>
            <a:ext uri="{FF2B5EF4-FFF2-40B4-BE49-F238E27FC236}">
              <a16:creationId xmlns:a16="http://schemas.microsoft.com/office/drawing/2014/main" id="{00000000-0008-0000-0800-00002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9" name="Text Box 56">
          <a:extLst>
            <a:ext uri="{FF2B5EF4-FFF2-40B4-BE49-F238E27FC236}">
              <a16:creationId xmlns:a16="http://schemas.microsoft.com/office/drawing/2014/main" id="{00000000-0008-0000-0800-00002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0" name="Text Box 57">
          <a:extLst>
            <a:ext uri="{FF2B5EF4-FFF2-40B4-BE49-F238E27FC236}">
              <a16:creationId xmlns:a16="http://schemas.microsoft.com/office/drawing/2014/main" id="{00000000-0008-0000-0800-00003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1" name="Text Box 58">
          <a:extLst>
            <a:ext uri="{FF2B5EF4-FFF2-40B4-BE49-F238E27FC236}">
              <a16:creationId xmlns:a16="http://schemas.microsoft.com/office/drawing/2014/main" id="{00000000-0008-0000-0800-00003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2" name="Text Box 59">
          <a:extLst>
            <a:ext uri="{FF2B5EF4-FFF2-40B4-BE49-F238E27FC236}">
              <a16:creationId xmlns:a16="http://schemas.microsoft.com/office/drawing/2014/main" id="{00000000-0008-0000-0800-00003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3" name="Text Box 60">
          <a:extLst>
            <a:ext uri="{FF2B5EF4-FFF2-40B4-BE49-F238E27FC236}">
              <a16:creationId xmlns:a16="http://schemas.microsoft.com/office/drawing/2014/main" id="{00000000-0008-0000-0800-00003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4" name="Text Box 61">
          <a:extLst>
            <a:ext uri="{FF2B5EF4-FFF2-40B4-BE49-F238E27FC236}">
              <a16:creationId xmlns:a16="http://schemas.microsoft.com/office/drawing/2014/main" id="{00000000-0008-0000-0800-00003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5" name="Text Box 62">
          <a:extLst>
            <a:ext uri="{FF2B5EF4-FFF2-40B4-BE49-F238E27FC236}">
              <a16:creationId xmlns:a16="http://schemas.microsoft.com/office/drawing/2014/main" id="{00000000-0008-0000-0800-00003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6" name="Text Box 63">
          <a:extLst>
            <a:ext uri="{FF2B5EF4-FFF2-40B4-BE49-F238E27FC236}">
              <a16:creationId xmlns:a16="http://schemas.microsoft.com/office/drawing/2014/main" id="{00000000-0008-0000-0800-00003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7" name="Text Box 64">
          <a:extLst>
            <a:ext uri="{FF2B5EF4-FFF2-40B4-BE49-F238E27FC236}">
              <a16:creationId xmlns:a16="http://schemas.microsoft.com/office/drawing/2014/main" id="{00000000-0008-0000-0800-00003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8" name="Text Box 65">
          <a:extLst>
            <a:ext uri="{FF2B5EF4-FFF2-40B4-BE49-F238E27FC236}">
              <a16:creationId xmlns:a16="http://schemas.microsoft.com/office/drawing/2014/main" id="{00000000-0008-0000-0800-00003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9" name="Text Box 66">
          <a:extLst>
            <a:ext uri="{FF2B5EF4-FFF2-40B4-BE49-F238E27FC236}">
              <a16:creationId xmlns:a16="http://schemas.microsoft.com/office/drawing/2014/main" id="{00000000-0008-0000-0800-00003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0" name="Text Box 67">
          <a:extLst>
            <a:ext uri="{FF2B5EF4-FFF2-40B4-BE49-F238E27FC236}">
              <a16:creationId xmlns:a16="http://schemas.microsoft.com/office/drawing/2014/main" id="{00000000-0008-0000-0800-00003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1" name="Text Box 68">
          <a:extLst>
            <a:ext uri="{FF2B5EF4-FFF2-40B4-BE49-F238E27FC236}">
              <a16:creationId xmlns:a16="http://schemas.microsoft.com/office/drawing/2014/main" id="{00000000-0008-0000-0800-00003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2" name="Text Box 69">
          <a:extLst>
            <a:ext uri="{FF2B5EF4-FFF2-40B4-BE49-F238E27FC236}">
              <a16:creationId xmlns:a16="http://schemas.microsoft.com/office/drawing/2014/main" id="{00000000-0008-0000-0800-00003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3" name="Text Box 70">
          <a:extLst>
            <a:ext uri="{FF2B5EF4-FFF2-40B4-BE49-F238E27FC236}">
              <a16:creationId xmlns:a16="http://schemas.microsoft.com/office/drawing/2014/main" id="{00000000-0008-0000-0800-00003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4" name="Text Box 71">
          <a:extLst>
            <a:ext uri="{FF2B5EF4-FFF2-40B4-BE49-F238E27FC236}">
              <a16:creationId xmlns:a16="http://schemas.microsoft.com/office/drawing/2014/main" id="{00000000-0008-0000-0800-00003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5" name="Text Box 72">
          <a:extLst>
            <a:ext uri="{FF2B5EF4-FFF2-40B4-BE49-F238E27FC236}">
              <a16:creationId xmlns:a16="http://schemas.microsoft.com/office/drawing/2014/main" id="{00000000-0008-0000-0800-00003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6" name="Text Box 73">
          <a:extLst>
            <a:ext uri="{FF2B5EF4-FFF2-40B4-BE49-F238E27FC236}">
              <a16:creationId xmlns:a16="http://schemas.microsoft.com/office/drawing/2014/main" id="{00000000-0008-0000-0800-00004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7" name="Text Box 74">
          <a:extLst>
            <a:ext uri="{FF2B5EF4-FFF2-40B4-BE49-F238E27FC236}">
              <a16:creationId xmlns:a16="http://schemas.microsoft.com/office/drawing/2014/main" id="{00000000-0008-0000-0800-00004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8" name="Text Box 75">
          <a:extLst>
            <a:ext uri="{FF2B5EF4-FFF2-40B4-BE49-F238E27FC236}">
              <a16:creationId xmlns:a16="http://schemas.microsoft.com/office/drawing/2014/main" id="{00000000-0008-0000-0800-00004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9" name="Text Box 76">
          <a:extLst>
            <a:ext uri="{FF2B5EF4-FFF2-40B4-BE49-F238E27FC236}">
              <a16:creationId xmlns:a16="http://schemas.microsoft.com/office/drawing/2014/main" id="{00000000-0008-0000-0800-00004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0" name="Text Box 77">
          <a:extLst>
            <a:ext uri="{FF2B5EF4-FFF2-40B4-BE49-F238E27FC236}">
              <a16:creationId xmlns:a16="http://schemas.microsoft.com/office/drawing/2014/main" id="{00000000-0008-0000-0800-00004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1" name="Text Box 78">
          <a:extLst>
            <a:ext uri="{FF2B5EF4-FFF2-40B4-BE49-F238E27FC236}">
              <a16:creationId xmlns:a16="http://schemas.microsoft.com/office/drawing/2014/main" id="{00000000-0008-0000-0800-00004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2" name="Text Box 79">
          <a:extLst>
            <a:ext uri="{FF2B5EF4-FFF2-40B4-BE49-F238E27FC236}">
              <a16:creationId xmlns:a16="http://schemas.microsoft.com/office/drawing/2014/main" id="{00000000-0008-0000-0800-00004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3" name="Text Box 80">
          <a:extLst>
            <a:ext uri="{FF2B5EF4-FFF2-40B4-BE49-F238E27FC236}">
              <a16:creationId xmlns:a16="http://schemas.microsoft.com/office/drawing/2014/main" id="{00000000-0008-0000-0800-00004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4" name="Text Box 81">
          <a:extLst>
            <a:ext uri="{FF2B5EF4-FFF2-40B4-BE49-F238E27FC236}">
              <a16:creationId xmlns:a16="http://schemas.microsoft.com/office/drawing/2014/main" id="{00000000-0008-0000-0800-00004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5" name="Text Box 82">
          <a:extLst>
            <a:ext uri="{FF2B5EF4-FFF2-40B4-BE49-F238E27FC236}">
              <a16:creationId xmlns:a16="http://schemas.microsoft.com/office/drawing/2014/main" id="{00000000-0008-0000-0800-00004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6" name="Text Box 83">
          <a:extLst>
            <a:ext uri="{FF2B5EF4-FFF2-40B4-BE49-F238E27FC236}">
              <a16:creationId xmlns:a16="http://schemas.microsoft.com/office/drawing/2014/main" id="{00000000-0008-0000-0800-00004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7" name="Text Box 84">
          <a:extLst>
            <a:ext uri="{FF2B5EF4-FFF2-40B4-BE49-F238E27FC236}">
              <a16:creationId xmlns:a16="http://schemas.microsoft.com/office/drawing/2014/main" id="{00000000-0008-0000-0800-00004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8" name="Text Box 85">
          <a:extLst>
            <a:ext uri="{FF2B5EF4-FFF2-40B4-BE49-F238E27FC236}">
              <a16:creationId xmlns:a16="http://schemas.microsoft.com/office/drawing/2014/main" id="{00000000-0008-0000-0800-00004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9" name="Text Box 86">
          <a:extLst>
            <a:ext uri="{FF2B5EF4-FFF2-40B4-BE49-F238E27FC236}">
              <a16:creationId xmlns:a16="http://schemas.microsoft.com/office/drawing/2014/main" id="{00000000-0008-0000-0800-00004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0" name="Text Box 87">
          <a:extLst>
            <a:ext uri="{FF2B5EF4-FFF2-40B4-BE49-F238E27FC236}">
              <a16:creationId xmlns:a16="http://schemas.microsoft.com/office/drawing/2014/main" id="{00000000-0008-0000-0800-00004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1" name="Text Box 88">
          <a:extLst>
            <a:ext uri="{FF2B5EF4-FFF2-40B4-BE49-F238E27FC236}">
              <a16:creationId xmlns:a16="http://schemas.microsoft.com/office/drawing/2014/main" id="{00000000-0008-0000-0800-00004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2" name="Text Box 89">
          <a:extLst>
            <a:ext uri="{FF2B5EF4-FFF2-40B4-BE49-F238E27FC236}">
              <a16:creationId xmlns:a16="http://schemas.microsoft.com/office/drawing/2014/main" id="{00000000-0008-0000-0800-00005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3" name="Text Box 90">
          <a:extLst>
            <a:ext uri="{FF2B5EF4-FFF2-40B4-BE49-F238E27FC236}">
              <a16:creationId xmlns:a16="http://schemas.microsoft.com/office/drawing/2014/main" id="{00000000-0008-0000-0800-00005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4" name="Text Box 91">
          <a:extLst>
            <a:ext uri="{FF2B5EF4-FFF2-40B4-BE49-F238E27FC236}">
              <a16:creationId xmlns:a16="http://schemas.microsoft.com/office/drawing/2014/main" id="{00000000-0008-0000-0800-00005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5" name="Text Box 92">
          <a:extLst>
            <a:ext uri="{FF2B5EF4-FFF2-40B4-BE49-F238E27FC236}">
              <a16:creationId xmlns:a16="http://schemas.microsoft.com/office/drawing/2014/main" id="{00000000-0008-0000-0800-00005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6" name="Text Box 93">
          <a:extLst>
            <a:ext uri="{FF2B5EF4-FFF2-40B4-BE49-F238E27FC236}">
              <a16:creationId xmlns:a16="http://schemas.microsoft.com/office/drawing/2014/main" id="{00000000-0008-0000-0800-00005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7" name="Text Box 94">
          <a:extLst>
            <a:ext uri="{FF2B5EF4-FFF2-40B4-BE49-F238E27FC236}">
              <a16:creationId xmlns:a16="http://schemas.microsoft.com/office/drawing/2014/main" id="{00000000-0008-0000-0800-00005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8" name="Text Box 95">
          <a:extLst>
            <a:ext uri="{FF2B5EF4-FFF2-40B4-BE49-F238E27FC236}">
              <a16:creationId xmlns:a16="http://schemas.microsoft.com/office/drawing/2014/main" id="{00000000-0008-0000-0800-00005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9" name="Text Box 96">
          <a:extLst>
            <a:ext uri="{FF2B5EF4-FFF2-40B4-BE49-F238E27FC236}">
              <a16:creationId xmlns:a16="http://schemas.microsoft.com/office/drawing/2014/main" id="{00000000-0008-0000-0800-00005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60" name="Text Box 97">
          <a:extLst>
            <a:ext uri="{FF2B5EF4-FFF2-40B4-BE49-F238E27FC236}">
              <a16:creationId xmlns:a16="http://schemas.microsoft.com/office/drawing/2014/main" id="{00000000-0008-0000-0800-00005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1" name="Text Box 100">
          <a:extLst>
            <a:ext uri="{FF2B5EF4-FFF2-40B4-BE49-F238E27FC236}">
              <a16:creationId xmlns:a16="http://schemas.microsoft.com/office/drawing/2014/main" id="{00000000-0008-0000-0800-00005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2" name="Text Box 101">
          <a:extLst>
            <a:ext uri="{FF2B5EF4-FFF2-40B4-BE49-F238E27FC236}">
              <a16:creationId xmlns:a16="http://schemas.microsoft.com/office/drawing/2014/main" id="{00000000-0008-0000-0800-00005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3" name="Text Box 102">
          <a:extLst>
            <a:ext uri="{FF2B5EF4-FFF2-40B4-BE49-F238E27FC236}">
              <a16:creationId xmlns:a16="http://schemas.microsoft.com/office/drawing/2014/main" id="{00000000-0008-0000-0800-00005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4" name="Text Box 103">
          <a:extLst>
            <a:ext uri="{FF2B5EF4-FFF2-40B4-BE49-F238E27FC236}">
              <a16:creationId xmlns:a16="http://schemas.microsoft.com/office/drawing/2014/main" id="{00000000-0008-0000-0800-00005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5" name="Text Box 104">
          <a:extLst>
            <a:ext uri="{FF2B5EF4-FFF2-40B4-BE49-F238E27FC236}">
              <a16:creationId xmlns:a16="http://schemas.microsoft.com/office/drawing/2014/main" id="{00000000-0008-0000-0800-00005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6" name="Text Box 105">
          <a:extLst>
            <a:ext uri="{FF2B5EF4-FFF2-40B4-BE49-F238E27FC236}">
              <a16:creationId xmlns:a16="http://schemas.microsoft.com/office/drawing/2014/main" id="{00000000-0008-0000-0800-00005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7" name="Text Box 106">
          <a:extLst>
            <a:ext uri="{FF2B5EF4-FFF2-40B4-BE49-F238E27FC236}">
              <a16:creationId xmlns:a16="http://schemas.microsoft.com/office/drawing/2014/main" id="{00000000-0008-0000-0800-00005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8" name="Text Box 107">
          <a:extLst>
            <a:ext uri="{FF2B5EF4-FFF2-40B4-BE49-F238E27FC236}">
              <a16:creationId xmlns:a16="http://schemas.microsoft.com/office/drawing/2014/main" id="{00000000-0008-0000-0800-00006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9" name="Text Box 108">
          <a:extLst>
            <a:ext uri="{FF2B5EF4-FFF2-40B4-BE49-F238E27FC236}">
              <a16:creationId xmlns:a16="http://schemas.microsoft.com/office/drawing/2014/main" id="{00000000-0008-0000-0800-00006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0" name="Text Box 109">
          <a:extLst>
            <a:ext uri="{FF2B5EF4-FFF2-40B4-BE49-F238E27FC236}">
              <a16:creationId xmlns:a16="http://schemas.microsoft.com/office/drawing/2014/main" id="{00000000-0008-0000-0800-00006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1" name="Text Box 110">
          <a:extLst>
            <a:ext uri="{FF2B5EF4-FFF2-40B4-BE49-F238E27FC236}">
              <a16:creationId xmlns:a16="http://schemas.microsoft.com/office/drawing/2014/main" id="{00000000-0008-0000-0800-00006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2" name="Text Box 111">
          <a:extLst>
            <a:ext uri="{FF2B5EF4-FFF2-40B4-BE49-F238E27FC236}">
              <a16:creationId xmlns:a16="http://schemas.microsoft.com/office/drawing/2014/main" id="{00000000-0008-0000-0800-00006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3" name="Text Box 119">
          <a:extLst>
            <a:ext uri="{FF2B5EF4-FFF2-40B4-BE49-F238E27FC236}">
              <a16:creationId xmlns:a16="http://schemas.microsoft.com/office/drawing/2014/main" id="{00000000-0008-0000-0800-00006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4" name="Text Box 120">
          <a:extLst>
            <a:ext uri="{FF2B5EF4-FFF2-40B4-BE49-F238E27FC236}">
              <a16:creationId xmlns:a16="http://schemas.microsoft.com/office/drawing/2014/main" id="{00000000-0008-0000-0800-00006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5" name="Text Box 121">
          <a:extLst>
            <a:ext uri="{FF2B5EF4-FFF2-40B4-BE49-F238E27FC236}">
              <a16:creationId xmlns:a16="http://schemas.microsoft.com/office/drawing/2014/main" id="{00000000-0008-0000-0800-00006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6" name="Text Box 122">
          <a:extLst>
            <a:ext uri="{FF2B5EF4-FFF2-40B4-BE49-F238E27FC236}">
              <a16:creationId xmlns:a16="http://schemas.microsoft.com/office/drawing/2014/main" id="{00000000-0008-0000-0800-00006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7" name="Text Box 123">
          <a:extLst>
            <a:ext uri="{FF2B5EF4-FFF2-40B4-BE49-F238E27FC236}">
              <a16:creationId xmlns:a16="http://schemas.microsoft.com/office/drawing/2014/main" id="{00000000-0008-0000-0800-00006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8" name="Text Box 124">
          <a:extLst>
            <a:ext uri="{FF2B5EF4-FFF2-40B4-BE49-F238E27FC236}">
              <a16:creationId xmlns:a16="http://schemas.microsoft.com/office/drawing/2014/main" id="{00000000-0008-0000-0800-00006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9" name="Text Box 125">
          <a:extLst>
            <a:ext uri="{FF2B5EF4-FFF2-40B4-BE49-F238E27FC236}">
              <a16:creationId xmlns:a16="http://schemas.microsoft.com/office/drawing/2014/main" id="{00000000-0008-0000-0800-00006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0" name="Text Box 126">
          <a:extLst>
            <a:ext uri="{FF2B5EF4-FFF2-40B4-BE49-F238E27FC236}">
              <a16:creationId xmlns:a16="http://schemas.microsoft.com/office/drawing/2014/main" id="{00000000-0008-0000-0800-00006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1" name="Text Box 127">
          <a:extLst>
            <a:ext uri="{FF2B5EF4-FFF2-40B4-BE49-F238E27FC236}">
              <a16:creationId xmlns:a16="http://schemas.microsoft.com/office/drawing/2014/main" id="{00000000-0008-0000-0800-00006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2" name="Text Box 128">
          <a:extLst>
            <a:ext uri="{FF2B5EF4-FFF2-40B4-BE49-F238E27FC236}">
              <a16:creationId xmlns:a16="http://schemas.microsoft.com/office/drawing/2014/main" id="{00000000-0008-0000-0800-00006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3" name="Text Box 129">
          <a:extLst>
            <a:ext uri="{FF2B5EF4-FFF2-40B4-BE49-F238E27FC236}">
              <a16:creationId xmlns:a16="http://schemas.microsoft.com/office/drawing/2014/main" id="{00000000-0008-0000-0800-00006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4" name="Text Box 130">
          <a:extLst>
            <a:ext uri="{FF2B5EF4-FFF2-40B4-BE49-F238E27FC236}">
              <a16:creationId xmlns:a16="http://schemas.microsoft.com/office/drawing/2014/main" id="{00000000-0008-0000-0800-00007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5" name="Text Box 133">
          <a:extLst>
            <a:ext uri="{FF2B5EF4-FFF2-40B4-BE49-F238E27FC236}">
              <a16:creationId xmlns:a16="http://schemas.microsoft.com/office/drawing/2014/main" id="{00000000-0008-0000-0800-00007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6" name="Text Box 134">
          <a:extLst>
            <a:ext uri="{FF2B5EF4-FFF2-40B4-BE49-F238E27FC236}">
              <a16:creationId xmlns:a16="http://schemas.microsoft.com/office/drawing/2014/main" id="{00000000-0008-0000-0800-00007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7" name="Text Box 135">
          <a:extLst>
            <a:ext uri="{FF2B5EF4-FFF2-40B4-BE49-F238E27FC236}">
              <a16:creationId xmlns:a16="http://schemas.microsoft.com/office/drawing/2014/main" id="{00000000-0008-0000-0800-00007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8" name="Text Box 136">
          <a:extLst>
            <a:ext uri="{FF2B5EF4-FFF2-40B4-BE49-F238E27FC236}">
              <a16:creationId xmlns:a16="http://schemas.microsoft.com/office/drawing/2014/main" id="{00000000-0008-0000-0800-00007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9" name="Text Box 137">
          <a:extLst>
            <a:ext uri="{FF2B5EF4-FFF2-40B4-BE49-F238E27FC236}">
              <a16:creationId xmlns:a16="http://schemas.microsoft.com/office/drawing/2014/main" id="{00000000-0008-0000-0800-00007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0" name="Text Box 138">
          <a:extLst>
            <a:ext uri="{FF2B5EF4-FFF2-40B4-BE49-F238E27FC236}">
              <a16:creationId xmlns:a16="http://schemas.microsoft.com/office/drawing/2014/main" id="{00000000-0008-0000-0800-00007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1" name="Text Box 139">
          <a:extLst>
            <a:ext uri="{FF2B5EF4-FFF2-40B4-BE49-F238E27FC236}">
              <a16:creationId xmlns:a16="http://schemas.microsoft.com/office/drawing/2014/main" id="{00000000-0008-0000-0800-00007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2" name="Text Box 140">
          <a:extLst>
            <a:ext uri="{FF2B5EF4-FFF2-40B4-BE49-F238E27FC236}">
              <a16:creationId xmlns:a16="http://schemas.microsoft.com/office/drawing/2014/main" id="{00000000-0008-0000-0800-00007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3" name="Text Box 141">
          <a:extLst>
            <a:ext uri="{FF2B5EF4-FFF2-40B4-BE49-F238E27FC236}">
              <a16:creationId xmlns:a16="http://schemas.microsoft.com/office/drawing/2014/main" id="{00000000-0008-0000-0800-00007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4" name="Text Box 142">
          <a:extLst>
            <a:ext uri="{FF2B5EF4-FFF2-40B4-BE49-F238E27FC236}">
              <a16:creationId xmlns:a16="http://schemas.microsoft.com/office/drawing/2014/main" id="{00000000-0008-0000-0800-00007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5" name="Text Box 143">
          <a:extLst>
            <a:ext uri="{FF2B5EF4-FFF2-40B4-BE49-F238E27FC236}">
              <a16:creationId xmlns:a16="http://schemas.microsoft.com/office/drawing/2014/main" id="{00000000-0008-0000-0800-00007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6" name="Text Box 144">
          <a:extLst>
            <a:ext uri="{FF2B5EF4-FFF2-40B4-BE49-F238E27FC236}">
              <a16:creationId xmlns:a16="http://schemas.microsoft.com/office/drawing/2014/main" id="{00000000-0008-0000-0800-00007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7" name="Text Box 145">
          <a:extLst>
            <a:ext uri="{FF2B5EF4-FFF2-40B4-BE49-F238E27FC236}">
              <a16:creationId xmlns:a16="http://schemas.microsoft.com/office/drawing/2014/main" id="{00000000-0008-0000-0800-00007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8" name="Text Box 146">
          <a:extLst>
            <a:ext uri="{FF2B5EF4-FFF2-40B4-BE49-F238E27FC236}">
              <a16:creationId xmlns:a16="http://schemas.microsoft.com/office/drawing/2014/main" id="{00000000-0008-0000-0800-00007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9" name="Text Box 147">
          <a:extLst>
            <a:ext uri="{FF2B5EF4-FFF2-40B4-BE49-F238E27FC236}">
              <a16:creationId xmlns:a16="http://schemas.microsoft.com/office/drawing/2014/main" id="{00000000-0008-0000-0800-00007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0" name="Text Box 148">
          <a:extLst>
            <a:ext uri="{FF2B5EF4-FFF2-40B4-BE49-F238E27FC236}">
              <a16:creationId xmlns:a16="http://schemas.microsoft.com/office/drawing/2014/main" id="{00000000-0008-0000-0800-00008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1" name="Text Box 149">
          <a:extLst>
            <a:ext uri="{FF2B5EF4-FFF2-40B4-BE49-F238E27FC236}">
              <a16:creationId xmlns:a16="http://schemas.microsoft.com/office/drawing/2014/main" id="{00000000-0008-0000-0800-00008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2" name="Text Box 150">
          <a:extLst>
            <a:ext uri="{FF2B5EF4-FFF2-40B4-BE49-F238E27FC236}">
              <a16:creationId xmlns:a16="http://schemas.microsoft.com/office/drawing/2014/main" id="{00000000-0008-0000-0800-00008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3" name="Text Box 151">
          <a:extLst>
            <a:ext uri="{FF2B5EF4-FFF2-40B4-BE49-F238E27FC236}">
              <a16:creationId xmlns:a16="http://schemas.microsoft.com/office/drawing/2014/main" id="{00000000-0008-0000-0800-00008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4" name="Text Box 152">
          <a:extLst>
            <a:ext uri="{FF2B5EF4-FFF2-40B4-BE49-F238E27FC236}">
              <a16:creationId xmlns:a16="http://schemas.microsoft.com/office/drawing/2014/main" id="{00000000-0008-0000-0800-00008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5" name="Text Box 153">
          <a:extLst>
            <a:ext uri="{FF2B5EF4-FFF2-40B4-BE49-F238E27FC236}">
              <a16:creationId xmlns:a16="http://schemas.microsoft.com/office/drawing/2014/main" id="{00000000-0008-0000-0800-00008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6" name="Text Box 154">
          <a:extLst>
            <a:ext uri="{FF2B5EF4-FFF2-40B4-BE49-F238E27FC236}">
              <a16:creationId xmlns:a16="http://schemas.microsoft.com/office/drawing/2014/main" id="{00000000-0008-0000-0800-00008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7" name="Text Box 155">
          <a:extLst>
            <a:ext uri="{FF2B5EF4-FFF2-40B4-BE49-F238E27FC236}">
              <a16:creationId xmlns:a16="http://schemas.microsoft.com/office/drawing/2014/main" id="{00000000-0008-0000-0800-00008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8" name="Text Box 156">
          <a:extLst>
            <a:ext uri="{FF2B5EF4-FFF2-40B4-BE49-F238E27FC236}">
              <a16:creationId xmlns:a16="http://schemas.microsoft.com/office/drawing/2014/main" id="{00000000-0008-0000-0800-00008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9" name="Text Box 157">
          <a:extLst>
            <a:ext uri="{FF2B5EF4-FFF2-40B4-BE49-F238E27FC236}">
              <a16:creationId xmlns:a16="http://schemas.microsoft.com/office/drawing/2014/main" id="{00000000-0008-0000-0800-00008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0" name="Text Box 158">
          <a:extLst>
            <a:ext uri="{FF2B5EF4-FFF2-40B4-BE49-F238E27FC236}">
              <a16:creationId xmlns:a16="http://schemas.microsoft.com/office/drawing/2014/main" id="{00000000-0008-0000-0800-00008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1" name="Text Box 159">
          <a:extLst>
            <a:ext uri="{FF2B5EF4-FFF2-40B4-BE49-F238E27FC236}">
              <a16:creationId xmlns:a16="http://schemas.microsoft.com/office/drawing/2014/main" id="{00000000-0008-0000-0800-00008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2" name="Text Box 160">
          <a:extLst>
            <a:ext uri="{FF2B5EF4-FFF2-40B4-BE49-F238E27FC236}">
              <a16:creationId xmlns:a16="http://schemas.microsoft.com/office/drawing/2014/main" id="{00000000-0008-0000-0800-00008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3" name="Text Box 161">
          <a:extLst>
            <a:ext uri="{FF2B5EF4-FFF2-40B4-BE49-F238E27FC236}">
              <a16:creationId xmlns:a16="http://schemas.microsoft.com/office/drawing/2014/main" id="{00000000-0008-0000-0800-00008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4" name="Text Box 162">
          <a:extLst>
            <a:ext uri="{FF2B5EF4-FFF2-40B4-BE49-F238E27FC236}">
              <a16:creationId xmlns:a16="http://schemas.microsoft.com/office/drawing/2014/main" id="{00000000-0008-0000-0800-00008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5" name="Text Box 163">
          <a:extLst>
            <a:ext uri="{FF2B5EF4-FFF2-40B4-BE49-F238E27FC236}">
              <a16:creationId xmlns:a16="http://schemas.microsoft.com/office/drawing/2014/main" id="{00000000-0008-0000-0800-00008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6" name="Text Box 164">
          <a:extLst>
            <a:ext uri="{FF2B5EF4-FFF2-40B4-BE49-F238E27FC236}">
              <a16:creationId xmlns:a16="http://schemas.microsoft.com/office/drawing/2014/main" id="{00000000-0008-0000-0800-00009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7" name="Text Box 165">
          <a:extLst>
            <a:ext uri="{FF2B5EF4-FFF2-40B4-BE49-F238E27FC236}">
              <a16:creationId xmlns:a16="http://schemas.microsoft.com/office/drawing/2014/main" id="{00000000-0008-0000-0800-00009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8" name="Text Box 166">
          <a:extLst>
            <a:ext uri="{FF2B5EF4-FFF2-40B4-BE49-F238E27FC236}">
              <a16:creationId xmlns:a16="http://schemas.microsoft.com/office/drawing/2014/main" id="{00000000-0008-0000-0800-00009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9" name="Text Box 167">
          <a:extLst>
            <a:ext uri="{FF2B5EF4-FFF2-40B4-BE49-F238E27FC236}">
              <a16:creationId xmlns:a16="http://schemas.microsoft.com/office/drawing/2014/main" id="{00000000-0008-0000-0800-00009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0" name="Text Box 168">
          <a:extLst>
            <a:ext uri="{FF2B5EF4-FFF2-40B4-BE49-F238E27FC236}">
              <a16:creationId xmlns:a16="http://schemas.microsoft.com/office/drawing/2014/main" id="{00000000-0008-0000-0800-00009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1" name="Text Box 169">
          <a:extLst>
            <a:ext uri="{FF2B5EF4-FFF2-40B4-BE49-F238E27FC236}">
              <a16:creationId xmlns:a16="http://schemas.microsoft.com/office/drawing/2014/main" id="{00000000-0008-0000-0800-00009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2" name="Text Box 170">
          <a:extLst>
            <a:ext uri="{FF2B5EF4-FFF2-40B4-BE49-F238E27FC236}">
              <a16:creationId xmlns:a16="http://schemas.microsoft.com/office/drawing/2014/main" id="{00000000-0008-0000-0800-00009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3" name="Text Box 171">
          <a:extLst>
            <a:ext uri="{FF2B5EF4-FFF2-40B4-BE49-F238E27FC236}">
              <a16:creationId xmlns:a16="http://schemas.microsoft.com/office/drawing/2014/main" id="{00000000-0008-0000-0800-00009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4" name="Text Box 172">
          <a:extLst>
            <a:ext uri="{FF2B5EF4-FFF2-40B4-BE49-F238E27FC236}">
              <a16:creationId xmlns:a16="http://schemas.microsoft.com/office/drawing/2014/main" id="{00000000-0008-0000-0800-00009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5" name="Text Box 173">
          <a:extLst>
            <a:ext uri="{FF2B5EF4-FFF2-40B4-BE49-F238E27FC236}">
              <a16:creationId xmlns:a16="http://schemas.microsoft.com/office/drawing/2014/main" id="{00000000-0008-0000-0800-00009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6" name="Text Box 174">
          <a:extLst>
            <a:ext uri="{FF2B5EF4-FFF2-40B4-BE49-F238E27FC236}">
              <a16:creationId xmlns:a16="http://schemas.microsoft.com/office/drawing/2014/main" id="{00000000-0008-0000-0800-00009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7" name="Text Box 175">
          <a:extLst>
            <a:ext uri="{FF2B5EF4-FFF2-40B4-BE49-F238E27FC236}">
              <a16:creationId xmlns:a16="http://schemas.microsoft.com/office/drawing/2014/main" id="{00000000-0008-0000-0800-00009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8" name="Text Box 176">
          <a:extLst>
            <a:ext uri="{FF2B5EF4-FFF2-40B4-BE49-F238E27FC236}">
              <a16:creationId xmlns:a16="http://schemas.microsoft.com/office/drawing/2014/main" id="{00000000-0008-0000-0800-00009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9" name="Text Box 177">
          <a:extLst>
            <a:ext uri="{FF2B5EF4-FFF2-40B4-BE49-F238E27FC236}">
              <a16:creationId xmlns:a16="http://schemas.microsoft.com/office/drawing/2014/main" id="{00000000-0008-0000-0800-00009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0" name="Text Box 178">
          <a:extLst>
            <a:ext uri="{FF2B5EF4-FFF2-40B4-BE49-F238E27FC236}">
              <a16:creationId xmlns:a16="http://schemas.microsoft.com/office/drawing/2014/main" id="{00000000-0008-0000-0800-00009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1" name="Text Box 179">
          <a:extLst>
            <a:ext uri="{FF2B5EF4-FFF2-40B4-BE49-F238E27FC236}">
              <a16:creationId xmlns:a16="http://schemas.microsoft.com/office/drawing/2014/main" id="{00000000-0008-0000-0800-00009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2" name="Text Box 180">
          <a:extLst>
            <a:ext uri="{FF2B5EF4-FFF2-40B4-BE49-F238E27FC236}">
              <a16:creationId xmlns:a16="http://schemas.microsoft.com/office/drawing/2014/main" id="{00000000-0008-0000-0800-0000A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3" name="Text Box 181">
          <a:extLst>
            <a:ext uri="{FF2B5EF4-FFF2-40B4-BE49-F238E27FC236}">
              <a16:creationId xmlns:a16="http://schemas.microsoft.com/office/drawing/2014/main" id="{00000000-0008-0000-0800-0000A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4" name="Text Box 182">
          <a:extLst>
            <a:ext uri="{FF2B5EF4-FFF2-40B4-BE49-F238E27FC236}">
              <a16:creationId xmlns:a16="http://schemas.microsoft.com/office/drawing/2014/main" id="{00000000-0008-0000-0800-0000A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5" name="Text Box 183">
          <a:extLst>
            <a:ext uri="{FF2B5EF4-FFF2-40B4-BE49-F238E27FC236}">
              <a16:creationId xmlns:a16="http://schemas.microsoft.com/office/drawing/2014/main" id="{00000000-0008-0000-0800-0000A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6" name="Text Box 184">
          <a:extLst>
            <a:ext uri="{FF2B5EF4-FFF2-40B4-BE49-F238E27FC236}">
              <a16:creationId xmlns:a16="http://schemas.microsoft.com/office/drawing/2014/main" id="{00000000-0008-0000-0800-0000A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7" name="Text Box 185">
          <a:extLst>
            <a:ext uri="{FF2B5EF4-FFF2-40B4-BE49-F238E27FC236}">
              <a16:creationId xmlns:a16="http://schemas.microsoft.com/office/drawing/2014/main" id="{00000000-0008-0000-0800-0000A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8" name="Text Box 186">
          <a:extLst>
            <a:ext uri="{FF2B5EF4-FFF2-40B4-BE49-F238E27FC236}">
              <a16:creationId xmlns:a16="http://schemas.microsoft.com/office/drawing/2014/main" id="{00000000-0008-0000-0800-0000A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9" name="Text Box 187">
          <a:extLst>
            <a:ext uri="{FF2B5EF4-FFF2-40B4-BE49-F238E27FC236}">
              <a16:creationId xmlns:a16="http://schemas.microsoft.com/office/drawing/2014/main" id="{00000000-0008-0000-0800-0000A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0" name="Text Box 188">
          <a:extLst>
            <a:ext uri="{FF2B5EF4-FFF2-40B4-BE49-F238E27FC236}">
              <a16:creationId xmlns:a16="http://schemas.microsoft.com/office/drawing/2014/main" id="{00000000-0008-0000-0800-0000A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1" name="Text Box 189">
          <a:extLst>
            <a:ext uri="{FF2B5EF4-FFF2-40B4-BE49-F238E27FC236}">
              <a16:creationId xmlns:a16="http://schemas.microsoft.com/office/drawing/2014/main" id="{00000000-0008-0000-0800-0000A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2" name="Text Box 190">
          <a:extLst>
            <a:ext uri="{FF2B5EF4-FFF2-40B4-BE49-F238E27FC236}">
              <a16:creationId xmlns:a16="http://schemas.microsoft.com/office/drawing/2014/main" id="{00000000-0008-0000-0800-0000A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3" name="Text Box 191">
          <a:extLst>
            <a:ext uri="{FF2B5EF4-FFF2-40B4-BE49-F238E27FC236}">
              <a16:creationId xmlns:a16="http://schemas.microsoft.com/office/drawing/2014/main" id="{00000000-0008-0000-0800-0000A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4" name="Text Box 192">
          <a:extLst>
            <a:ext uri="{FF2B5EF4-FFF2-40B4-BE49-F238E27FC236}">
              <a16:creationId xmlns:a16="http://schemas.microsoft.com/office/drawing/2014/main" id="{00000000-0008-0000-0800-0000A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5" name="Text Box 193">
          <a:extLst>
            <a:ext uri="{FF2B5EF4-FFF2-40B4-BE49-F238E27FC236}">
              <a16:creationId xmlns:a16="http://schemas.microsoft.com/office/drawing/2014/main" id="{00000000-0008-0000-0800-0000A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6" name="Text Box 194">
          <a:extLst>
            <a:ext uri="{FF2B5EF4-FFF2-40B4-BE49-F238E27FC236}">
              <a16:creationId xmlns:a16="http://schemas.microsoft.com/office/drawing/2014/main" id="{00000000-0008-0000-0800-0000A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7" name="Text Box 195">
          <a:extLst>
            <a:ext uri="{FF2B5EF4-FFF2-40B4-BE49-F238E27FC236}">
              <a16:creationId xmlns:a16="http://schemas.microsoft.com/office/drawing/2014/main" id="{00000000-0008-0000-0800-0000A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8" name="Text Box 196">
          <a:extLst>
            <a:ext uri="{FF2B5EF4-FFF2-40B4-BE49-F238E27FC236}">
              <a16:creationId xmlns:a16="http://schemas.microsoft.com/office/drawing/2014/main" id="{00000000-0008-0000-0800-0000B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9" name="Text Box 197">
          <a:extLst>
            <a:ext uri="{FF2B5EF4-FFF2-40B4-BE49-F238E27FC236}">
              <a16:creationId xmlns:a16="http://schemas.microsoft.com/office/drawing/2014/main" id="{00000000-0008-0000-0800-0000B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0" name="Text Box 198">
          <a:extLst>
            <a:ext uri="{FF2B5EF4-FFF2-40B4-BE49-F238E27FC236}">
              <a16:creationId xmlns:a16="http://schemas.microsoft.com/office/drawing/2014/main" id="{00000000-0008-0000-0800-0000B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1" name="Text Box 199">
          <a:extLst>
            <a:ext uri="{FF2B5EF4-FFF2-40B4-BE49-F238E27FC236}">
              <a16:creationId xmlns:a16="http://schemas.microsoft.com/office/drawing/2014/main" id="{00000000-0008-0000-0800-0000B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2" name="Text Box 200">
          <a:extLst>
            <a:ext uri="{FF2B5EF4-FFF2-40B4-BE49-F238E27FC236}">
              <a16:creationId xmlns:a16="http://schemas.microsoft.com/office/drawing/2014/main" id="{00000000-0008-0000-0800-0000B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3" name="Text Box 201">
          <a:extLst>
            <a:ext uri="{FF2B5EF4-FFF2-40B4-BE49-F238E27FC236}">
              <a16:creationId xmlns:a16="http://schemas.microsoft.com/office/drawing/2014/main" id="{00000000-0008-0000-0800-0000B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4" name="Text Box 202">
          <a:extLst>
            <a:ext uri="{FF2B5EF4-FFF2-40B4-BE49-F238E27FC236}">
              <a16:creationId xmlns:a16="http://schemas.microsoft.com/office/drawing/2014/main" id="{00000000-0008-0000-0800-0000B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5" name="Text Box 203">
          <a:extLst>
            <a:ext uri="{FF2B5EF4-FFF2-40B4-BE49-F238E27FC236}">
              <a16:creationId xmlns:a16="http://schemas.microsoft.com/office/drawing/2014/main" id="{00000000-0008-0000-0800-0000B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6" name="Text Box 204">
          <a:extLst>
            <a:ext uri="{FF2B5EF4-FFF2-40B4-BE49-F238E27FC236}">
              <a16:creationId xmlns:a16="http://schemas.microsoft.com/office/drawing/2014/main" id="{00000000-0008-0000-0800-0000B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7" name="Text Box 205">
          <a:extLst>
            <a:ext uri="{FF2B5EF4-FFF2-40B4-BE49-F238E27FC236}">
              <a16:creationId xmlns:a16="http://schemas.microsoft.com/office/drawing/2014/main" id="{00000000-0008-0000-0800-0000B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8" name="Text Box 206">
          <a:extLst>
            <a:ext uri="{FF2B5EF4-FFF2-40B4-BE49-F238E27FC236}">
              <a16:creationId xmlns:a16="http://schemas.microsoft.com/office/drawing/2014/main" id="{00000000-0008-0000-0800-0000B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9" name="Text Box 207">
          <a:extLst>
            <a:ext uri="{FF2B5EF4-FFF2-40B4-BE49-F238E27FC236}">
              <a16:creationId xmlns:a16="http://schemas.microsoft.com/office/drawing/2014/main" id="{00000000-0008-0000-0800-0000B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0" name="Text Box 208">
          <a:extLst>
            <a:ext uri="{FF2B5EF4-FFF2-40B4-BE49-F238E27FC236}">
              <a16:creationId xmlns:a16="http://schemas.microsoft.com/office/drawing/2014/main" id="{00000000-0008-0000-0800-0000B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1" name="Text Box 209">
          <a:extLst>
            <a:ext uri="{FF2B5EF4-FFF2-40B4-BE49-F238E27FC236}">
              <a16:creationId xmlns:a16="http://schemas.microsoft.com/office/drawing/2014/main" id="{00000000-0008-0000-0800-0000B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2" name="Text Box 210">
          <a:extLst>
            <a:ext uri="{FF2B5EF4-FFF2-40B4-BE49-F238E27FC236}">
              <a16:creationId xmlns:a16="http://schemas.microsoft.com/office/drawing/2014/main" id="{00000000-0008-0000-0800-0000B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3" name="Text Box 211">
          <a:extLst>
            <a:ext uri="{FF2B5EF4-FFF2-40B4-BE49-F238E27FC236}">
              <a16:creationId xmlns:a16="http://schemas.microsoft.com/office/drawing/2014/main" id="{00000000-0008-0000-0800-0000B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4" name="Text Box 212">
          <a:extLst>
            <a:ext uri="{FF2B5EF4-FFF2-40B4-BE49-F238E27FC236}">
              <a16:creationId xmlns:a16="http://schemas.microsoft.com/office/drawing/2014/main" id="{00000000-0008-0000-0800-0000C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5" name="Text Box 213">
          <a:extLst>
            <a:ext uri="{FF2B5EF4-FFF2-40B4-BE49-F238E27FC236}">
              <a16:creationId xmlns:a16="http://schemas.microsoft.com/office/drawing/2014/main" id="{00000000-0008-0000-0800-0000C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6" name="Text Box 214">
          <a:extLst>
            <a:ext uri="{FF2B5EF4-FFF2-40B4-BE49-F238E27FC236}">
              <a16:creationId xmlns:a16="http://schemas.microsoft.com/office/drawing/2014/main" id="{00000000-0008-0000-0800-0000C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7" name="Text Box 215">
          <a:extLst>
            <a:ext uri="{FF2B5EF4-FFF2-40B4-BE49-F238E27FC236}">
              <a16:creationId xmlns:a16="http://schemas.microsoft.com/office/drawing/2014/main" id="{00000000-0008-0000-0800-0000C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8" name="Text Box 216">
          <a:extLst>
            <a:ext uri="{FF2B5EF4-FFF2-40B4-BE49-F238E27FC236}">
              <a16:creationId xmlns:a16="http://schemas.microsoft.com/office/drawing/2014/main" id="{00000000-0008-0000-0800-0000C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9" name="Text Box 217">
          <a:extLst>
            <a:ext uri="{FF2B5EF4-FFF2-40B4-BE49-F238E27FC236}">
              <a16:creationId xmlns:a16="http://schemas.microsoft.com/office/drawing/2014/main" id="{00000000-0008-0000-0800-0000C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0" name="Text Box 218">
          <a:extLst>
            <a:ext uri="{FF2B5EF4-FFF2-40B4-BE49-F238E27FC236}">
              <a16:creationId xmlns:a16="http://schemas.microsoft.com/office/drawing/2014/main" id="{00000000-0008-0000-0800-0000C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1" name="Text Box 219">
          <a:extLst>
            <a:ext uri="{FF2B5EF4-FFF2-40B4-BE49-F238E27FC236}">
              <a16:creationId xmlns:a16="http://schemas.microsoft.com/office/drawing/2014/main" id="{00000000-0008-0000-0800-0000C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2" name="Text Box 220">
          <a:extLst>
            <a:ext uri="{FF2B5EF4-FFF2-40B4-BE49-F238E27FC236}">
              <a16:creationId xmlns:a16="http://schemas.microsoft.com/office/drawing/2014/main" id="{00000000-0008-0000-0800-0000C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3" name="Text Box 221">
          <a:extLst>
            <a:ext uri="{FF2B5EF4-FFF2-40B4-BE49-F238E27FC236}">
              <a16:creationId xmlns:a16="http://schemas.microsoft.com/office/drawing/2014/main" id="{00000000-0008-0000-0800-0000C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4" name="Text Box 222">
          <a:extLst>
            <a:ext uri="{FF2B5EF4-FFF2-40B4-BE49-F238E27FC236}">
              <a16:creationId xmlns:a16="http://schemas.microsoft.com/office/drawing/2014/main" id="{00000000-0008-0000-0800-0000C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5" name="Text Box 223">
          <a:extLst>
            <a:ext uri="{FF2B5EF4-FFF2-40B4-BE49-F238E27FC236}">
              <a16:creationId xmlns:a16="http://schemas.microsoft.com/office/drawing/2014/main" id="{00000000-0008-0000-0800-0000C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6" name="Text Box 224">
          <a:extLst>
            <a:ext uri="{FF2B5EF4-FFF2-40B4-BE49-F238E27FC236}">
              <a16:creationId xmlns:a16="http://schemas.microsoft.com/office/drawing/2014/main" id="{00000000-0008-0000-0800-0000C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7" name="Text Box 225">
          <a:extLst>
            <a:ext uri="{FF2B5EF4-FFF2-40B4-BE49-F238E27FC236}">
              <a16:creationId xmlns:a16="http://schemas.microsoft.com/office/drawing/2014/main" id="{00000000-0008-0000-0800-0000C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8" name="Text Box 226">
          <a:extLst>
            <a:ext uri="{FF2B5EF4-FFF2-40B4-BE49-F238E27FC236}">
              <a16:creationId xmlns:a16="http://schemas.microsoft.com/office/drawing/2014/main" id="{00000000-0008-0000-0800-0000C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79" name="Text Box 227">
          <a:extLst>
            <a:ext uri="{FF2B5EF4-FFF2-40B4-BE49-F238E27FC236}">
              <a16:creationId xmlns:a16="http://schemas.microsoft.com/office/drawing/2014/main" id="{00000000-0008-0000-0800-0000C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0" name="Text Box 228">
          <a:extLst>
            <a:ext uri="{FF2B5EF4-FFF2-40B4-BE49-F238E27FC236}">
              <a16:creationId xmlns:a16="http://schemas.microsoft.com/office/drawing/2014/main" id="{00000000-0008-0000-0800-0000D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1" name="Text Box 229">
          <a:extLst>
            <a:ext uri="{FF2B5EF4-FFF2-40B4-BE49-F238E27FC236}">
              <a16:creationId xmlns:a16="http://schemas.microsoft.com/office/drawing/2014/main" id="{00000000-0008-0000-0800-0000D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2" name="Text Box 230">
          <a:extLst>
            <a:ext uri="{FF2B5EF4-FFF2-40B4-BE49-F238E27FC236}">
              <a16:creationId xmlns:a16="http://schemas.microsoft.com/office/drawing/2014/main" id="{00000000-0008-0000-0800-0000D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3" name="Text Box 231">
          <a:extLst>
            <a:ext uri="{FF2B5EF4-FFF2-40B4-BE49-F238E27FC236}">
              <a16:creationId xmlns:a16="http://schemas.microsoft.com/office/drawing/2014/main" id="{00000000-0008-0000-0800-0000D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4" name="Text Box 232">
          <a:extLst>
            <a:ext uri="{FF2B5EF4-FFF2-40B4-BE49-F238E27FC236}">
              <a16:creationId xmlns:a16="http://schemas.microsoft.com/office/drawing/2014/main" id="{00000000-0008-0000-0800-0000D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5" name="Text Box 233">
          <a:extLst>
            <a:ext uri="{FF2B5EF4-FFF2-40B4-BE49-F238E27FC236}">
              <a16:creationId xmlns:a16="http://schemas.microsoft.com/office/drawing/2014/main" id="{00000000-0008-0000-0800-0000D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6" name="Text Box 234">
          <a:extLst>
            <a:ext uri="{FF2B5EF4-FFF2-40B4-BE49-F238E27FC236}">
              <a16:creationId xmlns:a16="http://schemas.microsoft.com/office/drawing/2014/main" id="{00000000-0008-0000-0800-0000D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7" name="Text Box 235">
          <a:extLst>
            <a:ext uri="{FF2B5EF4-FFF2-40B4-BE49-F238E27FC236}">
              <a16:creationId xmlns:a16="http://schemas.microsoft.com/office/drawing/2014/main" id="{00000000-0008-0000-0800-0000D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8" name="Text Box 236">
          <a:extLst>
            <a:ext uri="{FF2B5EF4-FFF2-40B4-BE49-F238E27FC236}">
              <a16:creationId xmlns:a16="http://schemas.microsoft.com/office/drawing/2014/main" id="{00000000-0008-0000-0800-0000D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9" name="Text Box 237">
          <a:extLst>
            <a:ext uri="{FF2B5EF4-FFF2-40B4-BE49-F238E27FC236}">
              <a16:creationId xmlns:a16="http://schemas.microsoft.com/office/drawing/2014/main" id="{00000000-0008-0000-0800-0000D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0" name="Text Box 238">
          <a:extLst>
            <a:ext uri="{FF2B5EF4-FFF2-40B4-BE49-F238E27FC236}">
              <a16:creationId xmlns:a16="http://schemas.microsoft.com/office/drawing/2014/main" id="{00000000-0008-0000-0800-0000D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1" name="Text Box 239">
          <a:extLst>
            <a:ext uri="{FF2B5EF4-FFF2-40B4-BE49-F238E27FC236}">
              <a16:creationId xmlns:a16="http://schemas.microsoft.com/office/drawing/2014/main" id="{00000000-0008-0000-0800-0000D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2" name="Text Box 240">
          <a:extLst>
            <a:ext uri="{FF2B5EF4-FFF2-40B4-BE49-F238E27FC236}">
              <a16:creationId xmlns:a16="http://schemas.microsoft.com/office/drawing/2014/main" id="{00000000-0008-0000-0800-0000D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3" name="Text Box 241">
          <a:extLst>
            <a:ext uri="{FF2B5EF4-FFF2-40B4-BE49-F238E27FC236}">
              <a16:creationId xmlns:a16="http://schemas.microsoft.com/office/drawing/2014/main" id="{00000000-0008-0000-0800-0000D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4" name="Text Box 242">
          <a:extLst>
            <a:ext uri="{FF2B5EF4-FFF2-40B4-BE49-F238E27FC236}">
              <a16:creationId xmlns:a16="http://schemas.microsoft.com/office/drawing/2014/main" id="{00000000-0008-0000-0800-0000D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5" name="Text Box 243">
          <a:extLst>
            <a:ext uri="{FF2B5EF4-FFF2-40B4-BE49-F238E27FC236}">
              <a16:creationId xmlns:a16="http://schemas.microsoft.com/office/drawing/2014/main" id="{00000000-0008-0000-0800-0000D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6" name="Text Box 244">
          <a:extLst>
            <a:ext uri="{FF2B5EF4-FFF2-40B4-BE49-F238E27FC236}">
              <a16:creationId xmlns:a16="http://schemas.microsoft.com/office/drawing/2014/main" id="{00000000-0008-0000-0800-0000E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7" name="Text Box 245">
          <a:extLst>
            <a:ext uri="{FF2B5EF4-FFF2-40B4-BE49-F238E27FC236}">
              <a16:creationId xmlns:a16="http://schemas.microsoft.com/office/drawing/2014/main" id="{00000000-0008-0000-0800-0000E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8" name="Text Box 246">
          <a:extLst>
            <a:ext uri="{FF2B5EF4-FFF2-40B4-BE49-F238E27FC236}">
              <a16:creationId xmlns:a16="http://schemas.microsoft.com/office/drawing/2014/main" id="{00000000-0008-0000-0800-0000E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9" name="Text Box 247">
          <a:extLst>
            <a:ext uri="{FF2B5EF4-FFF2-40B4-BE49-F238E27FC236}">
              <a16:creationId xmlns:a16="http://schemas.microsoft.com/office/drawing/2014/main" id="{00000000-0008-0000-0800-0000E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0" name="Text Box 248">
          <a:extLst>
            <a:ext uri="{FF2B5EF4-FFF2-40B4-BE49-F238E27FC236}">
              <a16:creationId xmlns:a16="http://schemas.microsoft.com/office/drawing/2014/main" id="{00000000-0008-0000-0800-0000E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1" name="Text Box 249">
          <a:extLst>
            <a:ext uri="{FF2B5EF4-FFF2-40B4-BE49-F238E27FC236}">
              <a16:creationId xmlns:a16="http://schemas.microsoft.com/office/drawing/2014/main" id="{00000000-0008-0000-0800-0000E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2" name="Text Box 250">
          <a:extLst>
            <a:ext uri="{FF2B5EF4-FFF2-40B4-BE49-F238E27FC236}">
              <a16:creationId xmlns:a16="http://schemas.microsoft.com/office/drawing/2014/main" id="{00000000-0008-0000-0800-0000E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3" name="Text Box 251">
          <a:extLst>
            <a:ext uri="{FF2B5EF4-FFF2-40B4-BE49-F238E27FC236}">
              <a16:creationId xmlns:a16="http://schemas.microsoft.com/office/drawing/2014/main" id="{00000000-0008-0000-0800-0000E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4" name="Text Box 252">
          <a:extLst>
            <a:ext uri="{FF2B5EF4-FFF2-40B4-BE49-F238E27FC236}">
              <a16:creationId xmlns:a16="http://schemas.microsoft.com/office/drawing/2014/main" id="{00000000-0008-0000-0800-0000E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5" name="Text Box 253">
          <a:extLst>
            <a:ext uri="{FF2B5EF4-FFF2-40B4-BE49-F238E27FC236}">
              <a16:creationId xmlns:a16="http://schemas.microsoft.com/office/drawing/2014/main" id="{00000000-0008-0000-0800-0000E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6" name="Text Box 254">
          <a:extLst>
            <a:ext uri="{FF2B5EF4-FFF2-40B4-BE49-F238E27FC236}">
              <a16:creationId xmlns:a16="http://schemas.microsoft.com/office/drawing/2014/main" id="{00000000-0008-0000-0800-0000E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7" name="Text Box 255">
          <a:extLst>
            <a:ext uri="{FF2B5EF4-FFF2-40B4-BE49-F238E27FC236}">
              <a16:creationId xmlns:a16="http://schemas.microsoft.com/office/drawing/2014/main" id="{00000000-0008-0000-0800-0000E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8" name="Text Box 256">
          <a:extLst>
            <a:ext uri="{FF2B5EF4-FFF2-40B4-BE49-F238E27FC236}">
              <a16:creationId xmlns:a16="http://schemas.microsoft.com/office/drawing/2014/main" id="{00000000-0008-0000-0800-0000E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9" name="Text Box 257">
          <a:extLst>
            <a:ext uri="{FF2B5EF4-FFF2-40B4-BE49-F238E27FC236}">
              <a16:creationId xmlns:a16="http://schemas.microsoft.com/office/drawing/2014/main" id="{00000000-0008-0000-0800-0000E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0" name="Text Box 258">
          <a:extLst>
            <a:ext uri="{FF2B5EF4-FFF2-40B4-BE49-F238E27FC236}">
              <a16:creationId xmlns:a16="http://schemas.microsoft.com/office/drawing/2014/main" id="{00000000-0008-0000-0800-0000E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1" name="Text Box 259">
          <a:extLst>
            <a:ext uri="{FF2B5EF4-FFF2-40B4-BE49-F238E27FC236}">
              <a16:creationId xmlns:a16="http://schemas.microsoft.com/office/drawing/2014/main" id="{00000000-0008-0000-0800-0000E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2" name="Text Box 260">
          <a:extLst>
            <a:ext uri="{FF2B5EF4-FFF2-40B4-BE49-F238E27FC236}">
              <a16:creationId xmlns:a16="http://schemas.microsoft.com/office/drawing/2014/main" id="{00000000-0008-0000-0800-0000F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3" name="Text Box 261">
          <a:extLst>
            <a:ext uri="{FF2B5EF4-FFF2-40B4-BE49-F238E27FC236}">
              <a16:creationId xmlns:a16="http://schemas.microsoft.com/office/drawing/2014/main" id="{00000000-0008-0000-0800-0000F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4" name="Text Box 262">
          <a:extLst>
            <a:ext uri="{FF2B5EF4-FFF2-40B4-BE49-F238E27FC236}">
              <a16:creationId xmlns:a16="http://schemas.microsoft.com/office/drawing/2014/main" id="{00000000-0008-0000-0800-0000F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5" name="Text Box 263">
          <a:extLst>
            <a:ext uri="{FF2B5EF4-FFF2-40B4-BE49-F238E27FC236}">
              <a16:creationId xmlns:a16="http://schemas.microsoft.com/office/drawing/2014/main" id="{00000000-0008-0000-0800-0000F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6" name="Text Box 264">
          <a:extLst>
            <a:ext uri="{FF2B5EF4-FFF2-40B4-BE49-F238E27FC236}">
              <a16:creationId xmlns:a16="http://schemas.microsoft.com/office/drawing/2014/main" id="{00000000-0008-0000-0800-0000F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7" name="Text Box 265">
          <a:extLst>
            <a:ext uri="{FF2B5EF4-FFF2-40B4-BE49-F238E27FC236}">
              <a16:creationId xmlns:a16="http://schemas.microsoft.com/office/drawing/2014/main" id="{00000000-0008-0000-0800-0000F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8" name="Text Box 266">
          <a:extLst>
            <a:ext uri="{FF2B5EF4-FFF2-40B4-BE49-F238E27FC236}">
              <a16:creationId xmlns:a16="http://schemas.microsoft.com/office/drawing/2014/main" id="{00000000-0008-0000-0800-0000F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9" name="Text Box 267">
          <a:extLst>
            <a:ext uri="{FF2B5EF4-FFF2-40B4-BE49-F238E27FC236}">
              <a16:creationId xmlns:a16="http://schemas.microsoft.com/office/drawing/2014/main" id="{00000000-0008-0000-0800-0000F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0" name="Text Box 268">
          <a:extLst>
            <a:ext uri="{FF2B5EF4-FFF2-40B4-BE49-F238E27FC236}">
              <a16:creationId xmlns:a16="http://schemas.microsoft.com/office/drawing/2014/main" id="{00000000-0008-0000-0800-0000F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1" name="Text Box 269">
          <a:extLst>
            <a:ext uri="{FF2B5EF4-FFF2-40B4-BE49-F238E27FC236}">
              <a16:creationId xmlns:a16="http://schemas.microsoft.com/office/drawing/2014/main" id="{00000000-0008-0000-0800-0000F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2" name="Text Box 270">
          <a:extLst>
            <a:ext uri="{FF2B5EF4-FFF2-40B4-BE49-F238E27FC236}">
              <a16:creationId xmlns:a16="http://schemas.microsoft.com/office/drawing/2014/main" id="{00000000-0008-0000-0800-0000F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3" name="Text Box 271">
          <a:extLst>
            <a:ext uri="{FF2B5EF4-FFF2-40B4-BE49-F238E27FC236}">
              <a16:creationId xmlns:a16="http://schemas.microsoft.com/office/drawing/2014/main" id="{00000000-0008-0000-0800-0000F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4" name="Text Box 272">
          <a:extLst>
            <a:ext uri="{FF2B5EF4-FFF2-40B4-BE49-F238E27FC236}">
              <a16:creationId xmlns:a16="http://schemas.microsoft.com/office/drawing/2014/main" id="{00000000-0008-0000-0800-0000F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5" name="Text Box 273">
          <a:extLst>
            <a:ext uri="{FF2B5EF4-FFF2-40B4-BE49-F238E27FC236}">
              <a16:creationId xmlns:a16="http://schemas.microsoft.com/office/drawing/2014/main" id="{00000000-0008-0000-0800-0000F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6" name="Text Box 274">
          <a:extLst>
            <a:ext uri="{FF2B5EF4-FFF2-40B4-BE49-F238E27FC236}">
              <a16:creationId xmlns:a16="http://schemas.microsoft.com/office/drawing/2014/main" id="{00000000-0008-0000-0800-0000F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7" name="Text Box 275">
          <a:extLst>
            <a:ext uri="{FF2B5EF4-FFF2-40B4-BE49-F238E27FC236}">
              <a16:creationId xmlns:a16="http://schemas.microsoft.com/office/drawing/2014/main" id="{00000000-0008-0000-0800-0000F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8" name="Text Box 276">
          <a:extLst>
            <a:ext uri="{FF2B5EF4-FFF2-40B4-BE49-F238E27FC236}">
              <a16:creationId xmlns:a16="http://schemas.microsoft.com/office/drawing/2014/main" id="{00000000-0008-0000-0800-00000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9" name="Text Box 277">
          <a:extLst>
            <a:ext uri="{FF2B5EF4-FFF2-40B4-BE49-F238E27FC236}">
              <a16:creationId xmlns:a16="http://schemas.microsoft.com/office/drawing/2014/main" id="{00000000-0008-0000-0800-00000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0" name="Text Box 278">
          <a:extLst>
            <a:ext uri="{FF2B5EF4-FFF2-40B4-BE49-F238E27FC236}">
              <a16:creationId xmlns:a16="http://schemas.microsoft.com/office/drawing/2014/main" id="{00000000-0008-0000-0800-00000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1" name="Text Box 279">
          <a:extLst>
            <a:ext uri="{FF2B5EF4-FFF2-40B4-BE49-F238E27FC236}">
              <a16:creationId xmlns:a16="http://schemas.microsoft.com/office/drawing/2014/main" id="{00000000-0008-0000-0800-00000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2" name="Text Box 280">
          <a:extLst>
            <a:ext uri="{FF2B5EF4-FFF2-40B4-BE49-F238E27FC236}">
              <a16:creationId xmlns:a16="http://schemas.microsoft.com/office/drawing/2014/main" id="{00000000-0008-0000-0800-00000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3" name="Text Box 281">
          <a:extLst>
            <a:ext uri="{FF2B5EF4-FFF2-40B4-BE49-F238E27FC236}">
              <a16:creationId xmlns:a16="http://schemas.microsoft.com/office/drawing/2014/main" id="{00000000-0008-0000-0800-00000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4" name="Text Box 282">
          <a:extLst>
            <a:ext uri="{FF2B5EF4-FFF2-40B4-BE49-F238E27FC236}">
              <a16:creationId xmlns:a16="http://schemas.microsoft.com/office/drawing/2014/main" id="{00000000-0008-0000-0800-00000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5" name="Text Box 283">
          <a:extLst>
            <a:ext uri="{FF2B5EF4-FFF2-40B4-BE49-F238E27FC236}">
              <a16:creationId xmlns:a16="http://schemas.microsoft.com/office/drawing/2014/main" id="{00000000-0008-0000-0800-00000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6" name="Text Box 284">
          <a:extLst>
            <a:ext uri="{FF2B5EF4-FFF2-40B4-BE49-F238E27FC236}">
              <a16:creationId xmlns:a16="http://schemas.microsoft.com/office/drawing/2014/main" id="{00000000-0008-0000-0800-00000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7" name="Text Box 285">
          <a:extLst>
            <a:ext uri="{FF2B5EF4-FFF2-40B4-BE49-F238E27FC236}">
              <a16:creationId xmlns:a16="http://schemas.microsoft.com/office/drawing/2014/main" id="{00000000-0008-0000-0800-00000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8" name="Text Box 286">
          <a:extLst>
            <a:ext uri="{FF2B5EF4-FFF2-40B4-BE49-F238E27FC236}">
              <a16:creationId xmlns:a16="http://schemas.microsoft.com/office/drawing/2014/main" id="{00000000-0008-0000-0800-00000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9" name="Text Box 287">
          <a:extLst>
            <a:ext uri="{FF2B5EF4-FFF2-40B4-BE49-F238E27FC236}">
              <a16:creationId xmlns:a16="http://schemas.microsoft.com/office/drawing/2014/main" id="{00000000-0008-0000-0800-00000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0" name="Text Box 288">
          <a:extLst>
            <a:ext uri="{FF2B5EF4-FFF2-40B4-BE49-F238E27FC236}">
              <a16:creationId xmlns:a16="http://schemas.microsoft.com/office/drawing/2014/main" id="{00000000-0008-0000-0800-00000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1" name="Text Box 289">
          <a:extLst>
            <a:ext uri="{FF2B5EF4-FFF2-40B4-BE49-F238E27FC236}">
              <a16:creationId xmlns:a16="http://schemas.microsoft.com/office/drawing/2014/main" id="{00000000-0008-0000-0800-00000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2" name="Text Box 290">
          <a:extLst>
            <a:ext uri="{FF2B5EF4-FFF2-40B4-BE49-F238E27FC236}">
              <a16:creationId xmlns:a16="http://schemas.microsoft.com/office/drawing/2014/main" id="{00000000-0008-0000-0800-00000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3" name="Text Box 291">
          <a:extLst>
            <a:ext uri="{FF2B5EF4-FFF2-40B4-BE49-F238E27FC236}">
              <a16:creationId xmlns:a16="http://schemas.microsoft.com/office/drawing/2014/main" id="{00000000-0008-0000-0800-00000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4" name="Text Box 292">
          <a:extLst>
            <a:ext uri="{FF2B5EF4-FFF2-40B4-BE49-F238E27FC236}">
              <a16:creationId xmlns:a16="http://schemas.microsoft.com/office/drawing/2014/main" id="{00000000-0008-0000-0800-00001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5" name="Text Box 293">
          <a:extLst>
            <a:ext uri="{FF2B5EF4-FFF2-40B4-BE49-F238E27FC236}">
              <a16:creationId xmlns:a16="http://schemas.microsoft.com/office/drawing/2014/main" id="{00000000-0008-0000-0800-00001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6" name="Text Box 294">
          <a:extLst>
            <a:ext uri="{FF2B5EF4-FFF2-40B4-BE49-F238E27FC236}">
              <a16:creationId xmlns:a16="http://schemas.microsoft.com/office/drawing/2014/main" id="{00000000-0008-0000-0800-00001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7" name="Text Box 295">
          <a:extLst>
            <a:ext uri="{FF2B5EF4-FFF2-40B4-BE49-F238E27FC236}">
              <a16:creationId xmlns:a16="http://schemas.microsoft.com/office/drawing/2014/main" id="{00000000-0008-0000-0800-00001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8" name="Text Box 296">
          <a:extLst>
            <a:ext uri="{FF2B5EF4-FFF2-40B4-BE49-F238E27FC236}">
              <a16:creationId xmlns:a16="http://schemas.microsoft.com/office/drawing/2014/main" id="{00000000-0008-0000-0800-00001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49" name="Text Box 297">
          <a:extLst>
            <a:ext uri="{FF2B5EF4-FFF2-40B4-BE49-F238E27FC236}">
              <a16:creationId xmlns:a16="http://schemas.microsoft.com/office/drawing/2014/main" id="{00000000-0008-0000-0800-00001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0" name="Text Box 298">
          <a:extLst>
            <a:ext uri="{FF2B5EF4-FFF2-40B4-BE49-F238E27FC236}">
              <a16:creationId xmlns:a16="http://schemas.microsoft.com/office/drawing/2014/main" id="{00000000-0008-0000-0800-00001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1" name="Text Box 299">
          <a:extLst>
            <a:ext uri="{FF2B5EF4-FFF2-40B4-BE49-F238E27FC236}">
              <a16:creationId xmlns:a16="http://schemas.microsoft.com/office/drawing/2014/main" id="{00000000-0008-0000-0800-00001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2" name="Text Box 300">
          <a:extLst>
            <a:ext uri="{FF2B5EF4-FFF2-40B4-BE49-F238E27FC236}">
              <a16:creationId xmlns:a16="http://schemas.microsoft.com/office/drawing/2014/main" id="{00000000-0008-0000-0800-00001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3" name="Text Box 301">
          <a:extLst>
            <a:ext uri="{FF2B5EF4-FFF2-40B4-BE49-F238E27FC236}">
              <a16:creationId xmlns:a16="http://schemas.microsoft.com/office/drawing/2014/main" id="{00000000-0008-0000-0800-00001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4" name="Text Box 302">
          <a:extLst>
            <a:ext uri="{FF2B5EF4-FFF2-40B4-BE49-F238E27FC236}">
              <a16:creationId xmlns:a16="http://schemas.microsoft.com/office/drawing/2014/main" id="{00000000-0008-0000-0800-00001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5" name="Text Box 303">
          <a:extLst>
            <a:ext uri="{FF2B5EF4-FFF2-40B4-BE49-F238E27FC236}">
              <a16:creationId xmlns:a16="http://schemas.microsoft.com/office/drawing/2014/main" id="{00000000-0008-0000-0800-00001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6" name="Text Box 304">
          <a:extLst>
            <a:ext uri="{FF2B5EF4-FFF2-40B4-BE49-F238E27FC236}">
              <a16:creationId xmlns:a16="http://schemas.microsoft.com/office/drawing/2014/main" id="{00000000-0008-0000-0800-00001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7" name="Text Box 305">
          <a:extLst>
            <a:ext uri="{FF2B5EF4-FFF2-40B4-BE49-F238E27FC236}">
              <a16:creationId xmlns:a16="http://schemas.microsoft.com/office/drawing/2014/main" id="{00000000-0008-0000-0800-00001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8" name="Text Box 306">
          <a:extLst>
            <a:ext uri="{FF2B5EF4-FFF2-40B4-BE49-F238E27FC236}">
              <a16:creationId xmlns:a16="http://schemas.microsoft.com/office/drawing/2014/main" id="{00000000-0008-0000-0800-00001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9" name="Text Box 307">
          <a:extLst>
            <a:ext uri="{FF2B5EF4-FFF2-40B4-BE49-F238E27FC236}">
              <a16:creationId xmlns:a16="http://schemas.microsoft.com/office/drawing/2014/main" id="{00000000-0008-0000-0800-00001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0" name="Text Box 308">
          <a:extLst>
            <a:ext uri="{FF2B5EF4-FFF2-40B4-BE49-F238E27FC236}">
              <a16:creationId xmlns:a16="http://schemas.microsoft.com/office/drawing/2014/main" id="{00000000-0008-0000-0800-00002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1" name="Text Box 309">
          <a:extLst>
            <a:ext uri="{FF2B5EF4-FFF2-40B4-BE49-F238E27FC236}">
              <a16:creationId xmlns:a16="http://schemas.microsoft.com/office/drawing/2014/main" id="{00000000-0008-0000-0800-00002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2" name="Text Box 310">
          <a:extLst>
            <a:ext uri="{FF2B5EF4-FFF2-40B4-BE49-F238E27FC236}">
              <a16:creationId xmlns:a16="http://schemas.microsoft.com/office/drawing/2014/main" id="{00000000-0008-0000-0800-00002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3" name="Text Box 311">
          <a:extLst>
            <a:ext uri="{FF2B5EF4-FFF2-40B4-BE49-F238E27FC236}">
              <a16:creationId xmlns:a16="http://schemas.microsoft.com/office/drawing/2014/main" id="{00000000-0008-0000-0800-00002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4" name="Text Box 312">
          <a:extLst>
            <a:ext uri="{FF2B5EF4-FFF2-40B4-BE49-F238E27FC236}">
              <a16:creationId xmlns:a16="http://schemas.microsoft.com/office/drawing/2014/main" id="{00000000-0008-0000-0800-00002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5" name="Text Box 313">
          <a:extLst>
            <a:ext uri="{FF2B5EF4-FFF2-40B4-BE49-F238E27FC236}">
              <a16:creationId xmlns:a16="http://schemas.microsoft.com/office/drawing/2014/main" id="{00000000-0008-0000-0800-00002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6" name="Text Box 314">
          <a:extLst>
            <a:ext uri="{FF2B5EF4-FFF2-40B4-BE49-F238E27FC236}">
              <a16:creationId xmlns:a16="http://schemas.microsoft.com/office/drawing/2014/main" id="{00000000-0008-0000-0800-00002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7" name="Text Box 315">
          <a:extLst>
            <a:ext uri="{FF2B5EF4-FFF2-40B4-BE49-F238E27FC236}">
              <a16:creationId xmlns:a16="http://schemas.microsoft.com/office/drawing/2014/main" id="{00000000-0008-0000-0800-00002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8" name="Text Box 316">
          <a:extLst>
            <a:ext uri="{FF2B5EF4-FFF2-40B4-BE49-F238E27FC236}">
              <a16:creationId xmlns:a16="http://schemas.microsoft.com/office/drawing/2014/main" id="{00000000-0008-0000-0800-00002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9" name="Text Box 317">
          <a:extLst>
            <a:ext uri="{FF2B5EF4-FFF2-40B4-BE49-F238E27FC236}">
              <a16:creationId xmlns:a16="http://schemas.microsoft.com/office/drawing/2014/main" id="{00000000-0008-0000-0800-00002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0" name="Text Box 318">
          <a:extLst>
            <a:ext uri="{FF2B5EF4-FFF2-40B4-BE49-F238E27FC236}">
              <a16:creationId xmlns:a16="http://schemas.microsoft.com/office/drawing/2014/main" id="{00000000-0008-0000-0800-00002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1" name="Text Box 319">
          <a:extLst>
            <a:ext uri="{FF2B5EF4-FFF2-40B4-BE49-F238E27FC236}">
              <a16:creationId xmlns:a16="http://schemas.microsoft.com/office/drawing/2014/main" id="{00000000-0008-0000-0800-00002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2" name="Text Box 320">
          <a:extLst>
            <a:ext uri="{FF2B5EF4-FFF2-40B4-BE49-F238E27FC236}">
              <a16:creationId xmlns:a16="http://schemas.microsoft.com/office/drawing/2014/main" id="{00000000-0008-0000-0800-00002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3" name="Text Box 28">
          <a:extLst>
            <a:ext uri="{FF2B5EF4-FFF2-40B4-BE49-F238E27FC236}">
              <a16:creationId xmlns:a16="http://schemas.microsoft.com/office/drawing/2014/main" id="{00000000-0008-0000-0800-00002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4" name="Text Box 29">
          <a:extLst>
            <a:ext uri="{FF2B5EF4-FFF2-40B4-BE49-F238E27FC236}">
              <a16:creationId xmlns:a16="http://schemas.microsoft.com/office/drawing/2014/main" id="{00000000-0008-0000-0800-00002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5" name="Text Box 30">
          <a:extLst>
            <a:ext uri="{FF2B5EF4-FFF2-40B4-BE49-F238E27FC236}">
              <a16:creationId xmlns:a16="http://schemas.microsoft.com/office/drawing/2014/main" id="{00000000-0008-0000-0800-00002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6" name="Text Box 31">
          <a:extLst>
            <a:ext uri="{FF2B5EF4-FFF2-40B4-BE49-F238E27FC236}">
              <a16:creationId xmlns:a16="http://schemas.microsoft.com/office/drawing/2014/main" id="{00000000-0008-0000-0800-00003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7" name="Text Box 32">
          <a:extLst>
            <a:ext uri="{FF2B5EF4-FFF2-40B4-BE49-F238E27FC236}">
              <a16:creationId xmlns:a16="http://schemas.microsoft.com/office/drawing/2014/main" id="{00000000-0008-0000-0800-00003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8" name="Text Box 33">
          <a:extLst>
            <a:ext uri="{FF2B5EF4-FFF2-40B4-BE49-F238E27FC236}">
              <a16:creationId xmlns:a16="http://schemas.microsoft.com/office/drawing/2014/main" id="{00000000-0008-0000-0800-00003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9" name="Text Box 34">
          <a:extLst>
            <a:ext uri="{FF2B5EF4-FFF2-40B4-BE49-F238E27FC236}">
              <a16:creationId xmlns:a16="http://schemas.microsoft.com/office/drawing/2014/main" id="{00000000-0008-0000-0800-00003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0" name="Text Box 35">
          <a:extLst>
            <a:ext uri="{FF2B5EF4-FFF2-40B4-BE49-F238E27FC236}">
              <a16:creationId xmlns:a16="http://schemas.microsoft.com/office/drawing/2014/main" id="{00000000-0008-0000-0800-00003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1" name="Text Box 36">
          <a:extLst>
            <a:ext uri="{FF2B5EF4-FFF2-40B4-BE49-F238E27FC236}">
              <a16:creationId xmlns:a16="http://schemas.microsoft.com/office/drawing/2014/main" id="{00000000-0008-0000-0800-00003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2" name="Text Box 37">
          <a:extLst>
            <a:ext uri="{FF2B5EF4-FFF2-40B4-BE49-F238E27FC236}">
              <a16:creationId xmlns:a16="http://schemas.microsoft.com/office/drawing/2014/main" id="{00000000-0008-0000-0800-00003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3" name="Text Box 38">
          <a:extLst>
            <a:ext uri="{FF2B5EF4-FFF2-40B4-BE49-F238E27FC236}">
              <a16:creationId xmlns:a16="http://schemas.microsoft.com/office/drawing/2014/main" id="{00000000-0008-0000-0800-00003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4" name="Text Box 39">
          <a:extLst>
            <a:ext uri="{FF2B5EF4-FFF2-40B4-BE49-F238E27FC236}">
              <a16:creationId xmlns:a16="http://schemas.microsoft.com/office/drawing/2014/main" id="{00000000-0008-0000-0800-00003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5" name="Text Box 40">
          <a:extLst>
            <a:ext uri="{FF2B5EF4-FFF2-40B4-BE49-F238E27FC236}">
              <a16:creationId xmlns:a16="http://schemas.microsoft.com/office/drawing/2014/main" id="{00000000-0008-0000-0800-00003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6" name="Text Box 41">
          <a:extLst>
            <a:ext uri="{FF2B5EF4-FFF2-40B4-BE49-F238E27FC236}">
              <a16:creationId xmlns:a16="http://schemas.microsoft.com/office/drawing/2014/main" id="{00000000-0008-0000-0800-00003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7" name="Text Box 42">
          <a:extLst>
            <a:ext uri="{FF2B5EF4-FFF2-40B4-BE49-F238E27FC236}">
              <a16:creationId xmlns:a16="http://schemas.microsoft.com/office/drawing/2014/main" id="{00000000-0008-0000-0800-00003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8" name="Text Box 43">
          <a:extLst>
            <a:ext uri="{FF2B5EF4-FFF2-40B4-BE49-F238E27FC236}">
              <a16:creationId xmlns:a16="http://schemas.microsoft.com/office/drawing/2014/main" id="{00000000-0008-0000-0800-00003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9" name="Text Box 44">
          <a:extLst>
            <a:ext uri="{FF2B5EF4-FFF2-40B4-BE49-F238E27FC236}">
              <a16:creationId xmlns:a16="http://schemas.microsoft.com/office/drawing/2014/main" id="{00000000-0008-0000-0800-00003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0" name="Text Box 45">
          <a:extLst>
            <a:ext uri="{FF2B5EF4-FFF2-40B4-BE49-F238E27FC236}">
              <a16:creationId xmlns:a16="http://schemas.microsoft.com/office/drawing/2014/main" id="{00000000-0008-0000-0800-00003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1" name="Text Box 46">
          <a:extLst>
            <a:ext uri="{FF2B5EF4-FFF2-40B4-BE49-F238E27FC236}">
              <a16:creationId xmlns:a16="http://schemas.microsoft.com/office/drawing/2014/main" id="{00000000-0008-0000-0800-00003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2" name="Text Box 47">
          <a:extLst>
            <a:ext uri="{FF2B5EF4-FFF2-40B4-BE49-F238E27FC236}">
              <a16:creationId xmlns:a16="http://schemas.microsoft.com/office/drawing/2014/main" id="{00000000-0008-0000-0800-00004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3" name="Text Box 48">
          <a:extLst>
            <a:ext uri="{FF2B5EF4-FFF2-40B4-BE49-F238E27FC236}">
              <a16:creationId xmlns:a16="http://schemas.microsoft.com/office/drawing/2014/main" id="{00000000-0008-0000-0800-00004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4" name="Text Box 49">
          <a:extLst>
            <a:ext uri="{FF2B5EF4-FFF2-40B4-BE49-F238E27FC236}">
              <a16:creationId xmlns:a16="http://schemas.microsoft.com/office/drawing/2014/main" id="{00000000-0008-0000-0800-00004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5" name="Text Box 50">
          <a:extLst>
            <a:ext uri="{FF2B5EF4-FFF2-40B4-BE49-F238E27FC236}">
              <a16:creationId xmlns:a16="http://schemas.microsoft.com/office/drawing/2014/main" id="{00000000-0008-0000-0800-00004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6" name="Text Box 51">
          <a:extLst>
            <a:ext uri="{FF2B5EF4-FFF2-40B4-BE49-F238E27FC236}">
              <a16:creationId xmlns:a16="http://schemas.microsoft.com/office/drawing/2014/main" id="{00000000-0008-0000-0800-00004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7" name="Text Box 52">
          <a:extLst>
            <a:ext uri="{FF2B5EF4-FFF2-40B4-BE49-F238E27FC236}">
              <a16:creationId xmlns:a16="http://schemas.microsoft.com/office/drawing/2014/main" id="{00000000-0008-0000-0800-00004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8" name="Text Box 53">
          <a:extLst>
            <a:ext uri="{FF2B5EF4-FFF2-40B4-BE49-F238E27FC236}">
              <a16:creationId xmlns:a16="http://schemas.microsoft.com/office/drawing/2014/main" id="{00000000-0008-0000-0800-00004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9" name="Text Box 54">
          <a:extLst>
            <a:ext uri="{FF2B5EF4-FFF2-40B4-BE49-F238E27FC236}">
              <a16:creationId xmlns:a16="http://schemas.microsoft.com/office/drawing/2014/main" id="{00000000-0008-0000-0800-00004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0" name="Text Box 55">
          <a:extLst>
            <a:ext uri="{FF2B5EF4-FFF2-40B4-BE49-F238E27FC236}">
              <a16:creationId xmlns:a16="http://schemas.microsoft.com/office/drawing/2014/main" id="{00000000-0008-0000-0800-00004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1" name="Text Box 56">
          <a:extLst>
            <a:ext uri="{FF2B5EF4-FFF2-40B4-BE49-F238E27FC236}">
              <a16:creationId xmlns:a16="http://schemas.microsoft.com/office/drawing/2014/main" id="{00000000-0008-0000-0800-00004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2" name="Text Box 57">
          <a:extLst>
            <a:ext uri="{FF2B5EF4-FFF2-40B4-BE49-F238E27FC236}">
              <a16:creationId xmlns:a16="http://schemas.microsoft.com/office/drawing/2014/main" id="{00000000-0008-0000-0800-00004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3" name="Text Box 58">
          <a:extLst>
            <a:ext uri="{FF2B5EF4-FFF2-40B4-BE49-F238E27FC236}">
              <a16:creationId xmlns:a16="http://schemas.microsoft.com/office/drawing/2014/main" id="{00000000-0008-0000-0800-00004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4" name="Text Box 59">
          <a:extLst>
            <a:ext uri="{FF2B5EF4-FFF2-40B4-BE49-F238E27FC236}">
              <a16:creationId xmlns:a16="http://schemas.microsoft.com/office/drawing/2014/main" id="{00000000-0008-0000-0800-00004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5" name="Text Box 60">
          <a:extLst>
            <a:ext uri="{FF2B5EF4-FFF2-40B4-BE49-F238E27FC236}">
              <a16:creationId xmlns:a16="http://schemas.microsoft.com/office/drawing/2014/main" id="{00000000-0008-0000-0800-00004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6" name="Text Box 61">
          <a:extLst>
            <a:ext uri="{FF2B5EF4-FFF2-40B4-BE49-F238E27FC236}">
              <a16:creationId xmlns:a16="http://schemas.microsoft.com/office/drawing/2014/main" id="{00000000-0008-0000-0800-00004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7" name="Text Box 62">
          <a:extLst>
            <a:ext uri="{FF2B5EF4-FFF2-40B4-BE49-F238E27FC236}">
              <a16:creationId xmlns:a16="http://schemas.microsoft.com/office/drawing/2014/main" id="{00000000-0008-0000-0800-00004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8" name="Text Box 63">
          <a:extLst>
            <a:ext uri="{FF2B5EF4-FFF2-40B4-BE49-F238E27FC236}">
              <a16:creationId xmlns:a16="http://schemas.microsoft.com/office/drawing/2014/main" id="{00000000-0008-0000-0800-00005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9" name="Text Box 64">
          <a:extLst>
            <a:ext uri="{FF2B5EF4-FFF2-40B4-BE49-F238E27FC236}">
              <a16:creationId xmlns:a16="http://schemas.microsoft.com/office/drawing/2014/main" id="{00000000-0008-0000-0800-00005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0" name="Text Box 65">
          <a:extLst>
            <a:ext uri="{FF2B5EF4-FFF2-40B4-BE49-F238E27FC236}">
              <a16:creationId xmlns:a16="http://schemas.microsoft.com/office/drawing/2014/main" id="{00000000-0008-0000-0800-00005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1" name="Text Box 66">
          <a:extLst>
            <a:ext uri="{FF2B5EF4-FFF2-40B4-BE49-F238E27FC236}">
              <a16:creationId xmlns:a16="http://schemas.microsoft.com/office/drawing/2014/main" id="{00000000-0008-0000-0800-00005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2" name="Text Box 67">
          <a:extLst>
            <a:ext uri="{FF2B5EF4-FFF2-40B4-BE49-F238E27FC236}">
              <a16:creationId xmlns:a16="http://schemas.microsoft.com/office/drawing/2014/main" id="{00000000-0008-0000-0800-00005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3" name="Text Box 68">
          <a:extLst>
            <a:ext uri="{FF2B5EF4-FFF2-40B4-BE49-F238E27FC236}">
              <a16:creationId xmlns:a16="http://schemas.microsoft.com/office/drawing/2014/main" id="{00000000-0008-0000-0800-00005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4" name="Text Box 69">
          <a:extLst>
            <a:ext uri="{FF2B5EF4-FFF2-40B4-BE49-F238E27FC236}">
              <a16:creationId xmlns:a16="http://schemas.microsoft.com/office/drawing/2014/main" id="{00000000-0008-0000-0800-00005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5" name="Text Box 70">
          <a:extLst>
            <a:ext uri="{FF2B5EF4-FFF2-40B4-BE49-F238E27FC236}">
              <a16:creationId xmlns:a16="http://schemas.microsoft.com/office/drawing/2014/main" id="{00000000-0008-0000-0800-00005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6" name="Text Box 71">
          <a:extLst>
            <a:ext uri="{FF2B5EF4-FFF2-40B4-BE49-F238E27FC236}">
              <a16:creationId xmlns:a16="http://schemas.microsoft.com/office/drawing/2014/main" id="{00000000-0008-0000-0800-00005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7" name="Text Box 72">
          <a:extLst>
            <a:ext uri="{FF2B5EF4-FFF2-40B4-BE49-F238E27FC236}">
              <a16:creationId xmlns:a16="http://schemas.microsoft.com/office/drawing/2014/main" id="{00000000-0008-0000-0800-00005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8" name="Text Box 73">
          <a:extLst>
            <a:ext uri="{FF2B5EF4-FFF2-40B4-BE49-F238E27FC236}">
              <a16:creationId xmlns:a16="http://schemas.microsoft.com/office/drawing/2014/main" id="{00000000-0008-0000-0800-00005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9" name="Text Box 74">
          <a:extLst>
            <a:ext uri="{FF2B5EF4-FFF2-40B4-BE49-F238E27FC236}">
              <a16:creationId xmlns:a16="http://schemas.microsoft.com/office/drawing/2014/main" id="{00000000-0008-0000-0800-00005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0" name="Text Box 75">
          <a:extLst>
            <a:ext uri="{FF2B5EF4-FFF2-40B4-BE49-F238E27FC236}">
              <a16:creationId xmlns:a16="http://schemas.microsoft.com/office/drawing/2014/main" id="{00000000-0008-0000-0800-00005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1" name="Text Box 76">
          <a:extLst>
            <a:ext uri="{FF2B5EF4-FFF2-40B4-BE49-F238E27FC236}">
              <a16:creationId xmlns:a16="http://schemas.microsoft.com/office/drawing/2014/main" id="{00000000-0008-0000-0800-00005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2" name="Text Box 77">
          <a:extLst>
            <a:ext uri="{FF2B5EF4-FFF2-40B4-BE49-F238E27FC236}">
              <a16:creationId xmlns:a16="http://schemas.microsoft.com/office/drawing/2014/main" id="{00000000-0008-0000-0800-00005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3" name="Text Box 78">
          <a:extLst>
            <a:ext uri="{FF2B5EF4-FFF2-40B4-BE49-F238E27FC236}">
              <a16:creationId xmlns:a16="http://schemas.microsoft.com/office/drawing/2014/main" id="{00000000-0008-0000-0800-00005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4" name="Text Box 79">
          <a:extLst>
            <a:ext uri="{FF2B5EF4-FFF2-40B4-BE49-F238E27FC236}">
              <a16:creationId xmlns:a16="http://schemas.microsoft.com/office/drawing/2014/main" id="{00000000-0008-0000-0800-00006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5" name="Text Box 80">
          <a:extLst>
            <a:ext uri="{FF2B5EF4-FFF2-40B4-BE49-F238E27FC236}">
              <a16:creationId xmlns:a16="http://schemas.microsoft.com/office/drawing/2014/main" id="{00000000-0008-0000-0800-00006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6" name="Text Box 81">
          <a:extLst>
            <a:ext uri="{FF2B5EF4-FFF2-40B4-BE49-F238E27FC236}">
              <a16:creationId xmlns:a16="http://schemas.microsoft.com/office/drawing/2014/main" id="{00000000-0008-0000-0800-00006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7" name="Text Box 82">
          <a:extLst>
            <a:ext uri="{FF2B5EF4-FFF2-40B4-BE49-F238E27FC236}">
              <a16:creationId xmlns:a16="http://schemas.microsoft.com/office/drawing/2014/main" id="{00000000-0008-0000-0800-00006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8" name="Text Box 83">
          <a:extLst>
            <a:ext uri="{FF2B5EF4-FFF2-40B4-BE49-F238E27FC236}">
              <a16:creationId xmlns:a16="http://schemas.microsoft.com/office/drawing/2014/main" id="{00000000-0008-0000-0800-00006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9" name="Text Box 84">
          <a:extLst>
            <a:ext uri="{FF2B5EF4-FFF2-40B4-BE49-F238E27FC236}">
              <a16:creationId xmlns:a16="http://schemas.microsoft.com/office/drawing/2014/main" id="{00000000-0008-0000-0800-00006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0" name="Text Box 85">
          <a:extLst>
            <a:ext uri="{FF2B5EF4-FFF2-40B4-BE49-F238E27FC236}">
              <a16:creationId xmlns:a16="http://schemas.microsoft.com/office/drawing/2014/main" id="{00000000-0008-0000-0800-00006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1" name="Text Box 86">
          <a:extLst>
            <a:ext uri="{FF2B5EF4-FFF2-40B4-BE49-F238E27FC236}">
              <a16:creationId xmlns:a16="http://schemas.microsoft.com/office/drawing/2014/main" id="{00000000-0008-0000-0800-00006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2" name="Text Box 87">
          <a:extLst>
            <a:ext uri="{FF2B5EF4-FFF2-40B4-BE49-F238E27FC236}">
              <a16:creationId xmlns:a16="http://schemas.microsoft.com/office/drawing/2014/main" id="{00000000-0008-0000-0800-00006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3" name="Text Box 88">
          <a:extLst>
            <a:ext uri="{FF2B5EF4-FFF2-40B4-BE49-F238E27FC236}">
              <a16:creationId xmlns:a16="http://schemas.microsoft.com/office/drawing/2014/main" id="{00000000-0008-0000-0800-00006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4" name="Text Box 89">
          <a:extLst>
            <a:ext uri="{FF2B5EF4-FFF2-40B4-BE49-F238E27FC236}">
              <a16:creationId xmlns:a16="http://schemas.microsoft.com/office/drawing/2014/main" id="{00000000-0008-0000-0800-00006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5" name="Text Box 90">
          <a:extLst>
            <a:ext uri="{FF2B5EF4-FFF2-40B4-BE49-F238E27FC236}">
              <a16:creationId xmlns:a16="http://schemas.microsoft.com/office/drawing/2014/main" id="{00000000-0008-0000-0800-00006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6" name="Text Box 91">
          <a:extLst>
            <a:ext uri="{FF2B5EF4-FFF2-40B4-BE49-F238E27FC236}">
              <a16:creationId xmlns:a16="http://schemas.microsoft.com/office/drawing/2014/main" id="{00000000-0008-0000-0800-00006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7" name="Text Box 92">
          <a:extLst>
            <a:ext uri="{FF2B5EF4-FFF2-40B4-BE49-F238E27FC236}">
              <a16:creationId xmlns:a16="http://schemas.microsoft.com/office/drawing/2014/main" id="{00000000-0008-0000-0800-00006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8" name="Text Box 93">
          <a:extLst>
            <a:ext uri="{FF2B5EF4-FFF2-40B4-BE49-F238E27FC236}">
              <a16:creationId xmlns:a16="http://schemas.microsoft.com/office/drawing/2014/main" id="{00000000-0008-0000-0800-00006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9" name="Text Box 94">
          <a:extLst>
            <a:ext uri="{FF2B5EF4-FFF2-40B4-BE49-F238E27FC236}">
              <a16:creationId xmlns:a16="http://schemas.microsoft.com/office/drawing/2014/main" id="{00000000-0008-0000-0800-00006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0" name="Text Box 95">
          <a:extLst>
            <a:ext uri="{FF2B5EF4-FFF2-40B4-BE49-F238E27FC236}">
              <a16:creationId xmlns:a16="http://schemas.microsoft.com/office/drawing/2014/main" id="{00000000-0008-0000-0800-00007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1" name="Text Box 96">
          <a:extLst>
            <a:ext uri="{FF2B5EF4-FFF2-40B4-BE49-F238E27FC236}">
              <a16:creationId xmlns:a16="http://schemas.microsoft.com/office/drawing/2014/main" id="{00000000-0008-0000-0800-00007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2" name="Text Box 97">
          <a:extLst>
            <a:ext uri="{FF2B5EF4-FFF2-40B4-BE49-F238E27FC236}">
              <a16:creationId xmlns:a16="http://schemas.microsoft.com/office/drawing/2014/main" id="{00000000-0008-0000-0800-00007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3" name="Text Box 100">
          <a:extLst>
            <a:ext uri="{FF2B5EF4-FFF2-40B4-BE49-F238E27FC236}">
              <a16:creationId xmlns:a16="http://schemas.microsoft.com/office/drawing/2014/main" id="{00000000-0008-0000-0800-00007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4" name="Text Box 101">
          <a:extLst>
            <a:ext uri="{FF2B5EF4-FFF2-40B4-BE49-F238E27FC236}">
              <a16:creationId xmlns:a16="http://schemas.microsoft.com/office/drawing/2014/main" id="{00000000-0008-0000-0800-00007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5" name="Text Box 102">
          <a:extLst>
            <a:ext uri="{FF2B5EF4-FFF2-40B4-BE49-F238E27FC236}">
              <a16:creationId xmlns:a16="http://schemas.microsoft.com/office/drawing/2014/main" id="{00000000-0008-0000-0800-00007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6" name="Text Box 103">
          <a:extLst>
            <a:ext uri="{FF2B5EF4-FFF2-40B4-BE49-F238E27FC236}">
              <a16:creationId xmlns:a16="http://schemas.microsoft.com/office/drawing/2014/main" id="{00000000-0008-0000-0800-00007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7" name="Text Box 104">
          <a:extLst>
            <a:ext uri="{FF2B5EF4-FFF2-40B4-BE49-F238E27FC236}">
              <a16:creationId xmlns:a16="http://schemas.microsoft.com/office/drawing/2014/main" id="{00000000-0008-0000-0800-00007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8" name="Text Box 105">
          <a:extLst>
            <a:ext uri="{FF2B5EF4-FFF2-40B4-BE49-F238E27FC236}">
              <a16:creationId xmlns:a16="http://schemas.microsoft.com/office/drawing/2014/main" id="{00000000-0008-0000-0800-00007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9" name="Text Box 106">
          <a:extLst>
            <a:ext uri="{FF2B5EF4-FFF2-40B4-BE49-F238E27FC236}">
              <a16:creationId xmlns:a16="http://schemas.microsoft.com/office/drawing/2014/main" id="{00000000-0008-0000-0800-00007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0" name="Text Box 107">
          <a:extLst>
            <a:ext uri="{FF2B5EF4-FFF2-40B4-BE49-F238E27FC236}">
              <a16:creationId xmlns:a16="http://schemas.microsoft.com/office/drawing/2014/main" id="{00000000-0008-0000-0800-00007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1" name="Text Box 108">
          <a:extLst>
            <a:ext uri="{FF2B5EF4-FFF2-40B4-BE49-F238E27FC236}">
              <a16:creationId xmlns:a16="http://schemas.microsoft.com/office/drawing/2014/main" id="{00000000-0008-0000-0800-00007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2" name="Text Box 109">
          <a:extLst>
            <a:ext uri="{FF2B5EF4-FFF2-40B4-BE49-F238E27FC236}">
              <a16:creationId xmlns:a16="http://schemas.microsoft.com/office/drawing/2014/main" id="{00000000-0008-0000-0800-00007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3" name="Text Box 110">
          <a:extLst>
            <a:ext uri="{FF2B5EF4-FFF2-40B4-BE49-F238E27FC236}">
              <a16:creationId xmlns:a16="http://schemas.microsoft.com/office/drawing/2014/main" id="{00000000-0008-0000-0800-00007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4" name="Text Box 111">
          <a:extLst>
            <a:ext uri="{FF2B5EF4-FFF2-40B4-BE49-F238E27FC236}">
              <a16:creationId xmlns:a16="http://schemas.microsoft.com/office/drawing/2014/main" id="{00000000-0008-0000-0800-00007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5" name="Text Box 119">
          <a:extLst>
            <a:ext uri="{FF2B5EF4-FFF2-40B4-BE49-F238E27FC236}">
              <a16:creationId xmlns:a16="http://schemas.microsoft.com/office/drawing/2014/main" id="{00000000-0008-0000-0800-00007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6" name="Text Box 120">
          <a:extLst>
            <a:ext uri="{FF2B5EF4-FFF2-40B4-BE49-F238E27FC236}">
              <a16:creationId xmlns:a16="http://schemas.microsoft.com/office/drawing/2014/main" id="{00000000-0008-0000-0800-00008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7" name="Text Box 121">
          <a:extLst>
            <a:ext uri="{FF2B5EF4-FFF2-40B4-BE49-F238E27FC236}">
              <a16:creationId xmlns:a16="http://schemas.microsoft.com/office/drawing/2014/main" id="{00000000-0008-0000-0800-00008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8" name="Text Box 122">
          <a:extLst>
            <a:ext uri="{FF2B5EF4-FFF2-40B4-BE49-F238E27FC236}">
              <a16:creationId xmlns:a16="http://schemas.microsoft.com/office/drawing/2014/main" id="{00000000-0008-0000-0800-00008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9" name="Text Box 123">
          <a:extLst>
            <a:ext uri="{FF2B5EF4-FFF2-40B4-BE49-F238E27FC236}">
              <a16:creationId xmlns:a16="http://schemas.microsoft.com/office/drawing/2014/main" id="{00000000-0008-0000-0800-00008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0" name="Text Box 124">
          <a:extLst>
            <a:ext uri="{FF2B5EF4-FFF2-40B4-BE49-F238E27FC236}">
              <a16:creationId xmlns:a16="http://schemas.microsoft.com/office/drawing/2014/main" id="{00000000-0008-0000-0800-00008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1" name="Text Box 125">
          <a:extLst>
            <a:ext uri="{FF2B5EF4-FFF2-40B4-BE49-F238E27FC236}">
              <a16:creationId xmlns:a16="http://schemas.microsoft.com/office/drawing/2014/main" id="{00000000-0008-0000-0800-00008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2" name="Text Box 126">
          <a:extLst>
            <a:ext uri="{FF2B5EF4-FFF2-40B4-BE49-F238E27FC236}">
              <a16:creationId xmlns:a16="http://schemas.microsoft.com/office/drawing/2014/main" id="{00000000-0008-0000-0800-00008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3" name="Text Box 127">
          <a:extLst>
            <a:ext uri="{FF2B5EF4-FFF2-40B4-BE49-F238E27FC236}">
              <a16:creationId xmlns:a16="http://schemas.microsoft.com/office/drawing/2014/main" id="{00000000-0008-0000-0800-00008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4" name="Text Box 128">
          <a:extLst>
            <a:ext uri="{FF2B5EF4-FFF2-40B4-BE49-F238E27FC236}">
              <a16:creationId xmlns:a16="http://schemas.microsoft.com/office/drawing/2014/main" id="{00000000-0008-0000-0800-00008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5" name="Text Box 129">
          <a:extLst>
            <a:ext uri="{FF2B5EF4-FFF2-40B4-BE49-F238E27FC236}">
              <a16:creationId xmlns:a16="http://schemas.microsoft.com/office/drawing/2014/main" id="{00000000-0008-0000-0800-00008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6" name="Text Box 130">
          <a:extLst>
            <a:ext uri="{FF2B5EF4-FFF2-40B4-BE49-F238E27FC236}">
              <a16:creationId xmlns:a16="http://schemas.microsoft.com/office/drawing/2014/main" id="{00000000-0008-0000-0800-00008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7" name="Text Box 133">
          <a:extLst>
            <a:ext uri="{FF2B5EF4-FFF2-40B4-BE49-F238E27FC236}">
              <a16:creationId xmlns:a16="http://schemas.microsoft.com/office/drawing/2014/main" id="{00000000-0008-0000-0800-00008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8" name="Text Box 134">
          <a:extLst>
            <a:ext uri="{FF2B5EF4-FFF2-40B4-BE49-F238E27FC236}">
              <a16:creationId xmlns:a16="http://schemas.microsoft.com/office/drawing/2014/main" id="{00000000-0008-0000-0800-00008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9" name="Text Box 135">
          <a:extLst>
            <a:ext uri="{FF2B5EF4-FFF2-40B4-BE49-F238E27FC236}">
              <a16:creationId xmlns:a16="http://schemas.microsoft.com/office/drawing/2014/main" id="{00000000-0008-0000-0800-00008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0" name="Text Box 136">
          <a:extLst>
            <a:ext uri="{FF2B5EF4-FFF2-40B4-BE49-F238E27FC236}">
              <a16:creationId xmlns:a16="http://schemas.microsoft.com/office/drawing/2014/main" id="{00000000-0008-0000-0800-00008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1" name="Text Box 137">
          <a:extLst>
            <a:ext uri="{FF2B5EF4-FFF2-40B4-BE49-F238E27FC236}">
              <a16:creationId xmlns:a16="http://schemas.microsoft.com/office/drawing/2014/main" id="{00000000-0008-0000-0800-00008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2" name="Text Box 138">
          <a:extLst>
            <a:ext uri="{FF2B5EF4-FFF2-40B4-BE49-F238E27FC236}">
              <a16:creationId xmlns:a16="http://schemas.microsoft.com/office/drawing/2014/main" id="{00000000-0008-0000-0800-00009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3" name="Text Box 139">
          <a:extLst>
            <a:ext uri="{FF2B5EF4-FFF2-40B4-BE49-F238E27FC236}">
              <a16:creationId xmlns:a16="http://schemas.microsoft.com/office/drawing/2014/main" id="{00000000-0008-0000-0800-00009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4" name="Text Box 140">
          <a:extLst>
            <a:ext uri="{FF2B5EF4-FFF2-40B4-BE49-F238E27FC236}">
              <a16:creationId xmlns:a16="http://schemas.microsoft.com/office/drawing/2014/main" id="{00000000-0008-0000-0800-00009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5" name="Text Box 141">
          <a:extLst>
            <a:ext uri="{FF2B5EF4-FFF2-40B4-BE49-F238E27FC236}">
              <a16:creationId xmlns:a16="http://schemas.microsoft.com/office/drawing/2014/main" id="{00000000-0008-0000-0800-00009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6" name="Text Box 142">
          <a:extLst>
            <a:ext uri="{FF2B5EF4-FFF2-40B4-BE49-F238E27FC236}">
              <a16:creationId xmlns:a16="http://schemas.microsoft.com/office/drawing/2014/main" id="{00000000-0008-0000-0800-00009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7" name="Text Box 143">
          <a:extLst>
            <a:ext uri="{FF2B5EF4-FFF2-40B4-BE49-F238E27FC236}">
              <a16:creationId xmlns:a16="http://schemas.microsoft.com/office/drawing/2014/main" id="{00000000-0008-0000-0800-00009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8" name="Text Box 144">
          <a:extLst>
            <a:ext uri="{FF2B5EF4-FFF2-40B4-BE49-F238E27FC236}">
              <a16:creationId xmlns:a16="http://schemas.microsoft.com/office/drawing/2014/main" id="{00000000-0008-0000-0800-00009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9" name="Text Box 145">
          <a:extLst>
            <a:ext uri="{FF2B5EF4-FFF2-40B4-BE49-F238E27FC236}">
              <a16:creationId xmlns:a16="http://schemas.microsoft.com/office/drawing/2014/main" id="{00000000-0008-0000-0800-00009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0" name="Text Box 146">
          <a:extLst>
            <a:ext uri="{FF2B5EF4-FFF2-40B4-BE49-F238E27FC236}">
              <a16:creationId xmlns:a16="http://schemas.microsoft.com/office/drawing/2014/main" id="{00000000-0008-0000-0800-00009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1" name="Text Box 147">
          <a:extLst>
            <a:ext uri="{FF2B5EF4-FFF2-40B4-BE49-F238E27FC236}">
              <a16:creationId xmlns:a16="http://schemas.microsoft.com/office/drawing/2014/main" id="{00000000-0008-0000-0800-00009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2" name="Text Box 148">
          <a:extLst>
            <a:ext uri="{FF2B5EF4-FFF2-40B4-BE49-F238E27FC236}">
              <a16:creationId xmlns:a16="http://schemas.microsoft.com/office/drawing/2014/main" id="{00000000-0008-0000-0800-00009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3" name="Text Box 149">
          <a:extLst>
            <a:ext uri="{FF2B5EF4-FFF2-40B4-BE49-F238E27FC236}">
              <a16:creationId xmlns:a16="http://schemas.microsoft.com/office/drawing/2014/main" id="{00000000-0008-0000-0800-00009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4" name="Text Box 150">
          <a:extLst>
            <a:ext uri="{FF2B5EF4-FFF2-40B4-BE49-F238E27FC236}">
              <a16:creationId xmlns:a16="http://schemas.microsoft.com/office/drawing/2014/main" id="{00000000-0008-0000-0800-00009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5" name="Text Box 151">
          <a:extLst>
            <a:ext uri="{FF2B5EF4-FFF2-40B4-BE49-F238E27FC236}">
              <a16:creationId xmlns:a16="http://schemas.microsoft.com/office/drawing/2014/main" id="{00000000-0008-0000-0800-00009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6" name="Text Box 152">
          <a:extLst>
            <a:ext uri="{FF2B5EF4-FFF2-40B4-BE49-F238E27FC236}">
              <a16:creationId xmlns:a16="http://schemas.microsoft.com/office/drawing/2014/main" id="{00000000-0008-0000-0800-00009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7" name="Text Box 153">
          <a:extLst>
            <a:ext uri="{FF2B5EF4-FFF2-40B4-BE49-F238E27FC236}">
              <a16:creationId xmlns:a16="http://schemas.microsoft.com/office/drawing/2014/main" id="{00000000-0008-0000-0800-00009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8" name="Text Box 154">
          <a:extLst>
            <a:ext uri="{FF2B5EF4-FFF2-40B4-BE49-F238E27FC236}">
              <a16:creationId xmlns:a16="http://schemas.microsoft.com/office/drawing/2014/main" id="{00000000-0008-0000-0800-0000A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9" name="Text Box 155">
          <a:extLst>
            <a:ext uri="{FF2B5EF4-FFF2-40B4-BE49-F238E27FC236}">
              <a16:creationId xmlns:a16="http://schemas.microsoft.com/office/drawing/2014/main" id="{00000000-0008-0000-0800-0000A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0" name="Text Box 156">
          <a:extLst>
            <a:ext uri="{FF2B5EF4-FFF2-40B4-BE49-F238E27FC236}">
              <a16:creationId xmlns:a16="http://schemas.microsoft.com/office/drawing/2014/main" id="{00000000-0008-0000-0800-0000A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1" name="Text Box 157">
          <a:extLst>
            <a:ext uri="{FF2B5EF4-FFF2-40B4-BE49-F238E27FC236}">
              <a16:creationId xmlns:a16="http://schemas.microsoft.com/office/drawing/2014/main" id="{00000000-0008-0000-0800-0000A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2" name="Text Box 158">
          <a:extLst>
            <a:ext uri="{FF2B5EF4-FFF2-40B4-BE49-F238E27FC236}">
              <a16:creationId xmlns:a16="http://schemas.microsoft.com/office/drawing/2014/main" id="{00000000-0008-0000-0800-0000A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3" name="Text Box 159">
          <a:extLst>
            <a:ext uri="{FF2B5EF4-FFF2-40B4-BE49-F238E27FC236}">
              <a16:creationId xmlns:a16="http://schemas.microsoft.com/office/drawing/2014/main" id="{00000000-0008-0000-0800-0000A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4" name="Text Box 160">
          <a:extLst>
            <a:ext uri="{FF2B5EF4-FFF2-40B4-BE49-F238E27FC236}">
              <a16:creationId xmlns:a16="http://schemas.microsoft.com/office/drawing/2014/main" id="{00000000-0008-0000-0800-0000A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5" name="Text Box 161">
          <a:extLst>
            <a:ext uri="{FF2B5EF4-FFF2-40B4-BE49-F238E27FC236}">
              <a16:creationId xmlns:a16="http://schemas.microsoft.com/office/drawing/2014/main" id="{00000000-0008-0000-0800-0000A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6" name="Text Box 162">
          <a:extLst>
            <a:ext uri="{FF2B5EF4-FFF2-40B4-BE49-F238E27FC236}">
              <a16:creationId xmlns:a16="http://schemas.microsoft.com/office/drawing/2014/main" id="{00000000-0008-0000-0800-0000A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7" name="Text Box 163">
          <a:extLst>
            <a:ext uri="{FF2B5EF4-FFF2-40B4-BE49-F238E27FC236}">
              <a16:creationId xmlns:a16="http://schemas.microsoft.com/office/drawing/2014/main" id="{00000000-0008-0000-0800-0000A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8" name="Text Box 164">
          <a:extLst>
            <a:ext uri="{FF2B5EF4-FFF2-40B4-BE49-F238E27FC236}">
              <a16:creationId xmlns:a16="http://schemas.microsoft.com/office/drawing/2014/main" id="{00000000-0008-0000-0800-0000A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9" name="Text Box 165">
          <a:extLst>
            <a:ext uri="{FF2B5EF4-FFF2-40B4-BE49-F238E27FC236}">
              <a16:creationId xmlns:a16="http://schemas.microsoft.com/office/drawing/2014/main" id="{00000000-0008-0000-0800-0000A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0" name="Text Box 166">
          <a:extLst>
            <a:ext uri="{FF2B5EF4-FFF2-40B4-BE49-F238E27FC236}">
              <a16:creationId xmlns:a16="http://schemas.microsoft.com/office/drawing/2014/main" id="{00000000-0008-0000-0800-0000A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1" name="Text Box 167">
          <a:extLst>
            <a:ext uri="{FF2B5EF4-FFF2-40B4-BE49-F238E27FC236}">
              <a16:creationId xmlns:a16="http://schemas.microsoft.com/office/drawing/2014/main" id="{00000000-0008-0000-0800-0000A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2" name="Text Box 168">
          <a:extLst>
            <a:ext uri="{FF2B5EF4-FFF2-40B4-BE49-F238E27FC236}">
              <a16:creationId xmlns:a16="http://schemas.microsoft.com/office/drawing/2014/main" id="{00000000-0008-0000-0800-0000A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3" name="Text Box 169">
          <a:extLst>
            <a:ext uri="{FF2B5EF4-FFF2-40B4-BE49-F238E27FC236}">
              <a16:creationId xmlns:a16="http://schemas.microsoft.com/office/drawing/2014/main" id="{00000000-0008-0000-0800-0000A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4" name="Text Box 170">
          <a:extLst>
            <a:ext uri="{FF2B5EF4-FFF2-40B4-BE49-F238E27FC236}">
              <a16:creationId xmlns:a16="http://schemas.microsoft.com/office/drawing/2014/main" id="{00000000-0008-0000-0800-0000B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5" name="Text Box 171">
          <a:extLst>
            <a:ext uri="{FF2B5EF4-FFF2-40B4-BE49-F238E27FC236}">
              <a16:creationId xmlns:a16="http://schemas.microsoft.com/office/drawing/2014/main" id="{00000000-0008-0000-0800-0000B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6" name="Text Box 172">
          <a:extLst>
            <a:ext uri="{FF2B5EF4-FFF2-40B4-BE49-F238E27FC236}">
              <a16:creationId xmlns:a16="http://schemas.microsoft.com/office/drawing/2014/main" id="{00000000-0008-0000-0800-0000B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7" name="Text Box 173">
          <a:extLst>
            <a:ext uri="{FF2B5EF4-FFF2-40B4-BE49-F238E27FC236}">
              <a16:creationId xmlns:a16="http://schemas.microsoft.com/office/drawing/2014/main" id="{00000000-0008-0000-0800-0000B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8" name="Text Box 174">
          <a:extLst>
            <a:ext uri="{FF2B5EF4-FFF2-40B4-BE49-F238E27FC236}">
              <a16:creationId xmlns:a16="http://schemas.microsoft.com/office/drawing/2014/main" id="{00000000-0008-0000-0800-0000B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9" name="Text Box 175">
          <a:extLst>
            <a:ext uri="{FF2B5EF4-FFF2-40B4-BE49-F238E27FC236}">
              <a16:creationId xmlns:a16="http://schemas.microsoft.com/office/drawing/2014/main" id="{00000000-0008-0000-0800-0000B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0" name="Text Box 176">
          <a:extLst>
            <a:ext uri="{FF2B5EF4-FFF2-40B4-BE49-F238E27FC236}">
              <a16:creationId xmlns:a16="http://schemas.microsoft.com/office/drawing/2014/main" id="{00000000-0008-0000-0800-0000B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1" name="Text Box 177">
          <a:extLst>
            <a:ext uri="{FF2B5EF4-FFF2-40B4-BE49-F238E27FC236}">
              <a16:creationId xmlns:a16="http://schemas.microsoft.com/office/drawing/2014/main" id="{00000000-0008-0000-0800-0000B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2" name="Text Box 178">
          <a:extLst>
            <a:ext uri="{FF2B5EF4-FFF2-40B4-BE49-F238E27FC236}">
              <a16:creationId xmlns:a16="http://schemas.microsoft.com/office/drawing/2014/main" id="{00000000-0008-0000-0800-0000B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3" name="Text Box 179">
          <a:extLst>
            <a:ext uri="{FF2B5EF4-FFF2-40B4-BE49-F238E27FC236}">
              <a16:creationId xmlns:a16="http://schemas.microsoft.com/office/drawing/2014/main" id="{00000000-0008-0000-0800-0000B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4" name="Text Box 180">
          <a:extLst>
            <a:ext uri="{FF2B5EF4-FFF2-40B4-BE49-F238E27FC236}">
              <a16:creationId xmlns:a16="http://schemas.microsoft.com/office/drawing/2014/main" id="{00000000-0008-0000-0800-0000B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5" name="Text Box 181">
          <a:extLst>
            <a:ext uri="{FF2B5EF4-FFF2-40B4-BE49-F238E27FC236}">
              <a16:creationId xmlns:a16="http://schemas.microsoft.com/office/drawing/2014/main" id="{00000000-0008-0000-0800-0000B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6" name="Text Box 182">
          <a:extLst>
            <a:ext uri="{FF2B5EF4-FFF2-40B4-BE49-F238E27FC236}">
              <a16:creationId xmlns:a16="http://schemas.microsoft.com/office/drawing/2014/main" id="{00000000-0008-0000-0800-0000B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7" name="Text Box 183">
          <a:extLst>
            <a:ext uri="{FF2B5EF4-FFF2-40B4-BE49-F238E27FC236}">
              <a16:creationId xmlns:a16="http://schemas.microsoft.com/office/drawing/2014/main" id="{00000000-0008-0000-0800-0000B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8" name="Text Box 184">
          <a:extLst>
            <a:ext uri="{FF2B5EF4-FFF2-40B4-BE49-F238E27FC236}">
              <a16:creationId xmlns:a16="http://schemas.microsoft.com/office/drawing/2014/main" id="{00000000-0008-0000-0800-0000B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9" name="Text Box 185">
          <a:extLst>
            <a:ext uri="{FF2B5EF4-FFF2-40B4-BE49-F238E27FC236}">
              <a16:creationId xmlns:a16="http://schemas.microsoft.com/office/drawing/2014/main" id="{00000000-0008-0000-0800-0000B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0" name="Text Box 186">
          <a:extLst>
            <a:ext uri="{FF2B5EF4-FFF2-40B4-BE49-F238E27FC236}">
              <a16:creationId xmlns:a16="http://schemas.microsoft.com/office/drawing/2014/main" id="{00000000-0008-0000-0800-0000C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1" name="Text Box 187">
          <a:extLst>
            <a:ext uri="{FF2B5EF4-FFF2-40B4-BE49-F238E27FC236}">
              <a16:creationId xmlns:a16="http://schemas.microsoft.com/office/drawing/2014/main" id="{00000000-0008-0000-0800-0000C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2" name="Text Box 188">
          <a:extLst>
            <a:ext uri="{FF2B5EF4-FFF2-40B4-BE49-F238E27FC236}">
              <a16:creationId xmlns:a16="http://schemas.microsoft.com/office/drawing/2014/main" id="{00000000-0008-0000-0800-0000C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3" name="Text Box 189">
          <a:extLst>
            <a:ext uri="{FF2B5EF4-FFF2-40B4-BE49-F238E27FC236}">
              <a16:creationId xmlns:a16="http://schemas.microsoft.com/office/drawing/2014/main" id="{00000000-0008-0000-0800-0000C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4" name="Text Box 190">
          <a:extLst>
            <a:ext uri="{FF2B5EF4-FFF2-40B4-BE49-F238E27FC236}">
              <a16:creationId xmlns:a16="http://schemas.microsoft.com/office/drawing/2014/main" id="{00000000-0008-0000-0800-0000C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5" name="Text Box 191">
          <a:extLst>
            <a:ext uri="{FF2B5EF4-FFF2-40B4-BE49-F238E27FC236}">
              <a16:creationId xmlns:a16="http://schemas.microsoft.com/office/drawing/2014/main" id="{00000000-0008-0000-0800-0000C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6" name="Text Box 192">
          <a:extLst>
            <a:ext uri="{FF2B5EF4-FFF2-40B4-BE49-F238E27FC236}">
              <a16:creationId xmlns:a16="http://schemas.microsoft.com/office/drawing/2014/main" id="{00000000-0008-0000-0800-0000C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7" name="Text Box 193">
          <a:extLst>
            <a:ext uri="{FF2B5EF4-FFF2-40B4-BE49-F238E27FC236}">
              <a16:creationId xmlns:a16="http://schemas.microsoft.com/office/drawing/2014/main" id="{00000000-0008-0000-0800-0000C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8" name="Text Box 194">
          <a:extLst>
            <a:ext uri="{FF2B5EF4-FFF2-40B4-BE49-F238E27FC236}">
              <a16:creationId xmlns:a16="http://schemas.microsoft.com/office/drawing/2014/main" id="{00000000-0008-0000-0800-0000C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9" name="Text Box 195">
          <a:extLst>
            <a:ext uri="{FF2B5EF4-FFF2-40B4-BE49-F238E27FC236}">
              <a16:creationId xmlns:a16="http://schemas.microsoft.com/office/drawing/2014/main" id="{00000000-0008-0000-0800-0000C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0" name="Text Box 196">
          <a:extLst>
            <a:ext uri="{FF2B5EF4-FFF2-40B4-BE49-F238E27FC236}">
              <a16:creationId xmlns:a16="http://schemas.microsoft.com/office/drawing/2014/main" id="{00000000-0008-0000-0800-0000C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1" name="Text Box 197">
          <a:extLst>
            <a:ext uri="{FF2B5EF4-FFF2-40B4-BE49-F238E27FC236}">
              <a16:creationId xmlns:a16="http://schemas.microsoft.com/office/drawing/2014/main" id="{00000000-0008-0000-0800-0000C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2" name="Text Box 198">
          <a:extLst>
            <a:ext uri="{FF2B5EF4-FFF2-40B4-BE49-F238E27FC236}">
              <a16:creationId xmlns:a16="http://schemas.microsoft.com/office/drawing/2014/main" id="{00000000-0008-0000-0800-0000C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3" name="Text Box 199">
          <a:extLst>
            <a:ext uri="{FF2B5EF4-FFF2-40B4-BE49-F238E27FC236}">
              <a16:creationId xmlns:a16="http://schemas.microsoft.com/office/drawing/2014/main" id="{00000000-0008-0000-0800-0000C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4" name="Text Box 200">
          <a:extLst>
            <a:ext uri="{FF2B5EF4-FFF2-40B4-BE49-F238E27FC236}">
              <a16:creationId xmlns:a16="http://schemas.microsoft.com/office/drawing/2014/main" id="{00000000-0008-0000-0800-0000C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5" name="Text Box 201">
          <a:extLst>
            <a:ext uri="{FF2B5EF4-FFF2-40B4-BE49-F238E27FC236}">
              <a16:creationId xmlns:a16="http://schemas.microsoft.com/office/drawing/2014/main" id="{00000000-0008-0000-0800-0000C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6" name="Text Box 202">
          <a:extLst>
            <a:ext uri="{FF2B5EF4-FFF2-40B4-BE49-F238E27FC236}">
              <a16:creationId xmlns:a16="http://schemas.microsoft.com/office/drawing/2014/main" id="{00000000-0008-0000-0800-0000D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7" name="Text Box 203">
          <a:extLst>
            <a:ext uri="{FF2B5EF4-FFF2-40B4-BE49-F238E27FC236}">
              <a16:creationId xmlns:a16="http://schemas.microsoft.com/office/drawing/2014/main" id="{00000000-0008-0000-0800-0000D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8" name="Text Box 204">
          <a:extLst>
            <a:ext uri="{FF2B5EF4-FFF2-40B4-BE49-F238E27FC236}">
              <a16:creationId xmlns:a16="http://schemas.microsoft.com/office/drawing/2014/main" id="{00000000-0008-0000-0800-0000D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9" name="Text Box 205">
          <a:extLst>
            <a:ext uri="{FF2B5EF4-FFF2-40B4-BE49-F238E27FC236}">
              <a16:creationId xmlns:a16="http://schemas.microsoft.com/office/drawing/2014/main" id="{00000000-0008-0000-0800-0000D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0" name="Text Box 206">
          <a:extLst>
            <a:ext uri="{FF2B5EF4-FFF2-40B4-BE49-F238E27FC236}">
              <a16:creationId xmlns:a16="http://schemas.microsoft.com/office/drawing/2014/main" id="{00000000-0008-0000-0800-0000D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1" name="Text Box 207">
          <a:extLst>
            <a:ext uri="{FF2B5EF4-FFF2-40B4-BE49-F238E27FC236}">
              <a16:creationId xmlns:a16="http://schemas.microsoft.com/office/drawing/2014/main" id="{00000000-0008-0000-0800-0000D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2" name="Text Box 208">
          <a:extLst>
            <a:ext uri="{FF2B5EF4-FFF2-40B4-BE49-F238E27FC236}">
              <a16:creationId xmlns:a16="http://schemas.microsoft.com/office/drawing/2014/main" id="{00000000-0008-0000-0800-0000D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3" name="Text Box 209">
          <a:extLst>
            <a:ext uri="{FF2B5EF4-FFF2-40B4-BE49-F238E27FC236}">
              <a16:creationId xmlns:a16="http://schemas.microsoft.com/office/drawing/2014/main" id="{00000000-0008-0000-0800-0000D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4" name="Text Box 210">
          <a:extLst>
            <a:ext uri="{FF2B5EF4-FFF2-40B4-BE49-F238E27FC236}">
              <a16:creationId xmlns:a16="http://schemas.microsoft.com/office/drawing/2014/main" id="{00000000-0008-0000-0800-0000D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5" name="Text Box 211">
          <a:extLst>
            <a:ext uri="{FF2B5EF4-FFF2-40B4-BE49-F238E27FC236}">
              <a16:creationId xmlns:a16="http://schemas.microsoft.com/office/drawing/2014/main" id="{00000000-0008-0000-0800-0000D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6" name="Text Box 212">
          <a:extLst>
            <a:ext uri="{FF2B5EF4-FFF2-40B4-BE49-F238E27FC236}">
              <a16:creationId xmlns:a16="http://schemas.microsoft.com/office/drawing/2014/main" id="{00000000-0008-0000-0800-0000D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7" name="Text Box 213">
          <a:extLst>
            <a:ext uri="{FF2B5EF4-FFF2-40B4-BE49-F238E27FC236}">
              <a16:creationId xmlns:a16="http://schemas.microsoft.com/office/drawing/2014/main" id="{00000000-0008-0000-0800-0000D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8" name="Text Box 214">
          <a:extLst>
            <a:ext uri="{FF2B5EF4-FFF2-40B4-BE49-F238E27FC236}">
              <a16:creationId xmlns:a16="http://schemas.microsoft.com/office/drawing/2014/main" id="{00000000-0008-0000-0800-0000D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9" name="Text Box 215">
          <a:extLst>
            <a:ext uri="{FF2B5EF4-FFF2-40B4-BE49-F238E27FC236}">
              <a16:creationId xmlns:a16="http://schemas.microsoft.com/office/drawing/2014/main" id="{00000000-0008-0000-0800-0000D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0" name="Text Box 216">
          <a:extLst>
            <a:ext uri="{FF2B5EF4-FFF2-40B4-BE49-F238E27FC236}">
              <a16:creationId xmlns:a16="http://schemas.microsoft.com/office/drawing/2014/main" id="{00000000-0008-0000-0800-0000D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1" name="Text Box 217">
          <a:extLst>
            <a:ext uri="{FF2B5EF4-FFF2-40B4-BE49-F238E27FC236}">
              <a16:creationId xmlns:a16="http://schemas.microsoft.com/office/drawing/2014/main" id="{00000000-0008-0000-0800-0000D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2" name="Text Box 218">
          <a:extLst>
            <a:ext uri="{FF2B5EF4-FFF2-40B4-BE49-F238E27FC236}">
              <a16:creationId xmlns:a16="http://schemas.microsoft.com/office/drawing/2014/main" id="{00000000-0008-0000-0800-0000E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3" name="Text Box 219">
          <a:extLst>
            <a:ext uri="{FF2B5EF4-FFF2-40B4-BE49-F238E27FC236}">
              <a16:creationId xmlns:a16="http://schemas.microsoft.com/office/drawing/2014/main" id="{00000000-0008-0000-0800-0000E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4" name="Text Box 220">
          <a:extLst>
            <a:ext uri="{FF2B5EF4-FFF2-40B4-BE49-F238E27FC236}">
              <a16:creationId xmlns:a16="http://schemas.microsoft.com/office/drawing/2014/main" id="{00000000-0008-0000-0800-0000E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5" name="Text Box 221">
          <a:extLst>
            <a:ext uri="{FF2B5EF4-FFF2-40B4-BE49-F238E27FC236}">
              <a16:creationId xmlns:a16="http://schemas.microsoft.com/office/drawing/2014/main" id="{00000000-0008-0000-0800-0000E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6" name="Text Box 222">
          <a:extLst>
            <a:ext uri="{FF2B5EF4-FFF2-40B4-BE49-F238E27FC236}">
              <a16:creationId xmlns:a16="http://schemas.microsoft.com/office/drawing/2014/main" id="{00000000-0008-0000-0800-0000E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7" name="Text Box 223">
          <a:extLst>
            <a:ext uri="{FF2B5EF4-FFF2-40B4-BE49-F238E27FC236}">
              <a16:creationId xmlns:a16="http://schemas.microsoft.com/office/drawing/2014/main" id="{00000000-0008-0000-0800-0000E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8" name="Text Box 224">
          <a:extLst>
            <a:ext uri="{FF2B5EF4-FFF2-40B4-BE49-F238E27FC236}">
              <a16:creationId xmlns:a16="http://schemas.microsoft.com/office/drawing/2014/main" id="{00000000-0008-0000-0800-0000E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9" name="Text Box 225">
          <a:extLst>
            <a:ext uri="{FF2B5EF4-FFF2-40B4-BE49-F238E27FC236}">
              <a16:creationId xmlns:a16="http://schemas.microsoft.com/office/drawing/2014/main" id="{00000000-0008-0000-0800-0000E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60" name="Text Box 226">
          <a:extLst>
            <a:ext uri="{FF2B5EF4-FFF2-40B4-BE49-F238E27FC236}">
              <a16:creationId xmlns:a16="http://schemas.microsoft.com/office/drawing/2014/main" id="{00000000-0008-0000-0800-0000E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1" name="Text Box 227">
          <a:extLst>
            <a:ext uri="{FF2B5EF4-FFF2-40B4-BE49-F238E27FC236}">
              <a16:creationId xmlns:a16="http://schemas.microsoft.com/office/drawing/2014/main" id="{00000000-0008-0000-0800-0000E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2" name="Text Box 228">
          <a:extLst>
            <a:ext uri="{FF2B5EF4-FFF2-40B4-BE49-F238E27FC236}">
              <a16:creationId xmlns:a16="http://schemas.microsoft.com/office/drawing/2014/main" id="{00000000-0008-0000-0800-0000E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3" name="Text Box 229">
          <a:extLst>
            <a:ext uri="{FF2B5EF4-FFF2-40B4-BE49-F238E27FC236}">
              <a16:creationId xmlns:a16="http://schemas.microsoft.com/office/drawing/2014/main" id="{00000000-0008-0000-0800-0000E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4" name="Text Box 230">
          <a:extLst>
            <a:ext uri="{FF2B5EF4-FFF2-40B4-BE49-F238E27FC236}">
              <a16:creationId xmlns:a16="http://schemas.microsoft.com/office/drawing/2014/main" id="{00000000-0008-0000-0800-0000E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5" name="Text Box 231">
          <a:extLst>
            <a:ext uri="{FF2B5EF4-FFF2-40B4-BE49-F238E27FC236}">
              <a16:creationId xmlns:a16="http://schemas.microsoft.com/office/drawing/2014/main" id="{00000000-0008-0000-0800-0000E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6" name="Text Box 232">
          <a:extLst>
            <a:ext uri="{FF2B5EF4-FFF2-40B4-BE49-F238E27FC236}">
              <a16:creationId xmlns:a16="http://schemas.microsoft.com/office/drawing/2014/main" id="{00000000-0008-0000-0800-0000E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7" name="Text Box 233">
          <a:extLst>
            <a:ext uri="{FF2B5EF4-FFF2-40B4-BE49-F238E27FC236}">
              <a16:creationId xmlns:a16="http://schemas.microsoft.com/office/drawing/2014/main" id="{00000000-0008-0000-0800-0000E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8" name="Text Box 234">
          <a:extLst>
            <a:ext uri="{FF2B5EF4-FFF2-40B4-BE49-F238E27FC236}">
              <a16:creationId xmlns:a16="http://schemas.microsoft.com/office/drawing/2014/main" id="{00000000-0008-0000-0800-0000F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9" name="Text Box 235">
          <a:extLst>
            <a:ext uri="{FF2B5EF4-FFF2-40B4-BE49-F238E27FC236}">
              <a16:creationId xmlns:a16="http://schemas.microsoft.com/office/drawing/2014/main" id="{00000000-0008-0000-0800-0000F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0" name="Text Box 236">
          <a:extLst>
            <a:ext uri="{FF2B5EF4-FFF2-40B4-BE49-F238E27FC236}">
              <a16:creationId xmlns:a16="http://schemas.microsoft.com/office/drawing/2014/main" id="{00000000-0008-0000-0800-0000F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1" name="Text Box 237">
          <a:extLst>
            <a:ext uri="{FF2B5EF4-FFF2-40B4-BE49-F238E27FC236}">
              <a16:creationId xmlns:a16="http://schemas.microsoft.com/office/drawing/2014/main" id="{00000000-0008-0000-0800-0000F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2" name="Text Box 238">
          <a:extLst>
            <a:ext uri="{FF2B5EF4-FFF2-40B4-BE49-F238E27FC236}">
              <a16:creationId xmlns:a16="http://schemas.microsoft.com/office/drawing/2014/main" id="{00000000-0008-0000-0800-0000F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3" name="Text Box 239">
          <a:extLst>
            <a:ext uri="{FF2B5EF4-FFF2-40B4-BE49-F238E27FC236}">
              <a16:creationId xmlns:a16="http://schemas.microsoft.com/office/drawing/2014/main" id="{00000000-0008-0000-0800-0000F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4" name="Text Box 240">
          <a:extLst>
            <a:ext uri="{FF2B5EF4-FFF2-40B4-BE49-F238E27FC236}">
              <a16:creationId xmlns:a16="http://schemas.microsoft.com/office/drawing/2014/main" id="{00000000-0008-0000-0800-0000F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5" name="Text Box 241">
          <a:extLst>
            <a:ext uri="{FF2B5EF4-FFF2-40B4-BE49-F238E27FC236}">
              <a16:creationId xmlns:a16="http://schemas.microsoft.com/office/drawing/2014/main" id="{00000000-0008-0000-0800-0000F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6" name="Text Box 242">
          <a:extLst>
            <a:ext uri="{FF2B5EF4-FFF2-40B4-BE49-F238E27FC236}">
              <a16:creationId xmlns:a16="http://schemas.microsoft.com/office/drawing/2014/main" id="{00000000-0008-0000-0800-0000F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7" name="Text Box 243">
          <a:extLst>
            <a:ext uri="{FF2B5EF4-FFF2-40B4-BE49-F238E27FC236}">
              <a16:creationId xmlns:a16="http://schemas.microsoft.com/office/drawing/2014/main" id="{00000000-0008-0000-0800-0000F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8" name="Text Box 244">
          <a:extLst>
            <a:ext uri="{FF2B5EF4-FFF2-40B4-BE49-F238E27FC236}">
              <a16:creationId xmlns:a16="http://schemas.microsoft.com/office/drawing/2014/main" id="{00000000-0008-0000-0800-0000F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9" name="Text Box 245">
          <a:extLst>
            <a:ext uri="{FF2B5EF4-FFF2-40B4-BE49-F238E27FC236}">
              <a16:creationId xmlns:a16="http://schemas.microsoft.com/office/drawing/2014/main" id="{00000000-0008-0000-0800-0000F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0" name="Text Box 246">
          <a:extLst>
            <a:ext uri="{FF2B5EF4-FFF2-40B4-BE49-F238E27FC236}">
              <a16:creationId xmlns:a16="http://schemas.microsoft.com/office/drawing/2014/main" id="{00000000-0008-0000-0800-0000F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1" name="Text Box 247">
          <a:extLst>
            <a:ext uri="{FF2B5EF4-FFF2-40B4-BE49-F238E27FC236}">
              <a16:creationId xmlns:a16="http://schemas.microsoft.com/office/drawing/2014/main" id="{00000000-0008-0000-0800-0000F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2" name="Text Box 248">
          <a:extLst>
            <a:ext uri="{FF2B5EF4-FFF2-40B4-BE49-F238E27FC236}">
              <a16:creationId xmlns:a16="http://schemas.microsoft.com/office/drawing/2014/main" id="{00000000-0008-0000-0800-0000F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3" name="Text Box 249">
          <a:extLst>
            <a:ext uri="{FF2B5EF4-FFF2-40B4-BE49-F238E27FC236}">
              <a16:creationId xmlns:a16="http://schemas.microsoft.com/office/drawing/2014/main" id="{00000000-0008-0000-0800-0000F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4" name="Text Box 250">
          <a:extLst>
            <a:ext uri="{FF2B5EF4-FFF2-40B4-BE49-F238E27FC236}">
              <a16:creationId xmlns:a16="http://schemas.microsoft.com/office/drawing/2014/main" id="{00000000-0008-0000-0800-00000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5" name="Text Box 251">
          <a:extLst>
            <a:ext uri="{FF2B5EF4-FFF2-40B4-BE49-F238E27FC236}">
              <a16:creationId xmlns:a16="http://schemas.microsoft.com/office/drawing/2014/main" id="{00000000-0008-0000-0800-00000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6" name="Text Box 252">
          <a:extLst>
            <a:ext uri="{FF2B5EF4-FFF2-40B4-BE49-F238E27FC236}">
              <a16:creationId xmlns:a16="http://schemas.microsoft.com/office/drawing/2014/main" id="{00000000-0008-0000-0800-00000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7" name="Text Box 253">
          <a:extLst>
            <a:ext uri="{FF2B5EF4-FFF2-40B4-BE49-F238E27FC236}">
              <a16:creationId xmlns:a16="http://schemas.microsoft.com/office/drawing/2014/main" id="{00000000-0008-0000-0800-00000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8" name="Text Box 254">
          <a:extLst>
            <a:ext uri="{FF2B5EF4-FFF2-40B4-BE49-F238E27FC236}">
              <a16:creationId xmlns:a16="http://schemas.microsoft.com/office/drawing/2014/main" id="{00000000-0008-0000-0800-00000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9" name="Text Box 255">
          <a:extLst>
            <a:ext uri="{FF2B5EF4-FFF2-40B4-BE49-F238E27FC236}">
              <a16:creationId xmlns:a16="http://schemas.microsoft.com/office/drawing/2014/main" id="{00000000-0008-0000-0800-00000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0" name="Text Box 256">
          <a:extLst>
            <a:ext uri="{FF2B5EF4-FFF2-40B4-BE49-F238E27FC236}">
              <a16:creationId xmlns:a16="http://schemas.microsoft.com/office/drawing/2014/main" id="{00000000-0008-0000-0800-00000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1" name="Text Box 257">
          <a:extLst>
            <a:ext uri="{FF2B5EF4-FFF2-40B4-BE49-F238E27FC236}">
              <a16:creationId xmlns:a16="http://schemas.microsoft.com/office/drawing/2014/main" id="{00000000-0008-0000-0800-00000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2" name="Text Box 258">
          <a:extLst>
            <a:ext uri="{FF2B5EF4-FFF2-40B4-BE49-F238E27FC236}">
              <a16:creationId xmlns:a16="http://schemas.microsoft.com/office/drawing/2014/main" id="{00000000-0008-0000-0800-00000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3" name="Text Box 259">
          <a:extLst>
            <a:ext uri="{FF2B5EF4-FFF2-40B4-BE49-F238E27FC236}">
              <a16:creationId xmlns:a16="http://schemas.microsoft.com/office/drawing/2014/main" id="{00000000-0008-0000-0800-00000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4" name="Text Box 260">
          <a:extLst>
            <a:ext uri="{FF2B5EF4-FFF2-40B4-BE49-F238E27FC236}">
              <a16:creationId xmlns:a16="http://schemas.microsoft.com/office/drawing/2014/main" id="{00000000-0008-0000-0800-00000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5" name="Text Box 261">
          <a:extLst>
            <a:ext uri="{FF2B5EF4-FFF2-40B4-BE49-F238E27FC236}">
              <a16:creationId xmlns:a16="http://schemas.microsoft.com/office/drawing/2014/main" id="{00000000-0008-0000-0800-00000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6" name="Text Box 262">
          <a:extLst>
            <a:ext uri="{FF2B5EF4-FFF2-40B4-BE49-F238E27FC236}">
              <a16:creationId xmlns:a16="http://schemas.microsoft.com/office/drawing/2014/main" id="{00000000-0008-0000-0800-00000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7" name="Text Box 263">
          <a:extLst>
            <a:ext uri="{FF2B5EF4-FFF2-40B4-BE49-F238E27FC236}">
              <a16:creationId xmlns:a16="http://schemas.microsoft.com/office/drawing/2014/main" id="{00000000-0008-0000-0800-00000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8" name="Text Box 264">
          <a:extLst>
            <a:ext uri="{FF2B5EF4-FFF2-40B4-BE49-F238E27FC236}">
              <a16:creationId xmlns:a16="http://schemas.microsoft.com/office/drawing/2014/main" id="{00000000-0008-0000-0800-00000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9" name="Text Box 265">
          <a:extLst>
            <a:ext uri="{FF2B5EF4-FFF2-40B4-BE49-F238E27FC236}">
              <a16:creationId xmlns:a16="http://schemas.microsoft.com/office/drawing/2014/main" id="{00000000-0008-0000-0800-00000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0" name="Text Box 266">
          <a:extLst>
            <a:ext uri="{FF2B5EF4-FFF2-40B4-BE49-F238E27FC236}">
              <a16:creationId xmlns:a16="http://schemas.microsoft.com/office/drawing/2014/main" id="{00000000-0008-0000-0800-00001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1" name="Text Box 267">
          <a:extLst>
            <a:ext uri="{FF2B5EF4-FFF2-40B4-BE49-F238E27FC236}">
              <a16:creationId xmlns:a16="http://schemas.microsoft.com/office/drawing/2014/main" id="{00000000-0008-0000-0800-00001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2" name="Text Box 268">
          <a:extLst>
            <a:ext uri="{FF2B5EF4-FFF2-40B4-BE49-F238E27FC236}">
              <a16:creationId xmlns:a16="http://schemas.microsoft.com/office/drawing/2014/main" id="{00000000-0008-0000-0800-00001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3" name="Text Box 269">
          <a:extLst>
            <a:ext uri="{FF2B5EF4-FFF2-40B4-BE49-F238E27FC236}">
              <a16:creationId xmlns:a16="http://schemas.microsoft.com/office/drawing/2014/main" id="{00000000-0008-0000-0800-00001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4" name="Text Box 270">
          <a:extLst>
            <a:ext uri="{FF2B5EF4-FFF2-40B4-BE49-F238E27FC236}">
              <a16:creationId xmlns:a16="http://schemas.microsoft.com/office/drawing/2014/main" id="{00000000-0008-0000-0800-00001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5" name="Text Box 271">
          <a:extLst>
            <a:ext uri="{FF2B5EF4-FFF2-40B4-BE49-F238E27FC236}">
              <a16:creationId xmlns:a16="http://schemas.microsoft.com/office/drawing/2014/main" id="{00000000-0008-0000-0800-00001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6" name="Text Box 272">
          <a:extLst>
            <a:ext uri="{FF2B5EF4-FFF2-40B4-BE49-F238E27FC236}">
              <a16:creationId xmlns:a16="http://schemas.microsoft.com/office/drawing/2014/main" id="{00000000-0008-0000-0800-00001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7" name="Text Box 273">
          <a:extLst>
            <a:ext uri="{FF2B5EF4-FFF2-40B4-BE49-F238E27FC236}">
              <a16:creationId xmlns:a16="http://schemas.microsoft.com/office/drawing/2014/main" id="{00000000-0008-0000-0800-00001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8" name="Text Box 274">
          <a:extLst>
            <a:ext uri="{FF2B5EF4-FFF2-40B4-BE49-F238E27FC236}">
              <a16:creationId xmlns:a16="http://schemas.microsoft.com/office/drawing/2014/main" id="{00000000-0008-0000-0800-00001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9" name="Text Box 275">
          <a:extLst>
            <a:ext uri="{FF2B5EF4-FFF2-40B4-BE49-F238E27FC236}">
              <a16:creationId xmlns:a16="http://schemas.microsoft.com/office/drawing/2014/main" id="{00000000-0008-0000-0800-00001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0" name="Text Box 276">
          <a:extLst>
            <a:ext uri="{FF2B5EF4-FFF2-40B4-BE49-F238E27FC236}">
              <a16:creationId xmlns:a16="http://schemas.microsoft.com/office/drawing/2014/main" id="{00000000-0008-0000-0800-00001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1" name="Text Box 277">
          <a:extLst>
            <a:ext uri="{FF2B5EF4-FFF2-40B4-BE49-F238E27FC236}">
              <a16:creationId xmlns:a16="http://schemas.microsoft.com/office/drawing/2014/main" id="{00000000-0008-0000-0800-00001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2" name="Text Box 278">
          <a:extLst>
            <a:ext uri="{FF2B5EF4-FFF2-40B4-BE49-F238E27FC236}">
              <a16:creationId xmlns:a16="http://schemas.microsoft.com/office/drawing/2014/main" id="{00000000-0008-0000-0800-00001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3" name="Text Box 279">
          <a:extLst>
            <a:ext uri="{FF2B5EF4-FFF2-40B4-BE49-F238E27FC236}">
              <a16:creationId xmlns:a16="http://schemas.microsoft.com/office/drawing/2014/main" id="{00000000-0008-0000-0800-00001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4" name="Text Box 280">
          <a:extLst>
            <a:ext uri="{FF2B5EF4-FFF2-40B4-BE49-F238E27FC236}">
              <a16:creationId xmlns:a16="http://schemas.microsoft.com/office/drawing/2014/main" id="{00000000-0008-0000-0800-00001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5" name="Text Box 281">
          <a:extLst>
            <a:ext uri="{FF2B5EF4-FFF2-40B4-BE49-F238E27FC236}">
              <a16:creationId xmlns:a16="http://schemas.microsoft.com/office/drawing/2014/main" id="{00000000-0008-0000-0800-00001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6" name="Text Box 282">
          <a:extLst>
            <a:ext uri="{FF2B5EF4-FFF2-40B4-BE49-F238E27FC236}">
              <a16:creationId xmlns:a16="http://schemas.microsoft.com/office/drawing/2014/main" id="{00000000-0008-0000-0800-00002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7" name="Text Box 283">
          <a:extLst>
            <a:ext uri="{FF2B5EF4-FFF2-40B4-BE49-F238E27FC236}">
              <a16:creationId xmlns:a16="http://schemas.microsoft.com/office/drawing/2014/main" id="{00000000-0008-0000-0800-00002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8" name="Text Box 284">
          <a:extLst>
            <a:ext uri="{FF2B5EF4-FFF2-40B4-BE49-F238E27FC236}">
              <a16:creationId xmlns:a16="http://schemas.microsoft.com/office/drawing/2014/main" id="{00000000-0008-0000-0800-00002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9" name="Text Box 285">
          <a:extLst>
            <a:ext uri="{FF2B5EF4-FFF2-40B4-BE49-F238E27FC236}">
              <a16:creationId xmlns:a16="http://schemas.microsoft.com/office/drawing/2014/main" id="{00000000-0008-0000-0800-00002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0" name="Text Box 286">
          <a:extLst>
            <a:ext uri="{FF2B5EF4-FFF2-40B4-BE49-F238E27FC236}">
              <a16:creationId xmlns:a16="http://schemas.microsoft.com/office/drawing/2014/main" id="{00000000-0008-0000-0800-00002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1" name="Text Box 287">
          <a:extLst>
            <a:ext uri="{FF2B5EF4-FFF2-40B4-BE49-F238E27FC236}">
              <a16:creationId xmlns:a16="http://schemas.microsoft.com/office/drawing/2014/main" id="{00000000-0008-0000-0800-00002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2" name="Text Box 288">
          <a:extLst>
            <a:ext uri="{FF2B5EF4-FFF2-40B4-BE49-F238E27FC236}">
              <a16:creationId xmlns:a16="http://schemas.microsoft.com/office/drawing/2014/main" id="{00000000-0008-0000-0800-00002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3" name="Text Box 289">
          <a:extLst>
            <a:ext uri="{FF2B5EF4-FFF2-40B4-BE49-F238E27FC236}">
              <a16:creationId xmlns:a16="http://schemas.microsoft.com/office/drawing/2014/main" id="{00000000-0008-0000-0800-00002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4" name="Text Box 290">
          <a:extLst>
            <a:ext uri="{FF2B5EF4-FFF2-40B4-BE49-F238E27FC236}">
              <a16:creationId xmlns:a16="http://schemas.microsoft.com/office/drawing/2014/main" id="{00000000-0008-0000-0800-00002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5" name="Text Box 291">
          <a:extLst>
            <a:ext uri="{FF2B5EF4-FFF2-40B4-BE49-F238E27FC236}">
              <a16:creationId xmlns:a16="http://schemas.microsoft.com/office/drawing/2014/main" id="{00000000-0008-0000-0800-00002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6" name="Text Box 292">
          <a:extLst>
            <a:ext uri="{FF2B5EF4-FFF2-40B4-BE49-F238E27FC236}">
              <a16:creationId xmlns:a16="http://schemas.microsoft.com/office/drawing/2014/main" id="{00000000-0008-0000-0800-00002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7" name="Text Box 293">
          <a:extLst>
            <a:ext uri="{FF2B5EF4-FFF2-40B4-BE49-F238E27FC236}">
              <a16:creationId xmlns:a16="http://schemas.microsoft.com/office/drawing/2014/main" id="{00000000-0008-0000-0800-00002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8" name="Text Box 294">
          <a:extLst>
            <a:ext uri="{FF2B5EF4-FFF2-40B4-BE49-F238E27FC236}">
              <a16:creationId xmlns:a16="http://schemas.microsoft.com/office/drawing/2014/main" id="{00000000-0008-0000-0800-00002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9" name="Text Box 295">
          <a:extLst>
            <a:ext uri="{FF2B5EF4-FFF2-40B4-BE49-F238E27FC236}">
              <a16:creationId xmlns:a16="http://schemas.microsoft.com/office/drawing/2014/main" id="{00000000-0008-0000-0800-00002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30" name="Text Box 296">
          <a:extLst>
            <a:ext uri="{FF2B5EF4-FFF2-40B4-BE49-F238E27FC236}">
              <a16:creationId xmlns:a16="http://schemas.microsoft.com/office/drawing/2014/main" id="{00000000-0008-0000-0800-00002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1" name="Text Box 297">
          <a:extLst>
            <a:ext uri="{FF2B5EF4-FFF2-40B4-BE49-F238E27FC236}">
              <a16:creationId xmlns:a16="http://schemas.microsoft.com/office/drawing/2014/main" id="{00000000-0008-0000-0800-00002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2" name="Text Box 298">
          <a:extLst>
            <a:ext uri="{FF2B5EF4-FFF2-40B4-BE49-F238E27FC236}">
              <a16:creationId xmlns:a16="http://schemas.microsoft.com/office/drawing/2014/main" id="{00000000-0008-0000-0800-00003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3" name="Text Box 299">
          <a:extLst>
            <a:ext uri="{FF2B5EF4-FFF2-40B4-BE49-F238E27FC236}">
              <a16:creationId xmlns:a16="http://schemas.microsoft.com/office/drawing/2014/main" id="{00000000-0008-0000-0800-00003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4" name="Text Box 300">
          <a:extLst>
            <a:ext uri="{FF2B5EF4-FFF2-40B4-BE49-F238E27FC236}">
              <a16:creationId xmlns:a16="http://schemas.microsoft.com/office/drawing/2014/main" id="{00000000-0008-0000-0800-00003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5" name="Text Box 301">
          <a:extLst>
            <a:ext uri="{FF2B5EF4-FFF2-40B4-BE49-F238E27FC236}">
              <a16:creationId xmlns:a16="http://schemas.microsoft.com/office/drawing/2014/main" id="{00000000-0008-0000-0800-00003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6" name="Text Box 302">
          <a:extLst>
            <a:ext uri="{FF2B5EF4-FFF2-40B4-BE49-F238E27FC236}">
              <a16:creationId xmlns:a16="http://schemas.microsoft.com/office/drawing/2014/main" id="{00000000-0008-0000-0800-00003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7" name="Text Box 303">
          <a:extLst>
            <a:ext uri="{FF2B5EF4-FFF2-40B4-BE49-F238E27FC236}">
              <a16:creationId xmlns:a16="http://schemas.microsoft.com/office/drawing/2014/main" id="{00000000-0008-0000-0800-00003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8" name="Text Box 304">
          <a:extLst>
            <a:ext uri="{FF2B5EF4-FFF2-40B4-BE49-F238E27FC236}">
              <a16:creationId xmlns:a16="http://schemas.microsoft.com/office/drawing/2014/main" id="{00000000-0008-0000-0800-00003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9" name="Text Box 305">
          <a:extLst>
            <a:ext uri="{FF2B5EF4-FFF2-40B4-BE49-F238E27FC236}">
              <a16:creationId xmlns:a16="http://schemas.microsoft.com/office/drawing/2014/main" id="{00000000-0008-0000-0800-00003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0" name="Text Box 306">
          <a:extLst>
            <a:ext uri="{FF2B5EF4-FFF2-40B4-BE49-F238E27FC236}">
              <a16:creationId xmlns:a16="http://schemas.microsoft.com/office/drawing/2014/main" id="{00000000-0008-0000-0800-00003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1" name="Text Box 307">
          <a:extLst>
            <a:ext uri="{FF2B5EF4-FFF2-40B4-BE49-F238E27FC236}">
              <a16:creationId xmlns:a16="http://schemas.microsoft.com/office/drawing/2014/main" id="{00000000-0008-0000-0800-00003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2" name="Text Box 308">
          <a:extLst>
            <a:ext uri="{FF2B5EF4-FFF2-40B4-BE49-F238E27FC236}">
              <a16:creationId xmlns:a16="http://schemas.microsoft.com/office/drawing/2014/main" id="{00000000-0008-0000-0800-00003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3" name="Text Box 309">
          <a:extLst>
            <a:ext uri="{FF2B5EF4-FFF2-40B4-BE49-F238E27FC236}">
              <a16:creationId xmlns:a16="http://schemas.microsoft.com/office/drawing/2014/main" id="{00000000-0008-0000-0800-00003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4" name="Text Box 310">
          <a:extLst>
            <a:ext uri="{FF2B5EF4-FFF2-40B4-BE49-F238E27FC236}">
              <a16:creationId xmlns:a16="http://schemas.microsoft.com/office/drawing/2014/main" id="{00000000-0008-0000-0800-00003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5" name="Text Box 311">
          <a:extLst>
            <a:ext uri="{FF2B5EF4-FFF2-40B4-BE49-F238E27FC236}">
              <a16:creationId xmlns:a16="http://schemas.microsoft.com/office/drawing/2014/main" id="{00000000-0008-0000-0800-00003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6" name="Text Box 312">
          <a:extLst>
            <a:ext uri="{FF2B5EF4-FFF2-40B4-BE49-F238E27FC236}">
              <a16:creationId xmlns:a16="http://schemas.microsoft.com/office/drawing/2014/main" id="{00000000-0008-0000-0800-00003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7" name="Text Box 313">
          <a:extLst>
            <a:ext uri="{FF2B5EF4-FFF2-40B4-BE49-F238E27FC236}">
              <a16:creationId xmlns:a16="http://schemas.microsoft.com/office/drawing/2014/main" id="{00000000-0008-0000-0800-00003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8" name="Text Box 314">
          <a:extLst>
            <a:ext uri="{FF2B5EF4-FFF2-40B4-BE49-F238E27FC236}">
              <a16:creationId xmlns:a16="http://schemas.microsoft.com/office/drawing/2014/main" id="{00000000-0008-0000-0800-00004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9" name="Text Box 315">
          <a:extLst>
            <a:ext uri="{FF2B5EF4-FFF2-40B4-BE49-F238E27FC236}">
              <a16:creationId xmlns:a16="http://schemas.microsoft.com/office/drawing/2014/main" id="{00000000-0008-0000-0800-00004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0" name="Text Box 316">
          <a:extLst>
            <a:ext uri="{FF2B5EF4-FFF2-40B4-BE49-F238E27FC236}">
              <a16:creationId xmlns:a16="http://schemas.microsoft.com/office/drawing/2014/main" id="{00000000-0008-0000-0800-00004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1" name="Text Box 317">
          <a:extLst>
            <a:ext uri="{FF2B5EF4-FFF2-40B4-BE49-F238E27FC236}">
              <a16:creationId xmlns:a16="http://schemas.microsoft.com/office/drawing/2014/main" id="{00000000-0008-0000-0800-00004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2" name="Text Box 318">
          <a:extLst>
            <a:ext uri="{FF2B5EF4-FFF2-40B4-BE49-F238E27FC236}">
              <a16:creationId xmlns:a16="http://schemas.microsoft.com/office/drawing/2014/main" id="{00000000-0008-0000-0800-00004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3" name="Text Box 319">
          <a:extLst>
            <a:ext uri="{FF2B5EF4-FFF2-40B4-BE49-F238E27FC236}">
              <a16:creationId xmlns:a16="http://schemas.microsoft.com/office/drawing/2014/main" id="{00000000-0008-0000-0800-00004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4" name="Text Box 320">
          <a:extLst>
            <a:ext uri="{FF2B5EF4-FFF2-40B4-BE49-F238E27FC236}">
              <a16:creationId xmlns:a16="http://schemas.microsoft.com/office/drawing/2014/main" id="{00000000-0008-0000-0800-00004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5" name="Text Box 28">
          <a:extLst>
            <a:ext uri="{FF2B5EF4-FFF2-40B4-BE49-F238E27FC236}">
              <a16:creationId xmlns:a16="http://schemas.microsoft.com/office/drawing/2014/main" id="{00000000-0008-0000-0800-00004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6" name="Text Box 29">
          <a:extLst>
            <a:ext uri="{FF2B5EF4-FFF2-40B4-BE49-F238E27FC236}">
              <a16:creationId xmlns:a16="http://schemas.microsoft.com/office/drawing/2014/main" id="{00000000-0008-0000-0800-00004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7" name="Text Box 30">
          <a:extLst>
            <a:ext uri="{FF2B5EF4-FFF2-40B4-BE49-F238E27FC236}">
              <a16:creationId xmlns:a16="http://schemas.microsoft.com/office/drawing/2014/main" id="{00000000-0008-0000-0800-00004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8" name="Text Box 31">
          <a:extLst>
            <a:ext uri="{FF2B5EF4-FFF2-40B4-BE49-F238E27FC236}">
              <a16:creationId xmlns:a16="http://schemas.microsoft.com/office/drawing/2014/main" id="{00000000-0008-0000-0800-00004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9" name="Text Box 32">
          <a:extLst>
            <a:ext uri="{FF2B5EF4-FFF2-40B4-BE49-F238E27FC236}">
              <a16:creationId xmlns:a16="http://schemas.microsoft.com/office/drawing/2014/main" id="{00000000-0008-0000-0800-00004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0" name="Text Box 33">
          <a:extLst>
            <a:ext uri="{FF2B5EF4-FFF2-40B4-BE49-F238E27FC236}">
              <a16:creationId xmlns:a16="http://schemas.microsoft.com/office/drawing/2014/main" id="{00000000-0008-0000-0800-00004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1" name="Text Box 34">
          <a:extLst>
            <a:ext uri="{FF2B5EF4-FFF2-40B4-BE49-F238E27FC236}">
              <a16:creationId xmlns:a16="http://schemas.microsoft.com/office/drawing/2014/main" id="{00000000-0008-0000-0800-00004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2" name="Text Box 35">
          <a:extLst>
            <a:ext uri="{FF2B5EF4-FFF2-40B4-BE49-F238E27FC236}">
              <a16:creationId xmlns:a16="http://schemas.microsoft.com/office/drawing/2014/main" id="{00000000-0008-0000-0800-00004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3" name="Text Box 36">
          <a:extLst>
            <a:ext uri="{FF2B5EF4-FFF2-40B4-BE49-F238E27FC236}">
              <a16:creationId xmlns:a16="http://schemas.microsoft.com/office/drawing/2014/main" id="{00000000-0008-0000-0800-00004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4" name="Text Box 37">
          <a:extLst>
            <a:ext uri="{FF2B5EF4-FFF2-40B4-BE49-F238E27FC236}">
              <a16:creationId xmlns:a16="http://schemas.microsoft.com/office/drawing/2014/main" id="{00000000-0008-0000-0800-00005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5" name="Text Box 38">
          <a:extLst>
            <a:ext uri="{FF2B5EF4-FFF2-40B4-BE49-F238E27FC236}">
              <a16:creationId xmlns:a16="http://schemas.microsoft.com/office/drawing/2014/main" id="{00000000-0008-0000-0800-00005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6" name="Text Box 39">
          <a:extLst>
            <a:ext uri="{FF2B5EF4-FFF2-40B4-BE49-F238E27FC236}">
              <a16:creationId xmlns:a16="http://schemas.microsoft.com/office/drawing/2014/main" id="{00000000-0008-0000-0800-00005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7" name="Text Box 40">
          <a:extLst>
            <a:ext uri="{FF2B5EF4-FFF2-40B4-BE49-F238E27FC236}">
              <a16:creationId xmlns:a16="http://schemas.microsoft.com/office/drawing/2014/main" id="{00000000-0008-0000-0800-00005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8" name="Text Box 41">
          <a:extLst>
            <a:ext uri="{FF2B5EF4-FFF2-40B4-BE49-F238E27FC236}">
              <a16:creationId xmlns:a16="http://schemas.microsoft.com/office/drawing/2014/main" id="{00000000-0008-0000-0800-00005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9" name="Text Box 42">
          <a:extLst>
            <a:ext uri="{FF2B5EF4-FFF2-40B4-BE49-F238E27FC236}">
              <a16:creationId xmlns:a16="http://schemas.microsoft.com/office/drawing/2014/main" id="{00000000-0008-0000-0800-00005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0" name="Text Box 43">
          <a:extLst>
            <a:ext uri="{FF2B5EF4-FFF2-40B4-BE49-F238E27FC236}">
              <a16:creationId xmlns:a16="http://schemas.microsoft.com/office/drawing/2014/main" id="{00000000-0008-0000-0800-00005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1" name="Text Box 44">
          <a:extLst>
            <a:ext uri="{FF2B5EF4-FFF2-40B4-BE49-F238E27FC236}">
              <a16:creationId xmlns:a16="http://schemas.microsoft.com/office/drawing/2014/main" id="{00000000-0008-0000-0800-00005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2" name="Text Box 45">
          <a:extLst>
            <a:ext uri="{FF2B5EF4-FFF2-40B4-BE49-F238E27FC236}">
              <a16:creationId xmlns:a16="http://schemas.microsoft.com/office/drawing/2014/main" id="{00000000-0008-0000-0800-00005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3" name="Text Box 46">
          <a:extLst>
            <a:ext uri="{FF2B5EF4-FFF2-40B4-BE49-F238E27FC236}">
              <a16:creationId xmlns:a16="http://schemas.microsoft.com/office/drawing/2014/main" id="{00000000-0008-0000-0800-00005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4" name="Text Box 47">
          <a:extLst>
            <a:ext uri="{FF2B5EF4-FFF2-40B4-BE49-F238E27FC236}">
              <a16:creationId xmlns:a16="http://schemas.microsoft.com/office/drawing/2014/main" id="{00000000-0008-0000-0800-00005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5" name="Text Box 48">
          <a:extLst>
            <a:ext uri="{FF2B5EF4-FFF2-40B4-BE49-F238E27FC236}">
              <a16:creationId xmlns:a16="http://schemas.microsoft.com/office/drawing/2014/main" id="{00000000-0008-0000-0800-00005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6" name="Text Box 49">
          <a:extLst>
            <a:ext uri="{FF2B5EF4-FFF2-40B4-BE49-F238E27FC236}">
              <a16:creationId xmlns:a16="http://schemas.microsoft.com/office/drawing/2014/main" id="{00000000-0008-0000-0800-00005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7" name="Text Box 50">
          <a:extLst>
            <a:ext uri="{FF2B5EF4-FFF2-40B4-BE49-F238E27FC236}">
              <a16:creationId xmlns:a16="http://schemas.microsoft.com/office/drawing/2014/main" id="{00000000-0008-0000-0800-00005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8" name="Text Box 51">
          <a:extLst>
            <a:ext uri="{FF2B5EF4-FFF2-40B4-BE49-F238E27FC236}">
              <a16:creationId xmlns:a16="http://schemas.microsoft.com/office/drawing/2014/main" id="{00000000-0008-0000-0800-00005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9" name="Text Box 52">
          <a:extLst>
            <a:ext uri="{FF2B5EF4-FFF2-40B4-BE49-F238E27FC236}">
              <a16:creationId xmlns:a16="http://schemas.microsoft.com/office/drawing/2014/main" id="{00000000-0008-0000-0800-00005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0" name="Text Box 53">
          <a:extLst>
            <a:ext uri="{FF2B5EF4-FFF2-40B4-BE49-F238E27FC236}">
              <a16:creationId xmlns:a16="http://schemas.microsoft.com/office/drawing/2014/main" id="{00000000-0008-0000-0800-00006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1" name="Text Box 54">
          <a:extLst>
            <a:ext uri="{FF2B5EF4-FFF2-40B4-BE49-F238E27FC236}">
              <a16:creationId xmlns:a16="http://schemas.microsoft.com/office/drawing/2014/main" id="{00000000-0008-0000-0800-00006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2" name="Text Box 55">
          <a:extLst>
            <a:ext uri="{FF2B5EF4-FFF2-40B4-BE49-F238E27FC236}">
              <a16:creationId xmlns:a16="http://schemas.microsoft.com/office/drawing/2014/main" id="{00000000-0008-0000-0800-00006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3" name="Text Box 56">
          <a:extLst>
            <a:ext uri="{FF2B5EF4-FFF2-40B4-BE49-F238E27FC236}">
              <a16:creationId xmlns:a16="http://schemas.microsoft.com/office/drawing/2014/main" id="{00000000-0008-0000-0800-00006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4" name="Text Box 57">
          <a:extLst>
            <a:ext uri="{FF2B5EF4-FFF2-40B4-BE49-F238E27FC236}">
              <a16:creationId xmlns:a16="http://schemas.microsoft.com/office/drawing/2014/main" id="{00000000-0008-0000-0800-00006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5" name="Text Box 58">
          <a:extLst>
            <a:ext uri="{FF2B5EF4-FFF2-40B4-BE49-F238E27FC236}">
              <a16:creationId xmlns:a16="http://schemas.microsoft.com/office/drawing/2014/main" id="{00000000-0008-0000-0800-00006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6" name="Text Box 59">
          <a:extLst>
            <a:ext uri="{FF2B5EF4-FFF2-40B4-BE49-F238E27FC236}">
              <a16:creationId xmlns:a16="http://schemas.microsoft.com/office/drawing/2014/main" id="{00000000-0008-0000-0800-00006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7" name="Text Box 60">
          <a:extLst>
            <a:ext uri="{FF2B5EF4-FFF2-40B4-BE49-F238E27FC236}">
              <a16:creationId xmlns:a16="http://schemas.microsoft.com/office/drawing/2014/main" id="{00000000-0008-0000-0800-00006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8" name="Text Box 61">
          <a:extLst>
            <a:ext uri="{FF2B5EF4-FFF2-40B4-BE49-F238E27FC236}">
              <a16:creationId xmlns:a16="http://schemas.microsoft.com/office/drawing/2014/main" id="{00000000-0008-0000-0800-00006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9" name="Text Box 62">
          <a:extLst>
            <a:ext uri="{FF2B5EF4-FFF2-40B4-BE49-F238E27FC236}">
              <a16:creationId xmlns:a16="http://schemas.microsoft.com/office/drawing/2014/main" id="{00000000-0008-0000-0800-00006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0" name="Text Box 63">
          <a:extLst>
            <a:ext uri="{FF2B5EF4-FFF2-40B4-BE49-F238E27FC236}">
              <a16:creationId xmlns:a16="http://schemas.microsoft.com/office/drawing/2014/main" id="{00000000-0008-0000-0800-00006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1" name="Text Box 64">
          <a:extLst>
            <a:ext uri="{FF2B5EF4-FFF2-40B4-BE49-F238E27FC236}">
              <a16:creationId xmlns:a16="http://schemas.microsoft.com/office/drawing/2014/main" id="{00000000-0008-0000-0800-00006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2" name="Text Box 65">
          <a:extLst>
            <a:ext uri="{FF2B5EF4-FFF2-40B4-BE49-F238E27FC236}">
              <a16:creationId xmlns:a16="http://schemas.microsoft.com/office/drawing/2014/main" id="{00000000-0008-0000-0800-00006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3" name="Text Box 66">
          <a:extLst>
            <a:ext uri="{FF2B5EF4-FFF2-40B4-BE49-F238E27FC236}">
              <a16:creationId xmlns:a16="http://schemas.microsoft.com/office/drawing/2014/main" id="{00000000-0008-0000-0800-00006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4" name="Text Box 67">
          <a:extLst>
            <a:ext uri="{FF2B5EF4-FFF2-40B4-BE49-F238E27FC236}">
              <a16:creationId xmlns:a16="http://schemas.microsoft.com/office/drawing/2014/main" id="{00000000-0008-0000-0800-00006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5" name="Text Box 68">
          <a:extLst>
            <a:ext uri="{FF2B5EF4-FFF2-40B4-BE49-F238E27FC236}">
              <a16:creationId xmlns:a16="http://schemas.microsoft.com/office/drawing/2014/main" id="{00000000-0008-0000-0800-00006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6" name="Text Box 69">
          <a:extLst>
            <a:ext uri="{FF2B5EF4-FFF2-40B4-BE49-F238E27FC236}">
              <a16:creationId xmlns:a16="http://schemas.microsoft.com/office/drawing/2014/main" id="{00000000-0008-0000-0800-00007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7" name="Text Box 70">
          <a:extLst>
            <a:ext uri="{FF2B5EF4-FFF2-40B4-BE49-F238E27FC236}">
              <a16:creationId xmlns:a16="http://schemas.microsoft.com/office/drawing/2014/main" id="{00000000-0008-0000-0800-00007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8" name="Text Box 71">
          <a:extLst>
            <a:ext uri="{FF2B5EF4-FFF2-40B4-BE49-F238E27FC236}">
              <a16:creationId xmlns:a16="http://schemas.microsoft.com/office/drawing/2014/main" id="{00000000-0008-0000-0800-00007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9" name="Text Box 72">
          <a:extLst>
            <a:ext uri="{FF2B5EF4-FFF2-40B4-BE49-F238E27FC236}">
              <a16:creationId xmlns:a16="http://schemas.microsoft.com/office/drawing/2014/main" id="{00000000-0008-0000-0800-00007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0" name="Text Box 73">
          <a:extLst>
            <a:ext uri="{FF2B5EF4-FFF2-40B4-BE49-F238E27FC236}">
              <a16:creationId xmlns:a16="http://schemas.microsoft.com/office/drawing/2014/main" id="{00000000-0008-0000-0800-00007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1" name="Text Box 74">
          <a:extLst>
            <a:ext uri="{FF2B5EF4-FFF2-40B4-BE49-F238E27FC236}">
              <a16:creationId xmlns:a16="http://schemas.microsoft.com/office/drawing/2014/main" id="{00000000-0008-0000-0800-00007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2" name="Text Box 75">
          <a:extLst>
            <a:ext uri="{FF2B5EF4-FFF2-40B4-BE49-F238E27FC236}">
              <a16:creationId xmlns:a16="http://schemas.microsoft.com/office/drawing/2014/main" id="{00000000-0008-0000-0800-00007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3" name="Text Box 76">
          <a:extLst>
            <a:ext uri="{FF2B5EF4-FFF2-40B4-BE49-F238E27FC236}">
              <a16:creationId xmlns:a16="http://schemas.microsoft.com/office/drawing/2014/main" id="{00000000-0008-0000-0800-00007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4" name="Text Box 77">
          <a:extLst>
            <a:ext uri="{FF2B5EF4-FFF2-40B4-BE49-F238E27FC236}">
              <a16:creationId xmlns:a16="http://schemas.microsoft.com/office/drawing/2014/main" id="{00000000-0008-0000-0800-00007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5" name="Text Box 78">
          <a:extLst>
            <a:ext uri="{FF2B5EF4-FFF2-40B4-BE49-F238E27FC236}">
              <a16:creationId xmlns:a16="http://schemas.microsoft.com/office/drawing/2014/main" id="{00000000-0008-0000-0800-00007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6" name="Text Box 79">
          <a:extLst>
            <a:ext uri="{FF2B5EF4-FFF2-40B4-BE49-F238E27FC236}">
              <a16:creationId xmlns:a16="http://schemas.microsoft.com/office/drawing/2014/main" id="{00000000-0008-0000-0800-00007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7" name="Text Box 80">
          <a:extLst>
            <a:ext uri="{FF2B5EF4-FFF2-40B4-BE49-F238E27FC236}">
              <a16:creationId xmlns:a16="http://schemas.microsoft.com/office/drawing/2014/main" id="{00000000-0008-0000-0800-00007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8" name="Text Box 81">
          <a:extLst>
            <a:ext uri="{FF2B5EF4-FFF2-40B4-BE49-F238E27FC236}">
              <a16:creationId xmlns:a16="http://schemas.microsoft.com/office/drawing/2014/main" id="{00000000-0008-0000-0800-00007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9" name="Text Box 82">
          <a:extLst>
            <a:ext uri="{FF2B5EF4-FFF2-40B4-BE49-F238E27FC236}">
              <a16:creationId xmlns:a16="http://schemas.microsoft.com/office/drawing/2014/main" id="{00000000-0008-0000-0800-00007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0" name="Text Box 83">
          <a:extLst>
            <a:ext uri="{FF2B5EF4-FFF2-40B4-BE49-F238E27FC236}">
              <a16:creationId xmlns:a16="http://schemas.microsoft.com/office/drawing/2014/main" id="{00000000-0008-0000-0800-00007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1" name="Text Box 84">
          <a:extLst>
            <a:ext uri="{FF2B5EF4-FFF2-40B4-BE49-F238E27FC236}">
              <a16:creationId xmlns:a16="http://schemas.microsoft.com/office/drawing/2014/main" id="{00000000-0008-0000-0800-00007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2" name="Text Box 85">
          <a:extLst>
            <a:ext uri="{FF2B5EF4-FFF2-40B4-BE49-F238E27FC236}">
              <a16:creationId xmlns:a16="http://schemas.microsoft.com/office/drawing/2014/main" id="{00000000-0008-0000-0800-00008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3" name="Text Box 86">
          <a:extLst>
            <a:ext uri="{FF2B5EF4-FFF2-40B4-BE49-F238E27FC236}">
              <a16:creationId xmlns:a16="http://schemas.microsoft.com/office/drawing/2014/main" id="{00000000-0008-0000-0800-00008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4" name="Text Box 87">
          <a:extLst>
            <a:ext uri="{FF2B5EF4-FFF2-40B4-BE49-F238E27FC236}">
              <a16:creationId xmlns:a16="http://schemas.microsoft.com/office/drawing/2014/main" id="{00000000-0008-0000-0800-00008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5" name="Text Box 88">
          <a:extLst>
            <a:ext uri="{FF2B5EF4-FFF2-40B4-BE49-F238E27FC236}">
              <a16:creationId xmlns:a16="http://schemas.microsoft.com/office/drawing/2014/main" id="{00000000-0008-0000-0800-00008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6" name="Text Box 89">
          <a:extLst>
            <a:ext uri="{FF2B5EF4-FFF2-40B4-BE49-F238E27FC236}">
              <a16:creationId xmlns:a16="http://schemas.microsoft.com/office/drawing/2014/main" id="{00000000-0008-0000-0800-00008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7" name="Text Box 90">
          <a:extLst>
            <a:ext uri="{FF2B5EF4-FFF2-40B4-BE49-F238E27FC236}">
              <a16:creationId xmlns:a16="http://schemas.microsoft.com/office/drawing/2014/main" id="{00000000-0008-0000-0800-00008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8" name="Text Box 91">
          <a:extLst>
            <a:ext uri="{FF2B5EF4-FFF2-40B4-BE49-F238E27FC236}">
              <a16:creationId xmlns:a16="http://schemas.microsoft.com/office/drawing/2014/main" id="{00000000-0008-0000-0800-00008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9" name="Text Box 92">
          <a:extLst>
            <a:ext uri="{FF2B5EF4-FFF2-40B4-BE49-F238E27FC236}">
              <a16:creationId xmlns:a16="http://schemas.microsoft.com/office/drawing/2014/main" id="{00000000-0008-0000-0800-00008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0" name="Text Box 93">
          <a:extLst>
            <a:ext uri="{FF2B5EF4-FFF2-40B4-BE49-F238E27FC236}">
              <a16:creationId xmlns:a16="http://schemas.microsoft.com/office/drawing/2014/main" id="{00000000-0008-0000-0800-00008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1" name="Text Box 94">
          <a:extLst>
            <a:ext uri="{FF2B5EF4-FFF2-40B4-BE49-F238E27FC236}">
              <a16:creationId xmlns:a16="http://schemas.microsoft.com/office/drawing/2014/main" id="{00000000-0008-0000-0800-00008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2" name="Text Box 95">
          <a:extLst>
            <a:ext uri="{FF2B5EF4-FFF2-40B4-BE49-F238E27FC236}">
              <a16:creationId xmlns:a16="http://schemas.microsoft.com/office/drawing/2014/main" id="{00000000-0008-0000-0800-00008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3" name="Text Box 96">
          <a:extLst>
            <a:ext uri="{FF2B5EF4-FFF2-40B4-BE49-F238E27FC236}">
              <a16:creationId xmlns:a16="http://schemas.microsoft.com/office/drawing/2014/main" id="{00000000-0008-0000-0800-00008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4" name="Text Box 97">
          <a:extLst>
            <a:ext uri="{FF2B5EF4-FFF2-40B4-BE49-F238E27FC236}">
              <a16:creationId xmlns:a16="http://schemas.microsoft.com/office/drawing/2014/main" id="{00000000-0008-0000-0800-00008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5" name="Text Box 100">
          <a:extLst>
            <a:ext uri="{FF2B5EF4-FFF2-40B4-BE49-F238E27FC236}">
              <a16:creationId xmlns:a16="http://schemas.microsoft.com/office/drawing/2014/main" id="{00000000-0008-0000-0800-00008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6" name="Text Box 101">
          <a:extLst>
            <a:ext uri="{FF2B5EF4-FFF2-40B4-BE49-F238E27FC236}">
              <a16:creationId xmlns:a16="http://schemas.microsoft.com/office/drawing/2014/main" id="{00000000-0008-0000-0800-00008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7" name="Text Box 102">
          <a:extLst>
            <a:ext uri="{FF2B5EF4-FFF2-40B4-BE49-F238E27FC236}">
              <a16:creationId xmlns:a16="http://schemas.microsoft.com/office/drawing/2014/main" id="{00000000-0008-0000-0800-00008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8" name="Text Box 103">
          <a:extLst>
            <a:ext uri="{FF2B5EF4-FFF2-40B4-BE49-F238E27FC236}">
              <a16:creationId xmlns:a16="http://schemas.microsoft.com/office/drawing/2014/main" id="{00000000-0008-0000-0800-00009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9" name="Text Box 104">
          <a:extLst>
            <a:ext uri="{FF2B5EF4-FFF2-40B4-BE49-F238E27FC236}">
              <a16:creationId xmlns:a16="http://schemas.microsoft.com/office/drawing/2014/main" id="{00000000-0008-0000-0800-00009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0" name="Text Box 105">
          <a:extLst>
            <a:ext uri="{FF2B5EF4-FFF2-40B4-BE49-F238E27FC236}">
              <a16:creationId xmlns:a16="http://schemas.microsoft.com/office/drawing/2014/main" id="{00000000-0008-0000-0800-00009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1" name="Text Box 106">
          <a:extLst>
            <a:ext uri="{FF2B5EF4-FFF2-40B4-BE49-F238E27FC236}">
              <a16:creationId xmlns:a16="http://schemas.microsoft.com/office/drawing/2014/main" id="{00000000-0008-0000-0800-00009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2" name="Text Box 107">
          <a:extLst>
            <a:ext uri="{FF2B5EF4-FFF2-40B4-BE49-F238E27FC236}">
              <a16:creationId xmlns:a16="http://schemas.microsoft.com/office/drawing/2014/main" id="{00000000-0008-0000-0800-00009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3" name="Text Box 108">
          <a:extLst>
            <a:ext uri="{FF2B5EF4-FFF2-40B4-BE49-F238E27FC236}">
              <a16:creationId xmlns:a16="http://schemas.microsoft.com/office/drawing/2014/main" id="{00000000-0008-0000-0800-00009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4" name="Text Box 109">
          <a:extLst>
            <a:ext uri="{FF2B5EF4-FFF2-40B4-BE49-F238E27FC236}">
              <a16:creationId xmlns:a16="http://schemas.microsoft.com/office/drawing/2014/main" id="{00000000-0008-0000-0800-00009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5" name="Text Box 110">
          <a:extLst>
            <a:ext uri="{FF2B5EF4-FFF2-40B4-BE49-F238E27FC236}">
              <a16:creationId xmlns:a16="http://schemas.microsoft.com/office/drawing/2014/main" id="{00000000-0008-0000-0800-00009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6" name="Text Box 111">
          <a:extLst>
            <a:ext uri="{FF2B5EF4-FFF2-40B4-BE49-F238E27FC236}">
              <a16:creationId xmlns:a16="http://schemas.microsoft.com/office/drawing/2014/main" id="{00000000-0008-0000-0800-00009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7" name="Text Box 119">
          <a:extLst>
            <a:ext uri="{FF2B5EF4-FFF2-40B4-BE49-F238E27FC236}">
              <a16:creationId xmlns:a16="http://schemas.microsoft.com/office/drawing/2014/main" id="{00000000-0008-0000-0800-00009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8" name="Text Box 120">
          <a:extLst>
            <a:ext uri="{FF2B5EF4-FFF2-40B4-BE49-F238E27FC236}">
              <a16:creationId xmlns:a16="http://schemas.microsoft.com/office/drawing/2014/main" id="{00000000-0008-0000-0800-00009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9" name="Text Box 121">
          <a:extLst>
            <a:ext uri="{FF2B5EF4-FFF2-40B4-BE49-F238E27FC236}">
              <a16:creationId xmlns:a16="http://schemas.microsoft.com/office/drawing/2014/main" id="{00000000-0008-0000-0800-00009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0" name="Text Box 122">
          <a:extLst>
            <a:ext uri="{FF2B5EF4-FFF2-40B4-BE49-F238E27FC236}">
              <a16:creationId xmlns:a16="http://schemas.microsoft.com/office/drawing/2014/main" id="{00000000-0008-0000-0800-00009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1" name="Text Box 123">
          <a:extLst>
            <a:ext uri="{FF2B5EF4-FFF2-40B4-BE49-F238E27FC236}">
              <a16:creationId xmlns:a16="http://schemas.microsoft.com/office/drawing/2014/main" id="{00000000-0008-0000-0800-00009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2" name="Text Box 124">
          <a:extLst>
            <a:ext uri="{FF2B5EF4-FFF2-40B4-BE49-F238E27FC236}">
              <a16:creationId xmlns:a16="http://schemas.microsoft.com/office/drawing/2014/main" id="{00000000-0008-0000-0800-00009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3" name="Text Box 125">
          <a:extLst>
            <a:ext uri="{FF2B5EF4-FFF2-40B4-BE49-F238E27FC236}">
              <a16:creationId xmlns:a16="http://schemas.microsoft.com/office/drawing/2014/main" id="{00000000-0008-0000-0800-00009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4" name="Text Box 126">
          <a:extLst>
            <a:ext uri="{FF2B5EF4-FFF2-40B4-BE49-F238E27FC236}">
              <a16:creationId xmlns:a16="http://schemas.microsoft.com/office/drawing/2014/main" id="{00000000-0008-0000-0800-0000A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5" name="Text Box 127">
          <a:extLst>
            <a:ext uri="{FF2B5EF4-FFF2-40B4-BE49-F238E27FC236}">
              <a16:creationId xmlns:a16="http://schemas.microsoft.com/office/drawing/2014/main" id="{00000000-0008-0000-0800-0000A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6" name="Text Box 128">
          <a:extLst>
            <a:ext uri="{FF2B5EF4-FFF2-40B4-BE49-F238E27FC236}">
              <a16:creationId xmlns:a16="http://schemas.microsoft.com/office/drawing/2014/main" id="{00000000-0008-0000-0800-0000A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7" name="Text Box 129">
          <a:extLst>
            <a:ext uri="{FF2B5EF4-FFF2-40B4-BE49-F238E27FC236}">
              <a16:creationId xmlns:a16="http://schemas.microsoft.com/office/drawing/2014/main" id="{00000000-0008-0000-0800-0000A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8" name="Text Box 130">
          <a:extLst>
            <a:ext uri="{FF2B5EF4-FFF2-40B4-BE49-F238E27FC236}">
              <a16:creationId xmlns:a16="http://schemas.microsoft.com/office/drawing/2014/main" id="{00000000-0008-0000-0800-0000A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49" name="Text Box 133">
          <a:extLst>
            <a:ext uri="{FF2B5EF4-FFF2-40B4-BE49-F238E27FC236}">
              <a16:creationId xmlns:a16="http://schemas.microsoft.com/office/drawing/2014/main" id="{00000000-0008-0000-0800-0000A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0" name="Text Box 134">
          <a:extLst>
            <a:ext uri="{FF2B5EF4-FFF2-40B4-BE49-F238E27FC236}">
              <a16:creationId xmlns:a16="http://schemas.microsoft.com/office/drawing/2014/main" id="{00000000-0008-0000-0800-0000A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1" name="Text Box 135">
          <a:extLst>
            <a:ext uri="{FF2B5EF4-FFF2-40B4-BE49-F238E27FC236}">
              <a16:creationId xmlns:a16="http://schemas.microsoft.com/office/drawing/2014/main" id="{00000000-0008-0000-0800-0000A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2" name="Text Box 136">
          <a:extLst>
            <a:ext uri="{FF2B5EF4-FFF2-40B4-BE49-F238E27FC236}">
              <a16:creationId xmlns:a16="http://schemas.microsoft.com/office/drawing/2014/main" id="{00000000-0008-0000-0800-0000A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3" name="Text Box 137">
          <a:extLst>
            <a:ext uri="{FF2B5EF4-FFF2-40B4-BE49-F238E27FC236}">
              <a16:creationId xmlns:a16="http://schemas.microsoft.com/office/drawing/2014/main" id="{00000000-0008-0000-0800-0000A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4" name="Text Box 138">
          <a:extLst>
            <a:ext uri="{FF2B5EF4-FFF2-40B4-BE49-F238E27FC236}">
              <a16:creationId xmlns:a16="http://schemas.microsoft.com/office/drawing/2014/main" id="{00000000-0008-0000-0800-0000A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5" name="Text Box 139">
          <a:extLst>
            <a:ext uri="{FF2B5EF4-FFF2-40B4-BE49-F238E27FC236}">
              <a16:creationId xmlns:a16="http://schemas.microsoft.com/office/drawing/2014/main" id="{00000000-0008-0000-0800-0000A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6" name="Text Box 140">
          <a:extLst>
            <a:ext uri="{FF2B5EF4-FFF2-40B4-BE49-F238E27FC236}">
              <a16:creationId xmlns:a16="http://schemas.microsoft.com/office/drawing/2014/main" id="{00000000-0008-0000-0800-0000A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7" name="Text Box 141">
          <a:extLst>
            <a:ext uri="{FF2B5EF4-FFF2-40B4-BE49-F238E27FC236}">
              <a16:creationId xmlns:a16="http://schemas.microsoft.com/office/drawing/2014/main" id="{00000000-0008-0000-0800-0000A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8" name="Text Box 142">
          <a:extLst>
            <a:ext uri="{FF2B5EF4-FFF2-40B4-BE49-F238E27FC236}">
              <a16:creationId xmlns:a16="http://schemas.microsoft.com/office/drawing/2014/main" id="{00000000-0008-0000-0800-0000A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9" name="Text Box 143">
          <a:extLst>
            <a:ext uri="{FF2B5EF4-FFF2-40B4-BE49-F238E27FC236}">
              <a16:creationId xmlns:a16="http://schemas.microsoft.com/office/drawing/2014/main" id="{00000000-0008-0000-0800-0000A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0" name="Text Box 144">
          <a:extLst>
            <a:ext uri="{FF2B5EF4-FFF2-40B4-BE49-F238E27FC236}">
              <a16:creationId xmlns:a16="http://schemas.microsoft.com/office/drawing/2014/main" id="{00000000-0008-0000-0800-0000B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1" name="Text Box 145">
          <a:extLst>
            <a:ext uri="{FF2B5EF4-FFF2-40B4-BE49-F238E27FC236}">
              <a16:creationId xmlns:a16="http://schemas.microsoft.com/office/drawing/2014/main" id="{00000000-0008-0000-0800-0000B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2" name="Text Box 146">
          <a:extLst>
            <a:ext uri="{FF2B5EF4-FFF2-40B4-BE49-F238E27FC236}">
              <a16:creationId xmlns:a16="http://schemas.microsoft.com/office/drawing/2014/main" id="{00000000-0008-0000-0800-0000B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3" name="Text Box 147">
          <a:extLst>
            <a:ext uri="{FF2B5EF4-FFF2-40B4-BE49-F238E27FC236}">
              <a16:creationId xmlns:a16="http://schemas.microsoft.com/office/drawing/2014/main" id="{00000000-0008-0000-0800-0000B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4" name="Text Box 148">
          <a:extLst>
            <a:ext uri="{FF2B5EF4-FFF2-40B4-BE49-F238E27FC236}">
              <a16:creationId xmlns:a16="http://schemas.microsoft.com/office/drawing/2014/main" id="{00000000-0008-0000-0800-0000B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5" name="Text Box 149">
          <a:extLst>
            <a:ext uri="{FF2B5EF4-FFF2-40B4-BE49-F238E27FC236}">
              <a16:creationId xmlns:a16="http://schemas.microsoft.com/office/drawing/2014/main" id="{00000000-0008-0000-0800-0000B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6" name="Text Box 150">
          <a:extLst>
            <a:ext uri="{FF2B5EF4-FFF2-40B4-BE49-F238E27FC236}">
              <a16:creationId xmlns:a16="http://schemas.microsoft.com/office/drawing/2014/main" id="{00000000-0008-0000-0800-0000B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7" name="Text Box 151">
          <a:extLst>
            <a:ext uri="{FF2B5EF4-FFF2-40B4-BE49-F238E27FC236}">
              <a16:creationId xmlns:a16="http://schemas.microsoft.com/office/drawing/2014/main" id="{00000000-0008-0000-0800-0000B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8" name="Text Box 152">
          <a:extLst>
            <a:ext uri="{FF2B5EF4-FFF2-40B4-BE49-F238E27FC236}">
              <a16:creationId xmlns:a16="http://schemas.microsoft.com/office/drawing/2014/main" id="{00000000-0008-0000-0800-0000B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9" name="Text Box 153">
          <a:extLst>
            <a:ext uri="{FF2B5EF4-FFF2-40B4-BE49-F238E27FC236}">
              <a16:creationId xmlns:a16="http://schemas.microsoft.com/office/drawing/2014/main" id="{00000000-0008-0000-0800-0000B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0" name="Text Box 154">
          <a:extLst>
            <a:ext uri="{FF2B5EF4-FFF2-40B4-BE49-F238E27FC236}">
              <a16:creationId xmlns:a16="http://schemas.microsoft.com/office/drawing/2014/main" id="{00000000-0008-0000-0800-0000B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1" name="Text Box 155">
          <a:extLst>
            <a:ext uri="{FF2B5EF4-FFF2-40B4-BE49-F238E27FC236}">
              <a16:creationId xmlns:a16="http://schemas.microsoft.com/office/drawing/2014/main" id="{00000000-0008-0000-0800-0000B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2" name="Text Box 156">
          <a:extLst>
            <a:ext uri="{FF2B5EF4-FFF2-40B4-BE49-F238E27FC236}">
              <a16:creationId xmlns:a16="http://schemas.microsoft.com/office/drawing/2014/main" id="{00000000-0008-0000-0800-0000B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3" name="Text Box 157">
          <a:extLst>
            <a:ext uri="{FF2B5EF4-FFF2-40B4-BE49-F238E27FC236}">
              <a16:creationId xmlns:a16="http://schemas.microsoft.com/office/drawing/2014/main" id="{00000000-0008-0000-0800-0000B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4" name="Text Box 158">
          <a:extLst>
            <a:ext uri="{FF2B5EF4-FFF2-40B4-BE49-F238E27FC236}">
              <a16:creationId xmlns:a16="http://schemas.microsoft.com/office/drawing/2014/main" id="{00000000-0008-0000-0800-0000B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5" name="Text Box 159">
          <a:extLst>
            <a:ext uri="{FF2B5EF4-FFF2-40B4-BE49-F238E27FC236}">
              <a16:creationId xmlns:a16="http://schemas.microsoft.com/office/drawing/2014/main" id="{00000000-0008-0000-0800-0000B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6" name="Text Box 160">
          <a:extLst>
            <a:ext uri="{FF2B5EF4-FFF2-40B4-BE49-F238E27FC236}">
              <a16:creationId xmlns:a16="http://schemas.microsoft.com/office/drawing/2014/main" id="{00000000-0008-0000-0800-0000C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7" name="Text Box 161">
          <a:extLst>
            <a:ext uri="{FF2B5EF4-FFF2-40B4-BE49-F238E27FC236}">
              <a16:creationId xmlns:a16="http://schemas.microsoft.com/office/drawing/2014/main" id="{00000000-0008-0000-0800-0000C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8" name="Text Box 162">
          <a:extLst>
            <a:ext uri="{FF2B5EF4-FFF2-40B4-BE49-F238E27FC236}">
              <a16:creationId xmlns:a16="http://schemas.microsoft.com/office/drawing/2014/main" id="{00000000-0008-0000-0800-0000C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9" name="Text Box 163">
          <a:extLst>
            <a:ext uri="{FF2B5EF4-FFF2-40B4-BE49-F238E27FC236}">
              <a16:creationId xmlns:a16="http://schemas.microsoft.com/office/drawing/2014/main" id="{00000000-0008-0000-0800-0000C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0" name="Text Box 164">
          <a:extLst>
            <a:ext uri="{FF2B5EF4-FFF2-40B4-BE49-F238E27FC236}">
              <a16:creationId xmlns:a16="http://schemas.microsoft.com/office/drawing/2014/main" id="{00000000-0008-0000-0800-0000C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1" name="Text Box 165">
          <a:extLst>
            <a:ext uri="{FF2B5EF4-FFF2-40B4-BE49-F238E27FC236}">
              <a16:creationId xmlns:a16="http://schemas.microsoft.com/office/drawing/2014/main" id="{00000000-0008-0000-0800-0000C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2" name="Text Box 166">
          <a:extLst>
            <a:ext uri="{FF2B5EF4-FFF2-40B4-BE49-F238E27FC236}">
              <a16:creationId xmlns:a16="http://schemas.microsoft.com/office/drawing/2014/main" id="{00000000-0008-0000-0800-0000C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3" name="Text Box 167">
          <a:extLst>
            <a:ext uri="{FF2B5EF4-FFF2-40B4-BE49-F238E27FC236}">
              <a16:creationId xmlns:a16="http://schemas.microsoft.com/office/drawing/2014/main" id="{00000000-0008-0000-0800-0000C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4" name="Text Box 168">
          <a:extLst>
            <a:ext uri="{FF2B5EF4-FFF2-40B4-BE49-F238E27FC236}">
              <a16:creationId xmlns:a16="http://schemas.microsoft.com/office/drawing/2014/main" id="{00000000-0008-0000-0800-0000C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5" name="Text Box 169">
          <a:extLst>
            <a:ext uri="{FF2B5EF4-FFF2-40B4-BE49-F238E27FC236}">
              <a16:creationId xmlns:a16="http://schemas.microsoft.com/office/drawing/2014/main" id="{00000000-0008-0000-0800-0000C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6" name="Text Box 170">
          <a:extLst>
            <a:ext uri="{FF2B5EF4-FFF2-40B4-BE49-F238E27FC236}">
              <a16:creationId xmlns:a16="http://schemas.microsoft.com/office/drawing/2014/main" id="{00000000-0008-0000-0800-0000C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7" name="Text Box 171">
          <a:extLst>
            <a:ext uri="{FF2B5EF4-FFF2-40B4-BE49-F238E27FC236}">
              <a16:creationId xmlns:a16="http://schemas.microsoft.com/office/drawing/2014/main" id="{00000000-0008-0000-0800-0000C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8" name="Text Box 172">
          <a:extLst>
            <a:ext uri="{FF2B5EF4-FFF2-40B4-BE49-F238E27FC236}">
              <a16:creationId xmlns:a16="http://schemas.microsoft.com/office/drawing/2014/main" id="{00000000-0008-0000-0800-0000C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9" name="Text Box 173">
          <a:extLst>
            <a:ext uri="{FF2B5EF4-FFF2-40B4-BE49-F238E27FC236}">
              <a16:creationId xmlns:a16="http://schemas.microsoft.com/office/drawing/2014/main" id="{00000000-0008-0000-0800-0000C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0" name="Text Box 174">
          <a:extLst>
            <a:ext uri="{FF2B5EF4-FFF2-40B4-BE49-F238E27FC236}">
              <a16:creationId xmlns:a16="http://schemas.microsoft.com/office/drawing/2014/main" id="{00000000-0008-0000-0800-0000C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1" name="Text Box 175">
          <a:extLst>
            <a:ext uri="{FF2B5EF4-FFF2-40B4-BE49-F238E27FC236}">
              <a16:creationId xmlns:a16="http://schemas.microsoft.com/office/drawing/2014/main" id="{00000000-0008-0000-0800-0000C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2" name="Text Box 176">
          <a:extLst>
            <a:ext uri="{FF2B5EF4-FFF2-40B4-BE49-F238E27FC236}">
              <a16:creationId xmlns:a16="http://schemas.microsoft.com/office/drawing/2014/main" id="{00000000-0008-0000-0800-0000D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3" name="Text Box 177">
          <a:extLst>
            <a:ext uri="{FF2B5EF4-FFF2-40B4-BE49-F238E27FC236}">
              <a16:creationId xmlns:a16="http://schemas.microsoft.com/office/drawing/2014/main" id="{00000000-0008-0000-0800-0000D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4" name="Text Box 178">
          <a:extLst>
            <a:ext uri="{FF2B5EF4-FFF2-40B4-BE49-F238E27FC236}">
              <a16:creationId xmlns:a16="http://schemas.microsoft.com/office/drawing/2014/main" id="{00000000-0008-0000-0800-0000D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5" name="Text Box 179">
          <a:extLst>
            <a:ext uri="{FF2B5EF4-FFF2-40B4-BE49-F238E27FC236}">
              <a16:creationId xmlns:a16="http://schemas.microsoft.com/office/drawing/2014/main" id="{00000000-0008-0000-0800-0000D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6" name="Text Box 180">
          <a:extLst>
            <a:ext uri="{FF2B5EF4-FFF2-40B4-BE49-F238E27FC236}">
              <a16:creationId xmlns:a16="http://schemas.microsoft.com/office/drawing/2014/main" id="{00000000-0008-0000-0800-0000D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7" name="Text Box 181">
          <a:extLst>
            <a:ext uri="{FF2B5EF4-FFF2-40B4-BE49-F238E27FC236}">
              <a16:creationId xmlns:a16="http://schemas.microsoft.com/office/drawing/2014/main" id="{00000000-0008-0000-0800-0000D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8" name="Text Box 182">
          <a:extLst>
            <a:ext uri="{FF2B5EF4-FFF2-40B4-BE49-F238E27FC236}">
              <a16:creationId xmlns:a16="http://schemas.microsoft.com/office/drawing/2014/main" id="{00000000-0008-0000-0800-0000D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9" name="Text Box 183">
          <a:extLst>
            <a:ext uri="{FF2B5EF4-FFF2-40B4-BE49-F238E27FC236}">
              <a16:creationId xmlns:a16="http://schemas.microsoft.com/office/drawing/2014/main" id="{00000000-0008-0000-0800-0000D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0" name="Text Box 184">
          <a:extLst>
            <a:ext uri="{FF2B5EF4-FFF2-40B4-BE49-F238E27FC236}">
              <a16:creationId xmlns:a16="http://schemas.microsoft.com/office/drawing/2014/main" id="{00000000-0008-0000-0800-0000D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1" name="Text Box 185">
          <a:extLst>
            <a:ext uri="{FF2B5EF4-FFF2-40B4-BE49-F238E27FC236}">
              <a16:creationId xmlns:a16="http://schemas.microsoft.com/office/drawing/2014/main" id="{00000000-0008-0000-0800-0000D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2" name="Text Box 186">
          <a:extLst>
            <a:ext uri="{FF2B5EF4-FFF2-40B4-BE49-F238E27FC236}">
              <a16:creationId xmlns:a16="http://schemas.microsoft.com/office/drawing/2014/main" id="{00000000-0008-0000-0800-0000D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3" name="Text Box 187">
          <a:extLst>
            <a:ext uri="{FF2B5EF4-FFF2-40B4-BE49-F238E27FC236}">
              <a16:creationId xmlns:a16="http://schemas.microsoft.com/office/drawing/2014/main" id="{00000000-0008-0000-0800-0000D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4" name="Text Box 188">
          <a:extLst>
            <a:ext uri="{FF2B5EF4-FFF2-40B4-BE49-F238E27FC236}">
              <a16:creationId xmlns:a16="http://schemas.microsoft.com/office/drawing/2014/main" id="{00000000-0008-0000-0800-0000D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5" name="Text Box 189">
          <a:extLst>
            <a:ext uri="{FF2B5EF4-FFF2-40B4-BE49-F238E27FC236}">
              <a16:creationId xmlns:a16="http://schemas.microsoft.com/office/drawing/2014/main" id="{00000000-0008-0000-0800-0000D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6" name="Text Box 190">
          <a:extLst>
            <a:ext uri="{FF2B5EF4-FFF2-40B4-BE49-F238E27FC236}">
              <a16:creationId xmlns:a16="http://schemas.microsoft.com/office/drawing/2014/main" id="{00000000-0008-0000-0800-0000D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7" name="Text Box 191">
          <a:extLst>
            <a:ext uri="{FF2B5EF4-FFF2-40B4-BE49-F238E27FC236}">
              <a16:creationId xmlns:a16="http://schemas.microsoft.com/office/drawing/2014/main" id="{00000000-0008-0000-0800-0000D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8" name="Text Box 192">
          <a:extLst>
            <a:ext uri="{FF2B5EF4-FFF2-40B4-BE49-F238E27FC236}">
              <a16:creationId xmlns:a16="http://schemas.microsoft.com/office/drawing/2014/main" id="{00000000-0008-0000-0800-0000E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9" name="Text Box 193">
          <a:extLst>
            <a:ext uri="{FF2B5EF4-FFF2-40B4-BE49-F238E27FC236}">
              <a16:creationId xmlns:a16="http://schemas.microsoft.com/office/drawing/2014/main" id="{00000000-0008-0000-0800-0000E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0" name="Text Box 194">
          <a:extLst>
            <a:ext uri="{FF2B5EF4-FFF2-40B4-BE49-F238E27FC236}">
              <a16:creationId xmlns:a16="http://schemas.microsoft.com/office/drawing/2014/main" id="{00000000-0008-0000-0800-0000E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1" name="Text Box 195">
          <a:extLst>
            <a:ext uri="{FF2B5EF4-FFF2-40B4-BE49-F238E27FC236}">
              <a16:creationId xmlns:a16="http://schemas.microsoft.com/office/drawing/2014/main" id="{00000000-0008-0000-0800-0000E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2" name="Text Box 196">
          <a:extLst>
            <a:ext uri="{FF2B5EF4-FFF2-40B4-BE49-F238E27FC236}">
              <a16:creationId xmlns:a16="http://schemas.microsoft.com/office/drawing/2014/main" id="{00000000-0008-0000-0800-0000E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3" name="Text Box 197">
          <a:extLst>
            <a:ext uri="{FF2B5EF4-FFF2-40B4-BE49-F238E27FC236}">
              <a16:creationId xmlns:a16="http://schemas.microsoft.com/office/drawing/2014/main" id="{00000000-0008-0000-0800-0000E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4" name="Text Box 198">
          <a:extLst>
            <a:ext uri="{FF2B5EF4-FFF2-40B4-BE49-F238E27FC236}">
              <a16:creationId xmlns:a16="http://schemas.microsoft.com/office/drawing/2014/main" id="{00000000-0008-0000-0800-0000E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5" name="Text Box 199">
          <a:extLst>
            <a:ext uri="{FF2B5EF4-FFF2-40B4-BE49-F238E27FC236}">
              <a16:creationId xmlns:a16="http://schemas.microsoft.com/office/drawing/2014/main" id="{00000000-0008-0000-0800-0000E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6" name="Text Box 200">
          <a:extLst>
            <a:ext uri="{FF2B5EF4-FFF2-40B4-BE49-F238E27FC236}">
              <a16:creationId xmlns:a16="http://schemas.microsoft.com/office/drawing/2014/main" id="{00000000-0008-0000-0800-0000E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7" name="Text Box 201">
          <a:extLst>
            <a:ext uri="{FF2B5EF4-FFF2-40B4-BE49-F238E27FC236}">
              <a16:creationId xmlns:a16="http://schemas.microsoft.com/office/drawing/2014/main" id="{00000000-0008-0000-0800-0000E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8" name="Text Box 202">
          <a:extLst>
            <a:ext uri="{FF2B5EF4-FFF2-40B4-BE49-F238E27FC236}">
              <a16:creationId xmlns:a16="http://schemas.microsoft.com/office/drawing/2014/main" id="{00000000-0008-0000-0800-0000E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19" name="Text Box 203">
          <a:extLst>
            <a:ext uri="{FF2B5EF4-FFF2-40B4-BE49-F238E27FC236}">
              <a16:creationId xmlns:a16="http://schemas.microsoft.com/office/drawing/2014/main" id="{00000000-0008-0000-0800-0000E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0" name="Text Box 204">
          <a:extLst>
            <a:ext uri="{FF2B5EF4-FFF2-40B4-BE49-F238E27FC236}">
              <a16:creationId xmlns:a16="http://schemas.microsoft.com/office/drawing/2014/main" id="{00000000-0008-0000-0800-0000E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1" name="Text Box 205">
          <a:extLst>
            <a:ext uri="{FF2B5EF4-FFF2-40B4-BE49-F238E27FC236}">
              <a16:creationId xmlns:a16="http://schemas.microsoft.com/office/drawing/2014/main" id="{00000000-0008-0000-0800-0000E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2" name="Text Box 206">
          <a:extLst>
            <a:ext uri="{FF2B5EF4-FFF2-40B4-BE49-F238E27FC236}">
              <a16:creationId xmlns:a16="http://schemas.microsoft.com/office/drawing/2014/main" id="{00000000-0008-0000-0800-0000E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3" name="Text Box 207">
          <a:extLst>
            <a:ext uri="{FF2B5EF4-FFF2-40B4-BE49-F238E27FC236}">
              <a16:creationId xmlns:a16="http://schemas.microsoft.com/office/drawing/2014/main" id="{00000000-0008-0000-0800-0000E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4" name="Text Box 208">
          <a:extLst>
            <a:ext uri="{FF2B5EF4-FFF2-40B4-BE49-F238E27FC236}">
              <a16:creationId xmlns:a16="http://schemas.microsoft.com/office/drawing/2014/main" id="{00000000-0008-0000-0800-0000F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5" name="Text Box 209">
          <a:extLst>
            <a:ext uri="{FF2B5EF4-FFF2-40B4-BE49-F238E27FC236}">
              <a16:creationId xmlns:a16="http://schemas.microsoft.com/office/drawing/2014/main" id="{00000000-0008-0000-0800-0000F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6" name="Text Box 210">
          <a:extLst>
            <a:ext uri="{FF2B5EF4-FFF2-40B4-BE49-F238E27FC236}">
              <a16:creationId xmlns:a16="http://schemas.microsoft.com/office/drawing/2014/main" id="{00000000-0008-0000-0800-0000F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7" name="Text Box 211">
          <a:extLst>
            <a:ext uri="{FF2B5EF4-FFF2-40B4-BE49-F238E27FC236}">
              <a16:creationId xmlns:a16="http://schemas.microsoft.com/office/drawing/2014/main" id="{00000000-0008-0000-0800-0000F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8" name="Text Box 212">
          <a:extLst>
            <a:ext uri="{FF2B5EF4-FFF2-40B4-BE49-F238E27FC236}">
              <a16:creationId xmlns:a16="http://schemas.microsoft.com/office/drawing/2014/main" id="{00000000-0008-0000-0800-0000F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9" name="Text Box 213">
          <a:extLst>
            <a:ext uri="{FF2B5EF4-FFF2-40B4-BE49-F238E27FC236}">
              <a16:creationId xmlns:a16="http://schemas.microsoft.com/office/drawing/2014/main" id="{00000000-0008-0000-0800-0000F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0" name="Text Box 214">
          <a:extLst>
            <a:ext uri="{FF2B5EF4-FFF2-40B4-BE49-F238E27FC236}">
              <a16:creationId xmlns:a16="http://schemas.microsoft.com/office/drawing/2014/main" id="{00000000-0008-0000-0800-0000F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1" name="Text Box 215">
          <a:extLst>
            <a:ext uri="{FF2B5EF4-FFF2-40B4-BE49-F238E27FC236}">
              <a16:creationId xmlns:a16="http://schemas.microsoft.com/office/drawing/2014/main" id="{00000000-0008-0000-0800-0000F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2" name="Text Box 216">
          <a:extLst>
            <a:ext uri="{FF2B5EF4-FFF2-40B4-BE49-F238E27FC236}">
              <a16:creationId xmlns:a16="http://schemas.microsoft.com/office/drawing/2014/main" id="{00000000-0008-0000-0800-0000F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3" name="Text Box 217">
          <a:extLst>
            <a:ext uri="{FF2B5EF4-FFF2-40B4-BE49-F238E27FC236}">
              <a16:creationId xmlns:a16="http://schemas.microsoft.com/office/drawing/2014/main" id="{00000000-0008-0000-0800-0000F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4" name="Text Box 218">
          <a:extLst>
            <a:ext uri="{FF2B5EF4-FFF2-40B4-BE49-F238E27FC236}">
              <a16:creationId xmlns:a16="http://schemas.microsoft.com/office/drawing/2014/main" id="{00000000-0008-0000-0800-0000F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5" name="Text Box 219">
          <a:extLst>
            <a:ext uri="{FF2B5EF4-FFF2-40B4-BE49-F238E27FC236}">
              <a16:creationId xmlns:a16="http://schemas.microsoft.com/office/drawing/2014/main" id="{00000000-0008-0000-0800-0000F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6" name="Text Box 220">
          <a:extLst>
            <a:ext uri="{FF2B5EF4-FFF2-40B4-BE49-F238E27FC236}">
              <a16:creationId xmlns:a16="http://schemas.microsoft.com/office/drawing/2014/main" id="{00000000-0008-0000-0800-0000F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7" name="Text Box 221">
          <a:extLst>
            <a:ext uri="{FF2B5EF4-FFF2-40B4-BE49-F238E27FC236}">
              <a16:creationId xmlns:a16="http://schemas.microsoft.com/office/drawing/2014/main" id="{00000000-0008-0000-0800-0000F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8" name="Text Box 222">
          <a:extLst>
            <a:ext uri="{FF2B5EF4-FFF2-40B4-BE49-F238E27FC236}">
              <a16:creationId xmlns:a16="http://schemas.microsoft.com/office/drawing/2014/main" id="{00000000-0008-0000-0800-0000F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9" name="Text Box 223">
          <a:extLst>
            <a:ext uri="{FF2B5EF4-FFF2-40B4-BE49-F238E27FC236}">
              <a16:creationId xmlns:a16="http://schemas.microsoft.com/office/drawing/2014/main" id="{00000000-0008-0000-0800-0000F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0" name="Text Box 224">
          <a:extLst>
            <a:ext uri="{FF2B5EF4-FFF2-40B4-BE49-F238E27FC236}">
              <a16:creationId xmlns:a16="http://schemas.microsoft.com/office/drawing/2014/main" id="{00000000-0008-0000-0800-00000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1" name="Text Box 225">
          <a:extLst>
            <a:ext uri="{FF2B5EF4-FFF2-40B4-BE49-F238E27FC236}">
              <a16:creationId xmlns:a16="http://schemas.microsoft.com/office/drawing/2014/main" id="{00000000-0008-0000-0800-00000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2" name="Text Box 226">
          <a:extLst>
            <a:ext uri="{FF2B5EF4-FFF2-40B4-BE49-F238E27FC236}">
              <a16:creationId xmlns:a16="http://schemas.microsoft.com/office/drawing/2014/main" id="{00000000-0008-0000-0800-00000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3" name="Text Box 227">
          <a:extLst>
            <a:ext uri="{FF2B5EF4-FFF2-40B4-BE49-F238E27FC236}">
              <a16:creationId xmlns:a16="http://schemas.microsoft.com/office/drawing/2014/main" id="{00000000-0008-0000-0800-00000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4" name="Text Box 228">
          <a:extLst>
            <a:ext uri="{FF2B5EF4-FFF2-40B4-BE49-F238E27FC236}">
              <a16:creationId xmlns:a16="http://schemas.microsoft.com/office/drawing/2014/main" id="{00000000-0008-0000-0800-00000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5" name="Text Box 229">
          <a:extLst>
            <a:ext uri="{FF2B5EF4-FFF2-40B4-BE49-F238E27FC236}">
              <a16:creationId xmlns:a16="http://schemas.microsoft.com/office/drawing/2014/main" id="{00000000-0008-0000-0800-00000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6" name="Text Box 230">
          <a:extLst>
            <a:ext uri="{FF2B5EF4-FFF2-40B4-BE49-F238E27FC236}">
              <a16:creationId xmlns:a16="http://schemas.microsoft.com/office/drawing/2014/main" id="{00000000-0008-0000-0800-00000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7" name="Text Box 231">
          <a:extLst>
            <a:ext uri="{FF2B5EF4-FFF2-40B4-BE49-F238E27FC236}">
              <a16:creationId xmlns:a16="http://schemas.microsoft.com/office/drawing/2014/main" id="{00000000-0008-0000-0800-00000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8" name="Text Box 232">
          <a:extLst>
            <a:ext uri="{FF2B5EF4-FFF2-40B4-BE49-F238E27FC236}">
              <a16:creationId xmlns:a16="http://schemas.microsoft.com/office/drawing/2014/main" id="{00000000-0008-0000-0800-00000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9" name="Text Box 233">
          <a:extLst>
            <a:ext uri="{FF2B5EF4-FFF2-40B4-BE49-F238E27FC236}">
              <a16:creationId xmlns:a16="http://schemas.microsoft.com/office/drawing/2014/main" id="{00000000-0008-0000-0800-00000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0" name="Text Box 234">
          <a:extLst>
            <a:ext uri="{FF2B5EF4-FFF2-40B4-BE49-F238E27FC236}">
              <a16:creationId xmlns:a16="http://schemas.microsoft.com/office/drawing/2014/main" id="{00000000-0008-0000-0800-00000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1" name="Text Box 235">
          <a:extLst>
            <a:ext uri="{FF2B5EF4-FFF2-40B4-BE49-F238E27FC236}">
              <a16:creationId xmlns:a16="http://schemas.microsoft.com/office/drawing/2014/main" id="{00000000-0008-0000-0800-00000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2" name="Text Box 236">
          <a:extLst>
            <a:ext uri="{FF2B5EF4-FFF2-40B4-BE49-F238E27FC236}">
              <a16:creationId xmlns:a16="http://schemas.microsoft.com/office/drawing/2014/main" id="{00000000-0008-0000-0800-00000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3" name="Text Box 237">
          <a:extLst>
            <a:ext uri="{FF2B5EF4-FFF2-40B4-BE49-F238E27FC236}">
              <a16:creationId xmlns:a16="http://schemas.microsoft.com/office/drawing/2014/main" id="{00000000-0008-0000-0800-00000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4" name="Text Box 238">
          <a:extLst>
            <a:ext uri="{FF2B5EF4-FFF2-40B4-BE49-F238E27FC236}">
              <a16:creationId xmlns:a16="http://schemas.microsoft.com/office/drawing/2014/main" id="{00000000-0008-0000-0800-00000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5" name="Text Box 239">
          <a:extLst>
            <a:ext uri="{FF2B5EF4-FFF2-40B4-BE49-F238E27FC236}">
              <a16:creationId xmlns:a16="http://schemas.microsoft.com/office/drawing/2014/main" id="{00000000-0008-0000-0800-00000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6" name="Text Box 240">
          <a:extLst>
            <a:ext uri="{FF2B5EF4-FFF2-40B4-BE49-F238E27FC236}">
              <a16:creationId xmlns:a16="http://schemas.microsoft.com/office/drawing/2014/main" id="{00000000-0008-0000-0800-00001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7" name="Text Box 241">
          <a:extLst>
            <a:ext uri="{FF2B5EF4-FFF2-40B4-BE49-F238E27FC236}">
              <a16:creationId xmlns:a16="http://schemas.microsoft.com/office/drawing/2014/main" id="{00000000-0008-0000-0800-00001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8" name="Text Box 242">
          <a:extLst>
            <a:ext uri="{FF2B5EF4-FFF2-40B4-BE49-F238E27FC236}">
              <a16:creationId xmlns:a16="http://schemas.microsoft.com/office/drawing/2014/main" id="{00000000-0008-0000-0800-00001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9" name="Text Box 243">
          <a:extLst>
            <a:ext uri="{FF2B5EF4-FFF2-40B4-BE49-F238E27FC236}">
              <a16:creationId xmlns:a16="http://schemas.microsoft.com/office/drawing/2014/main" id="{00000000-0008-0000-0800-00001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0" name="Text Box 244">
          <a:extLst>
            <a:ext uri="{FF2B5EF4-FFF2-40B4-BE49-F238E27FC236}">
              <a16:creationId xmlns:a16="http://schemas.microsoft.com/office/drawing/2014/main" id="{00000000-0008-0000-0800-00001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1" name="Text Box 245">
          <a:extLst>
            <a:ext uri="{FF2B5EF4-FFF2-40B4-BE49-F238E27FC236}">
              <a16:creationId xmlns:a16="http://schemas.microsoft.com/office/drawing/2014/main" id="{00000000-0008-0000-0800-00001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2" name="Text Box 246">
          <a:extLst>
            <a:ext uri="{FF2B5EF4-FFF2-40B4-BE49-F238E27FC236}">
              <a16:creationId xmlns:a16="http://schemas.microsoft.com/office/drawing/2014/main" id="{00000000-0008-0000-0800-00001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3" name="Text Box 247">
          <a:extLst>
            <a:ext uri="{FF2B5EF4-FFF2-40B4-BE49-F238E27FC236}">
              <a16:creationId xmlns:a16="http://schemas.microsoft.com/office/drawing/2014/main" id="{00000000-0008-0000-0800-00001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4" name="Text Box 248">
          <a:extLst>
            <a:ext uri="{FF2B5EF4-FFF2-40B4-BE49-F238E27FC236}">
              <a16:creationId xmlns:a16="http://schemas.microsoft.com/office/drawing/2014/main" id="{00000000-0008-0000-0800-00001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5" name="Text Box 249">
          <a:extLst>
            <a:ext uri="{FF2B5EF4-FFF2-40B4-BE49-F238E27FC236}">
              <a16:creationId xmlns:a16="http://schemas.microsoft.com/office/drawing/2014/main" id="{00000000-0008-0000-0800-00001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6" name="Text Box 250">
          <a:extLst>
            <a:ext uri="{FF2B5EF4-FFF2-40B4-BE49-F238E27FC236}">
              <a16:creationId xmlns:a16="http://schemas.microsoft.com/office/drawing/2014/main" id="{00000000-0008-0000-0800-00001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7" name="Text Box 251">
          <a:extLst>
            <a:ext uri="{FF2B5EF4-FFF2-40B4-BE49-F238E27FC236}">
              <a16:creationId xmlns:a16="http://schemas.microsoft.com/office/drawing/2014/main" id="{00000000-0008-0000-0800-00001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8" name="Text Box 252">
          <a:extLst>
            <a:ext uri="{FF2B5EF4-FFF2-40B4-BE49-F238E27FC236}">
              <a16:creationId xmlns:a16="http://schemas.microsoft.com/office/drawing/2014/main" id="{00000000-0008-0000-0800-00001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9" name="Text Box 253">
          <a:extLst>
            <a:ext uri="{FF2B5EF4-FFF2-40B4-BE49-F238E27FC236}">
              <a16:creationId xmlns:a16="http://schemas.microsoft.com/office/drawing/2014/main" id="{00000000-0008-0000-0800-00001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0" name="Text Box 254">
          <a:extLst>
            <a:ext uri="{FF2B5EF4-FFF2-40B4-BE49-F238E27FC236}">
              <a16:creationId xmlns:a16="http://schemas.microsoft.com/office/drawing/2014/main" id="{00000000-0008-0000-0800-00001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1" name="Text Box 255">
          <a:extLst>
            <a:ext uri="{FF2B5EF4-FFF2-40B4-BE49-F238E27FC236}">
              <a16:creationId xmlns:a16="http://schemas.microsoft.com/office/drawing/2014/main" id="{00000000-0008-0000-0800-00001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2" name="Text Box 256">
          <a:extLst>
            <a:ext uri="{FF2B5EF4-FFF2-40B4-BE49-F238E27FC236}">
              <a16:creationId xmlns:a16="http://schemas.microsoft.com/office/drawing/2014/main" id="{00000000-0008-0000-0800-00002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3" name="Text Box 257">
          <a:extLst>
            <a:ext uri="{FF2B5EF4-FFF2-40B4-BE49-F238E27FC236}">
              <a16:creationId xmlns:a16="http://schemas.microsoft.com/office/drawing/2014/main" id="{00000000-0008-0000-0800-00002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4" name="Text Box 258">
          <a:extLst>
            <a:ext uri="{FF2B5EF4-FFF2-40B4-BE49-F238E27FC236}">
              <a16:creationId xmlns:a16="http://schemas.microsoft.com/office/drawing/2014/main" id="{00000000-0008-0000-0800-00002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5" name="Text Box 259">
          <a:extLst>
            <a:ext uri="{FF2B5EF4-FFF2-40B4-BE49-F238E27FC236}">
              <a16:creationId xmlns:a16="http://schemas.microsoft.com/office/drawing/2014/main" id="{00000000-0008-0000-0800-00002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6" name="Text Box 260">
          <a:extLst>
            <a:ext uri="{FF2B5EF4-FFF2-40B4-BE49-F238E27FC236}">
              <a16:creationId xmlns:a16="http://schemas.microsoft.com/office/drawing/2014/main" id="{00000000-0008-0000-0800-00002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7" name="Text Box 261">
          <a:extLst>
            <a:ext uri="{FF2B5EF4-FFF2-40B4-BE49-F238E27FC236}">
              <a16:creationId xmlns:a16="http://schemas.microsoft.com/office/drawing/2014/main" id="{00000000-0008-0000-0800-00002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8" name="Text Box 262">
          <a:extLst>
            <a:ext uri="{FF2B5EF4-FFF2-40B4-BE49-F238E27FC236}">
              <a16:creationId xmlns:a16="http://schemas.microsoft.com/office/drawing/2014/main" id="{00000000-0008-0000-0800-00002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9" name="Text Box 263">
          <a:extLst>
            <a:ext uri="{FF2B5EF4-FFF2-40B4-BE49-F238E27FC236}">
              <a16:creationId xmlns:a16="http://schemas.microsoft.com/office/drawing/2014/main" id="{00000000-0008-0000-0800-00002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0" name="Text Box 264">
          <a:extLst>
            <a:ext uri="{FF2B5EF4-FFF2-40B4-BE49-F238E27FC236}">
              <a16:creationId xmlns:a16="http://schemas.microsoft.com/office/drawing/2014/main" id="{00000000-0008-0000-0800-00002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1" name="Text Box 265">
          <a:extLst>
            <a:ext uri="{FF2B5EF4-FFF2-40B4-BE49-F238E27FC236}">
              <a16:creationId xmlns:a16="http://schemas.microsoft.com/office/drawing/2014/main" id="{00000000-0008-0000-0800-00002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2" name="Text Box 266">
          <a:extLst>
            <a:ext uri="{FF2B5EF4-FFF2-40B4-BE49-F238E27FC236}">
              <a16:creationId xmlns:a16="http://schemas.microsoft.com/office/drawing/2014/main" id="{00000000-0008-0000-0800-00002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3" name="Text Box 267">
          <a:extLst>
            <a:ext uri="{FF2B5EF4-FFF2-40B4-BE49-F238E27FC236}">
              <a16:creationId xmlns:a16="http://schemas.microsoft.com/office/drawing/2014/main" id="{00000000-0008-0000-0800-00002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4" name="Text Box 268">
          <a:extLst>
            <a:ext uri="{FF2B5EF4-FFF2-40B4-BE49-F238E27FC236}">
              <a16:creationId xmlns:a16="http://schemas.microsoft.com/office/drawing/2014/main" id="{00000000-0008-0000-0800-00002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5" name="Text Box 269">
          <a:extLst>
            <a:ext uri="{FF2B5EF4-FFF2-40B4-BE49-F238E27FC236}">
              <a16:creationId xmlns:a16="http://schemas.microsoft.com/office/drawing/2014/main" id="{00000000-0008-0000-0800-00002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6" name="Text Box 270">
          <a:extLst>
            <a:ext uri="{FF2B5EF4-FFF2-40B4-BE49-F238E27FC236}">
              <a16:creationId xmlns:a16="http://schemas.microsoft.com/office/drawing/2014/main" id="{00000000-0008-0000-0800-00002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7" name="Text Box 271">
          <a:extLst>
            <a:ext uri="{FF2B5EF4-FFF2-40B4-BE49-F238E27FC236}">
              <a16:creationId xmlns:a16="http://schemas.microsoft.com/office/drawing/2014/main" id="{00000000-0008-0000-0800-00002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8" name="Text Box 272">
          <a:extLst>
            <a:ext uri="{FF2B5EF4-FFF2-40B4-BE49-F238E27FC236}">
              <a16:creationId xmlns:a16="http://schemas.microsoft.com/office/drawing/2014/main" id="{00000000-0008-0000-0800-00003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9" name="Text Box 273">
          <a:extLst>
            <a:ext uri="{FF2B5EF4-FFF2-40B4-BE49-F238E27FC236}">
              <a16:creationId xmlns:a16="http://schemas.microsoft.com/office/drawing/2014/main" id="{00000000-0008-0000-0800-00003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0" name="Text Box 274">
          <a:extLst>
            <a:ext uri="{FF2B5EF4-FFF2-40B4-BE49-F238E27FC236}">
              <a16:creationId xmlns:a16="http://schemas.microsoft.com/office/drawing/2014/main" id="{00000000-0008-0000-0800-00003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1" name="Text Box 275">
          <a:extLst>
            <a:ext uri="{FF2B5EF4-FFF2-40B4-BE49-F238E27FC236}">
              <a16:creationId xmlns:a16="http://schemas.microsoft.com/office/drawing/2014/main" id="{00000000-0008-0000-0800-00003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2" name="Text Box 276">
          <a:extLst>
            <a:ext uri="{FF2B5EF4-FFF2-40B4-BE49-F238E27FC236}">
              <a16:creationId xmlns:a16="http://schemas.microsoft.com/office/drawing/2014/main" id="{00000000-0008-0000-0800-00003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3" name="Text Box 277">
          <a:extLst>
            <a:ext uri="{FF2B5EF4-FFF2-40B4-BE49-F238E27FC236}">
              <a16:creationId xmlns:a16="http://schemas.microsoft.com/office/drawing/2014/main" id="{00000000-0008-0000-0800-00003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4" name="Text Box 278">
          <a:extLst>
            <a:ext uri="{FF2B5EF4-FFF2-40B4-BE49-F238E27FC236}">
              <a16:creationId xmlns:a16="http://schemas.microsoft.com/office/drawing/2014/main" id="{00000000-0008-0000-0800-00003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5" name="Text Box 279">
          <a:extLst>
            <a:ext uri="{FF2B5EF4-FFF2-40B4-BE49-F238E27FC236}">
              <a16:creationId xmlns:a16="http://schemas.microsoft.com/office/drawing/2014/main" id="{00000000-0008-0000-0800-00003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6" name="Text Box 280">
          <a:extLst>
            <a:ext uri="{FF2B5EF4-FFF2-40B4-BE49-F238E27FC236}">
              <a16:creationId xmlns:a16="http://schemas.microsoft.com/office/drawing/2014/main" id="{00000000-0008-0000-0800-00003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7" name="Text Box 281">
          <a:extLst>
            <a:ext uri="{FF2B5EF4-FFF2-40B4-BE49-F238E27FC236}">
              <a16:creationId xmlns:a16="http://schemas.microsoft.com/office/drawing/2014/main" id="{00000000-0008-0000-0800-00003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8" name="Text Box 282">
          <a:extLst>
            <a:ext uri="{FF2B5EF4-FFF2-40B4-BE49-F238E27FC236}">
              <a16:creationId xmlns:a16="http://schemas.microsoft.com/office/drawing/2014/main" id="{00000000-0008-0000-0800-00003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9" name="Text Box 283">
          <a:extLst>
            <a:ext uri="{FF2B5EF4-FFF2-40B4-BE49-F238E27FC236}">
              <a16:creationId xmlns:a16="http://schemas.microsoft.com/office/drawing/2014/main" id="{00000000-0008-0000-0800-00003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0" name="Text Box 284">
          <a:extLst>
            <a:ext uri="{FF2B5EF4-FFF2-40B4-BE49-F238E27FC236}">
              <a16:creationId xmlns:a16="http://schemas.microsoft.com/office/drawing/2014/main" id="{00000000-0008-0000-0800-00003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1" name="Text Box 285">
          <a:extLst>
            <a:ext uri="{FF2B5EF4-FFF2-40B4-BE49-F238E27FC236}">
              <a16:creationId xmlns:a16="http://schemas.microsoft.com/office/drawing/2014/main" id="{00000000-0008-0000-0800-00003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2" name="Text Box 286">
          <a:extLst>
            <a:ext uri="{FF2B5EF4-FFF2-40B4-BE49-F238E27FC236}">
              <a16:creationId xmlns:a16="http://schemas.microsoft.com/office/drawing/2014/main" id="{00000000-0008-0000-0800-00003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3" name="Text Box 287">
          <a:extLst>
            <a:ext uri="{FF2B5EF4-FFF2-40B4-BE49-F238E27FC236}">
              <a16:creationId xmlns:a16="http://schemas.microsoft.com/office/drawing/2014/main" id="{00000000-0008-0000-0800-00003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4" name="Text Box 288">
          <a:extLst>
            <a:ext uri="{FF2B5EF4-FFF2-40B4-BE49-F238E27FC236}">
              <a16:creationId xmlns:a16="http://schemas.microsoft.com/office/drawing/2014/main" id="{00000000-0008-0000-0800-00004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5" name="Text Box 289">
          <a:extLst>
            <a:ext uri="{FF2B5EF4-FFF2-40B4-BE49-F238E27FC236}">
              <a16:creationId xmlns:a16="http://schemas.microsoft.com/office/drawing/2014/main" id="{00000000-0008-0000-0800-00004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6" name="Text Box 290">
          <a:extLst>
            <a:ext uri="{FF2B5EF4-FFF2-40B4-BE49-F238E27FC236}">
              <a16:creationId xmlns:a16="http://schemas.microsoft.com/office/drawing/2014/main" id="{00000000-0008-0000-0800-00004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7" name="Text Box 291">
          <a:extLst>
            <a:ext uri="{FF2B5EF4-FFF2-40B4-BE49-F238E27FC236}">
              <a16:creationId xmlns:a16="http://schemas.microsoft.com/office/drawing/2014/main" id="{00000000-0008-0000-0800-00004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8" name="Text Box 292">
          <a:extLst>
            <a:ext uri="{FF2B5EF4-FFF2-40B4-BE49-F238E27FC236}">
              <a16:creationId xmlns:a16="http://schemas.microsoft.com/office/drawing/2014/main" id="{00000000-0008-0000-0800-00004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9" name="Text Box 293">
          <a:extLst>
            <a:ext uri="{FF2B5EF4-FFF2-40B4-BE49-F238E27FC236}">
              <a16:creationId xmlns:a16="http://schemas.microsoft.com/office/drawing/2014/main" id="{00000000-0008-0000-0800-00004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0" name="Text Box 294">
          <a:extLst>
            <a:ext uri="{FF2B5EF4-FFF2-40B4-BE49-F238E27FC236}">
              <a16:creationId xmlns:a16="http://schemas.microsoft.com/office/drawing/2014/main" id="{00000000-0008-0000-0800-00004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1" name="Text Box 295">
          <a:extLst>
            <a:ext uri="{FF2B5EF4-FFF2-40B4-BE49-F238E27FC236}">
              <a16:creationId xmlns:a16="http://schemas.microsoft.com/office/drawing/2014/main" id="{00000000-0008-0000-0800-00004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2" name="Text Box 296">
          <a:extLst>
            <a:ext uri="{FF2B5EF4-FFF2-40B4-BE49-F238E27FC236}">
              <a16:creationId xmlns:a16="http://schemas.microsoft.com/office/drawing/2014/main" id="{00000000-0008-0000-0800-00004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3" name="Text Box 297">
          <a:extLst>
            <a:ext uri="{FF2B5EF4-FFF2-40B4-BE49-F238E27FC236}">
              <a16:creationId xmlns:a16="http://schemas.microsoft.com/office/drawing/2014/main" id="{00000000-0008-0000-0800-00004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4" name="Text Box 298">
          <a:extLst>
            <a:ext uri="{FF2B5EF4-FFF2-40B4-BE49-F238E27FC236}">
              <a16:creationId xmlns:a16="http://schemas.microsoft.com/office/drawing/2014/main" id="{00000000-0008-0000-0800-00004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5" name="Text Box 299">
          <a:extLst>
            <a:ext uri="{FF2B5EF4-FFF2-40B4-BE49-F238E27FC236}">
              <a16:creationId xmlns:a16="http://schemas.microsoft.com/office/drawing/2014/main" id="{00000000-0008-0000-0800-00004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6" name="Text Box 300">
          <a:extLst>
            <a:ext uri="{FF2B5EF4-FFF2-40B4-BE49-F238E27FC236}">
              <a16:creationId xmlns:a16="http://schemas.microsoft.com/office/drawing/2014/main" id="{00000000-0008-0000-0800-00004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7" name="Text Box 301">
          <a:extLst>
            <a:ext uri="{FF2B5EF4-FFF2-40B4-BE49-F238E27FC236}">
              <a16:creationId xmlns:a16="http://schemas.microsoft.com/office/drawing/2014/main" id="{00000000-0008-0000-0800-00004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8" name="Text Box 302">
          <a:extLst>
            <a:ext uri="{FF2B5EF4-FFF2-40B4-BE49-F238E27FC236}">
              <a16:creationId xmlns:a16="http://schemas.microsoft.com/office/drawing/2014/main" id="{00000000-0008-0000-0800-00004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9" name="Text Box 303">
          <a:extLst>
            <a:ext uri="{FF2B5EF4-FFF2-40B4-BE49-F238E27FC236}">
              <a16:creationId xmlns:a16="http://schemas.microsoft.com/office/drawing/2014/main" id="{00000000-0008-0000-0800-00004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0" name="Text Box 304">
          <a:extLst>
            <a:ext uri="{FF2B5EF4-FFF2-40B4-BE49-F238E27FC236}">
              <a16:creationId xmlns:a16="http://schemas.microsoft.com/office/drawing/2014/main" id="{00000000-0008-0000-0800-00005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1" name="Text Box 305">
          <a:extLst>
            <a:ext uri="{FF2B5EF4-FFF2-40B4-BE49-F238E27FC236}">
              <a16:creationId xmlns:a16="http://schemas.microsoft.com/office/drawing/2014/main" id="{00000000-0008-0000-0800-00005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2" name="Text Box 306">
          <a:extLst>
            <a:ext uri="{FF2B5EF4-FFF2-40B4-BE49-F238E27FC236}">
              <a16:creationId xmlns:a16="http://schemas.microsoft.com/office/drawing/2014/main" id="{00000000-0008-0000-0800-00005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3" name="Text Box 307">
          <a:extLst>
            <a:ext uri="{FF2B5EF4-FFF2-40B4-BE49-F238E27FC236}">
              <a16:creationId xmlns:a16="http://schemas.microsoft.com/office/drawing/2014/main" id="{00000000-0008-0000-0800-00005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4" name="Text Box 308">
          <a:extLst>
            <a:ext uri="{FF2B5EF4-FFF2-40B4-BE49-F238E27FC236}">
              <a16:creationId xmlns:a16="http://schemas.microsoft.com/office/drawing/2014/main" id="{00000000-0008-0000-0800-00005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5" name="Text Box 309">
          <a:extLst>
            <a:ext uri="{FF2B5EF4-FFF2-40B4-BE49-F238E27FC236}">
              <a16:creationId xmlns:a16="http://schemas.microsoft.com/office/drawing/2014/main" id="{00000000-0008-0000-0800-00005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6" name="Text Box 310">
          <a:extLst>
            <a:ext uri="{FF2B5EF4-FFF2-40B4-BE49-F238E27FC236}">
              <a16:creationId xmlns:a16="http://schemas.microsoft.com/office/drawing/2014/main" id="{00000000-0008-0000-0800-00005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7" name="Text Box 311">
          <a:extLst>
            <a:ext uri="{FF2B5EF4-FFF2-40B4-BE49-F238E27FC236}">
              <a16:creationId xmlns:a16="http://schemas.microsoft.com/office/drawing/2014/main" id="{00000000-0008-0000-0800-00005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8" name="Text Box 312">
          <a:extLst>
            <a:ext uri="{FF2B5EF4-FFF2-40B4-BE49-F238E27FC236}">
              <a16:creationId xmlns:a16="http://schemas.microsoft.com/office/drawing/2014/main" id="{00000000-0008-0000-0800-00005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9" name="Text Box 313">
          <a:extLst>
            <a:ext uri="{FF2B5EF4-FFF2-40B4-BE49-F238E27FC236}">
              <a16:creationId xmlns:a16="http://schemas.microsoft.com/office/drawing/2014/main" id="{00000000-0008-0000-0800-00005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0" name="Text Box 314">
          <a:extLst>
            <a:ext uri="{FF2B5EF4-FFF2-40B4-BE49-F238E27FC236}">
              <a16:creationId xmlns:a16="http://schemas.microsoft.com/office/drawing/2014/main" id="{00000000-0008-0000-0800-00005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1" name="Text Box 315">
          <a:extLst>
            <a:ext uri="{FF2B5EF4-FFF2-40B4-BE49-F238E27FC236}">
              <a16:creationId xmlns:a16="http://schemas.microsoft.com/office/drawing/2014/main" id="{00000000-0008-0000-0800-00005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2" name="Text Box 316">
          <a:extLst>
            <a:ext uri="{FF2B5EF4-FFF2-40B4-BE49-F238E27FC236}">
              <a16:creationId xmlns:a16="http://schemas.microsoft.com/office/drawing/2014/main" id="{00000000-0008-0000-0800-00005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3" name="Text Box 317">
          <a:extLst>
            <a:ext uri="{FF2B5EF4-FFF2-40B4-BE49-F238E27FC236}">
              <a16:creationId xmlns:a16="http://schemas.microsoft.com/office/drawing/2014/main" id="{00000000-0008-0000-0800-00005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4" name="Text Box 318">
          <a:extLst>
            <a:ext uri="{FF2B5EF4-FFF2-40B4-BE49-F238E27FC236}">
              <a16:creationId xmlns:a16="http://schemas.microsoft.com/office/drawing/2014/main" id="{00000000-0008-0000-0800-00005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5" name="Text Box 319">
          <a:extLst>
            <a:ext uri="{FF2B5EF4-FFF2-40B4-BE49-F238E27FC236}">
              <a16:creationId xmlns:a16="http://schemas.microsoft.com/office/drawing/2014/main" id="{00000000-0008-0000-0800-00005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6" name="Text Box 320">
          <a:extLst>
            <a:ext uri="{FF2B5EF4-FFF2-40B4-BE49-F238E27FC236}">
              <a16:creationId xmlns:a16="http://schemas.microsoft.com/office/drawing/2014/main" id="{00000000-0008-0000-0800-00006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7" name="Text Box 28">
          <a:extLst>
            <a:ext uri="{FF2B5EF4-FFF2-40B4-BE49-F238E27FC236}">
              <a16:creationId xmlns:a16="http://schemas.microsoft.com/office/drawing/2014/main" id="{00000000-0008-0000-0800-00006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8" name="Text Box 29">
          <a:extLst>
            <a:ext uri="{FF2B5EF4-FFF2-40B4-BE49-F238E27FC236}">
              <a16:creationId xmlns:a16="http://schemas.microsoft.com/office/drawing/2014/main" id="{00000000-0008-0000-0800-00006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9" name="Text Box 30">
          <a:extLst>
            <a:ext uri="{FF2B5EF4-FFF2-40B4-BE49-F238E27FC236}">
              <a16:creationId xmlns:a16="http://schemas.microsoft.com/office/drawing/2014/main" id="{00000000-0008-0000-0800-00006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0" name="Text Box 31">
          <a:extLst>
            <a:ext uri="{FF2B5EF4-FFF2-40B4-BE49-F238E27FC236}">
              <a16:creationId xmlns:a16="http://schemas.microsoft.com/office/drawing/2014/main" id="{00000000-0008-0000-0800-00006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1" name="Text Box 32">
          <a:extLst>
            <a:ext uri="{FF2B5EF4-FFF2-40B4-BE49-F238E27FC236}">
              <a16:creationId xmlns:a16="http://schemas.microsoft.com/office/drawing/2014/main" id="{00000000-0008-0000-0800-00006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2" name="Text Box 33">
          <a:extLst>
            <a:ext uri="{FF2B5EF4-FFF2-40B4-BE49-F238E27FC236}">
              <a16:creationId xmlns:a16="http://schemas.microsoft.com/office/drawing/2014/main" id="{00000000-0008-0000-0800-00006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3" name="Text Box 34">
          <a:extLst>
            <a:ext uri="{FF2B5EF4-FFF2-40B4-BE49-F238E27FC236}">
              <a16:creationId xmlns:a16="http://schemas.microsoft.com/office/drawing/2014/main" id="{00000000-0008-0000-0800-00006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4" name="Text Box 35">
          <a:extLst>
            <a:ext uri="{FF2B5EF4-FFF2-40B4-BE49-F238E27FC236}">
              <a16:creationId xmlns:a16="http://schemas.microsoft.com/office/drawing/2014/main" id="{00000000-0008-0000-0800-00006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5" name="Text Box 36">
          <a:extLst>
            <a:ext uri="{FF2B5EF4-FFF2-40B4-BE49-F238E27FC236}">
              <a16:creationId xmlns:a16="http://schemas.microsoft.com/office/drawing/2014/main" id="{00000000-0008-0000-0800-00006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6" name="Text Box 37">
          <a:extLst>
            <a:ext uri="{FF2B5EF4-FFF2-40B4-BE49-F238E27FC236}">
              <a16:creationId xmlns:a16="http://schemas.microsoft.com/office/drawing/2014/main" id="{00000000-0008-0000-0800-00006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7" name="Text Box 38">
          <a:extLst>
            <a:ext uri="{FF2B5EF4-FFF2-40B4-BE49-F238E27FC236}">
              <a16:creationId xmlns:a16="http://schemas.microsoft.com/office/drawing/2014/main" id="{00000000-0008-0000-0800-00006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8" name="Text Box 39">
          <a:extLst>
            <a:ext uri="{FF2B5EF4-FFF2-40B4-BE49-F238E27FC236}">
              <a16:creationId xmlns:a16="http://schemas.microsoft.com/office/drawing/2014/main" id="{00000000-0008-0000-0800-00006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9" name="Text Box 40">
          <a:extLst>
            <a:ext uri="{FF2B5EF4-FFF2-40B4-BE49-F238E27FC236}">
              <a16:creationId xmlns:a16="http://schemas.microsoft.com/office/drawing/2014/main" id="{00000000-0008-0000-0800-00006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0" name="Text Box 41">
          <a:extLst>
            <a:ext uri="{FF2B5EF4-FFF2-40B4-BE49-F238E27FC236}">
              <a16:creationId xmlns:a16="http://schemas.microsoft.com/office/drawing/2014/main" id="{00000000-0008-0000-0800-00006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1" name="Text Box 42">
          <a:extLst>
            <a:ext uri="{FF2B5EF4-FFF2-40B4-BE49-F238E27FC236}">
              <a16:creationId xmlns:a16="http://schemas.microsoft.com/office/drawing/2014/main" id="{00000000-0008-0000-0800-00006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2" name="Text Box 43">
          <a:extLst>
            <a:ext uri="{FF2B5EF4-FFF2-40B4-BE49-F238E27FC236}">
              <a16:creationId xmlns:a16="http://schemas.microsoft.com/office/drawing/2014/main" id="{00000000-0008-0000-0800-00007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3" name="Text Box 44">
          <a:extLst>
            <a:ext uri="{FF2B5EF4-FFF2-40B4-BE49-F238E27FC236}">
              <a16:creationId xmlns:a16="http://schemas.microsoft.com/office/drawing/2014/main" id="{00000000-0008-0000-0800-00007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4" name="Text Box 45">
          <a:extLst>
            <a:ext uri="{FF2B5EF4-FFF2-40B4-BE49-F238E27FC236}">
              <a16:creationId xmlns:a16="http://schemas.microsoft.com/office/drawing/2014/main" id="{00000000-0008-0000-0800-00007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5" name="Text Box 46">
          <a:extLst>
            <a:ext uri="{FF2B5EF4-FFF2-40B4-BE49-F238E27FC236}">
              <a16:creationId xmlns:a16="http://schemas.microsoft.com/office/drawing/2014/main" id="{00000000-0008-0000-0800-00007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6" name="Text Box 47">
          <a:extLst>
            <a:ext uri="{FF2B5EF4-FFF2-40B4-BE49-F238E27FC236}">
              <a16:creationId xmlns:a16="http://schemas.microsoft.com/office/drawing/2014/main" id="{00000000-0008-0000-0800-00007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7" name="Text Box 48">
          <a:extLst>
            <a:ext uri="{FF2B5EF4-FFF2-40B4-BE49-F238E27FC236}">
              <a16:creationId xmlns:a16="http://schemas.microsoft.com/office/drawing/2014/main" id="{00000000-0008-0000-0800-00007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8" name="Text Box 49">
          <a:extLst>
            <a:ext uri="{FF2B5EF4-FFF2-40B4-BE49-F238E27FC236}">
              <a16:creationId xmlns:a16="http://schemas.microsoft.com/office/drawing/2014/main" id="{00000000-0008-0000-0800-00007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9" name="Text Box 50">
          <a:extLst>
            <a:ext uri="{FF2B5EF4-FFF2-40B4-BE49-F238E27FC236}">
              <a16:creationId xmlns:a16="http://schemas.microsoft.com/office/drawing/2014/main" id="{00000000-0008-0000-0800-00007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0" name="Text Box 51">
          <a:extLst>
            <a:ext uri="{FF2B5EF4-FFF2-40B4-BE49-F238E27FC236}">
              <a16:creationId xmlns:a16="http://schemas.microsoft.com/office/drawing/2014/main" id="{00000000-0008-0000-0800-00007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1" name="Text Box 52">
          <a:extLst>
            <a:ext uri="{FF2B5EF4-FFF2-40B4-BE49-F238E27FC236}">
              <a16:creationId xmlns:a16="http://schemas.microsoft.com/office/drawing/2014/main" id="{00000000-0008-0000-0800-00007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2" name="Text Box 53">
          <a:extLst>
            <a:ext uri="{FF2B5EF4-FFF2-40B4-BE49-F238E27FC236}">
              <a16:creationId xmlns:a16="http://schemas.microsoft.com/office/drawing/2014/main" id="{00000000-0008-0000-0800-00007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3" name="Text Box 54">
          <a:extLst>
            <a:ext uri="{FF2B5EF4-FFF2-40B4-BE49-F238E27FC236}">
              <a16:creationId xmlns:a16="http://schemas.microsoft.com/office/drawing/2014/main" id="{00000000-0008-0000-0800-00007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4" name="Text Box 55">
          <a:extLst>
            <a:ext uri="{FF2B5EF4-FFF2-40B4-BE49-F238E27FC236}">
              <a16:creationId xmlns:a16="http://schemas.microsoft.com/office/drawing/2014/main" id="{00000000-0008-0000-0800-00007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5" name="Text Box 56">
          <a:extLst>
            <a:ext uri="{FF2B5EF4-FFF2-40B4-BE49-F238E27FC236}">
              <a16:creationId xmlns:a16="http://schemas.microsoft.com/office/drawing/2014/main" id="{00000000-0008-0000-0800-00007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6" name="Text Box 57">
          <a:extLst>
            <a:ext uri="{FF2B5EF4-FFF2-40B4-BE49-F238E27FC236}">
              <a16:creationId xmlns:a16="http://schemas.microsoft.com/office/drawing/2014/main" id="{00000000-0008-0000-0800-00007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7" name="Text Box 58">
          <a:extLst>
            <a:ext uri="{FF2B5EF4-FFF2-40B4-BE49-F238E27FC236}">
              <a16:creationId xmlns:a16="http://schemas.microsoft.com/office/drawing/2014/main" id="{00000000-0008-0000-0800-00007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8" name="Text Box 59">
          <a:extLst>
            <a:ext uri="{FF2B5EF4-FFF2-40B4-BE49-F238E27FC236}">
              <a16:creationId xmlns:a16="http://schemas.microsoft.com/office/drawing/2014/main" id="{00000000-0008-0000-0800-00008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9" name="Text Box 60">
          <a:extLst>
            <a:ext uri="{FF2B5EF4-FFF2-40B4-BE49-F238E27FC236}">
              <a16:creationId xmlns:a16="http://schemas.microsoft.com/office/drawing/2014/main" id="{00000000-0008-0000-0800-00008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0" name="Text Box 61">
          <a:extLst>
            <a:ext uri="{FF2B5EF4-FFF2-40B4-BE49-F238E27FC236}">
              <a16:creationId xmlns:a16="http://schemas.microsoft.com/office/drawing/2014/main" id="{00000000-0008-0000-0800-00008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1" name="Text Box 62">
          <a:extLst>
            <a:ext uri="{FF2B5EF4-FFF2-40B4-BE49-F238E27FC236}">
              <a16:creationId xmlns:a16="http://schemas.microsoft.com/office/drawing/2014/main" id="{00000000-0008-0000-0800-00008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2" name="Text Box 63">
          <a:extLst>
            <a:ext uri="{FF2B5EF4-FFF2-40B4-BE49-F238E27FC236}">
              <a16:creationId xmlns:a16="http://schemas.microsoft.com/office/drawing/2014/main" id="{00000000-0008-0000-0800-00008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3" name="Text Box 64">
          <a:extLst>
            <a:ext uri="{FF2B5EF4-FFF2-40B4-BE49-F238E27FC236}">
              <a16:creationId xmlns:a16="http://schemas.microsoft.com/office/drawing/2014/main" id="{00000000-0008-0000-0800-00008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4" name="Text Box 65">
          <a:extLst>
            <a:ext uri="{FF2B5EF4-FFF2-40B4-BE49-F238E27FC236}">
              <a16:creationId xmlns:a16="http://schemas.microsoft.com/office/drawing/2014/main" id="{00000000-0008-0000-0800-00008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5" name="Text Box 66">
          <a:extLst>
            <a:ext uri="{FF2B5EF4-FFF2-40B4-BE49-F238E27FC236}">
              <a16:creationId xmlns:a16="http://schemas.microsoft.com/office/drawing/2014/main" id="{00000000-0008-0000-0800-00008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6" name="Text Box 67">
          <a:extLst>
            <a:ext uri="{FF2B5EF4-FFF2-40B4-BE49-F238E27FC236}">
              <a16:creationId xmlns:a16="http://schemas.microsoft.com/office/drawing/2014/main" id="{00000000-0008-0000-0800-00008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7" name="Text Box 68">
          <a:extLst>
            <a:ext uri="{FF2B5EF4-FFF2-40B4-BE49-F238E27FC236}">
              <a16:creationId xmlns:a16="http://schemas.microsoft.com/office/drawing/2014/main" id="{00000000-0008-0000-0800-00008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8" name="Text Box 69">
          <a:extLst>
            <a:ext uri="{FF2B5EF4-FFF2-40B4-BE49-F238E27FC236}">
              <a16:creationId xmlns:a16="http://schemas.microsoft.com/office/drawing/2014/main" id="{00000000-0008-0000-0800-00008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9" name="Text Box 70">
          <a:extLst>
            <a:ext uri="{FF2B5EF4-FFF2-40B4-BE49-F238E27FC236}">
              <a16:creationId xmlns:a16="http://schemas.microsoft.com/office/drawing/2014/main" id="{00000000-0008-0000-0800-00008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0" name="Text Box 71">
          <a:extLst>
            <a:ext uri="{FF2B5EF4-FFF2-40B4-BE49-F238E27FC236}">
              <a16:creationId xmlns:a16="http://schemas.microsoft.com/office/drawing/2014/main" id="{00000000-0008-0000-0800-00008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1" name="Text Box 72">
          <a:extLst>
            <a:ext uri="{FF2B5EF4-FFF2-40B4-BE49-F238E27FC236}">
              <a16:creationId xmlns:a16="http://schemas.microsoft.com/office/drawing/2014/main" id="{00000000-0008-0000-0800-00008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2" name="Text Box 73">
          <a:extLst>
            <a:ext uri="{FF2B5EF4-FFF2-40B4-BE49-F238E27FC236}">
              <a16:creationId xmlns:a16="http://schemas.microsoft.com/office/drawing/2014/main" id="{00000000-0008-0000-0800-00008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3" name="Text Box 74">
          <a:extLst>
            <a:ext uri="{FF2B5EF4-FFF2-40B4-BE49-F238E27FC236}">
              <a16:creationId xmlns:a16="http://schemas.microsoft.com/office/drawing/2014/main" id="{00000000-0008-0000-0800-00008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4" name="Text Box 75">
          <a:extLst>
            <a:ext uri="{FF2B5EF4-FFF2-40B4-BE49-F238E27FC236}">
              <a16:creationId xmlns:a16="http://schemas.microsoft.com/office/drawing/2014/main" id="{00000000-0008-0000-0800-00009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5" name="Text Box 76">
          <a:extLst>
            <a:ext uri="{FF2B5EF4-FFF2-40B4-BE49-F238E27FC236}">
              <a16:creationId xmlns:a16="http://schemas.microsoft.com/office/drawing/2014/main" id="{00000000-0008-0000-0800-00009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6" name="Text Box 77">
          <a:extLst>
            <a:ext uri="{FF2B5EF4-FFF2-40B4-BE49-F238E27FC236}">
              <a16:creationId xmlns:a16="http://schemas.microsoft.com/office/drawing/2014/main" id="{00000000-0008-0000-0800-00009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7" name="Text Box 78">
          <a:extLst>
            <a:ext uri="{FF2B5EF4-FFF2-40B4-BE49-F238E27FC236}">
              <a16:creationId xmlns:a16="http://schemas.microsoft.com/office/drawing/2014/main" id="{00000000-0008-0000-0800-00009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8" name="Text Box 79">
          <a:extLst>
            <a:ext uri="{FF2B5EF4-FFF2-40B4-BE49-F238E27FC236}">
              <a16:creationId xmlns:a16="http://schemas.microsoft.com/office/drawing/2014/main" id="{00000000-0008-0000-0800-00009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9" name="Text Box 80">
          <a:extLst>
            <a:ext uri="{FF2B5EF4-FFF2-40B4-BE49-F238E27FC236}">
              <a16:creationId xmlns:a16="http://schemas.microsoft.com/office/drawing/2014/main" id="{00000000-0008-0000-0800-00009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0" name="Text Box 81">
          <a:extLst>
            <a:ext uri="{FF2B5EF4-FFF2-40B4-BE49-F238E27FC236}">
              <a16:creationId xmlns:a16="http://schemas.microsoft.com/office/drawing/2014/main" id="{00000000-0008-0000-0800-00009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1" name="Text Box 82">
          <a:extLst>
            <a:ext uri="{FF2B5EF4-FFF2-40B4-BE49-F238E27FC236}">
              <a16:creationId xmlns:a16="http://schemas.microsoft.com/office/drawing/2014/main" id="{00000000-0008-0000-0800-00009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2" name="Text Box 83">
          <a:extLst>
            <a:ext uri="{FF2B5EF4-FFF2-40B4-BE49-F238E27FC236}">
              <a16:creationId xmlns:a16="http://schemas.microsoft.com/office/drawing/2014/main" id="{00000000-0008-0000-0800-00009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3" name="Text Box 84">
          <a:extLst>
            <a:ext uri="{FF2B5EF4-FFF2-40B4-BE49-F238E27FC236}">
              <a16:creationId xmlns:a16="http://schemas.microsoft.com/office/drawing/2014/main" id="{00000000-0008-0000-0800-00009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4" name="Text Box 85">
          <a:extLst>
            <a:ext uri="{FF2B5EF4-FFF2-40B4-BE49-F238E27FC236}">
              <a16:creationId xmlns:a16="http://schemas.microsoft.com/office/drawing/2014/main" id="{00000000-0008-0000-0800-00009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5" name="Text Box 86">
          <a:extLst>
            <a:ext uri="{FF2B5EF4-FFF2-40B4-BE49-F238E27FC236}">
              <a16:creationId xmlns:a16="http://schemas.microsoft.com/office/drawing/2014/main" id="{00000000-0008-0000-0800-00009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6" name="Text Box 87">
          <a:extLst>
            <a:ext uri="{FF2B5EF4-FFF2-40B4-BE49-F238E27FC236}">
              <a16:creationId xmlns:a16="http://schemas.microsoft.com/office/drawing/2014/main" id="{00000000-0008-0000-0800-00009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7" name="Text Box 88">
          <a:extLst>
            <a:ext uri="{FF2B5EF4-FFF2-40B4-BE49-F238E27FC236}">
              <a16:creationId xmlns:a16="http://schemas.microsoft.com/office/drawing/2014/main" id="{00000000-0008-0000-0800-00009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8" name="Text Box 89">
          <a:extLst>
            <a:ext uri="{FF2B5EF4-FFF2-40B4-BE49-F238E27FC236}">
              <a16:creationId xmlns:a16="http://schemas.microsoft.com/office/drawing/2014/main" id="{00000000-0008-0000-0800-00009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9" name="Text Box 90">
          <a:extLst>
            <a:ext uri="{FF2B5EF4-FFF2-40B4-BE49-F238E27FC236}">
              <a16:creationId xmlns:a16="http://schemas.microsoft.com/office/drawing/2014/main" id="{00000000-0008-0000-0800-00009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0" name="Text Box 91">
          <a:extLst>
            <a:ext uri="{FF2B5EF4-FFF2-40B4-BE49-F238E27FC236}">
              <a16:creationId xmlns:a16="http://schemas.microsoft.com/office/drawing/2014/main" id="{00000000-0008-0000-0800-0000A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1" name="Text Box 92">
          <a:extLst>
            <a:ext uri="{FF2B5EF4-FFF2-40B4-BE49-F238E27FC236}">
              <a16:creationId xmlns:a16="http://schemas.microsoft.com/office/drawing/2014/main" id="{00000000-0008-0000-0800-0000A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2" name="Text Box 93">
          <a:extLst>
            <a:ext uri="{FF2B5EF4-FFF2-40B4-BE49-F238E27FC236}">
              <a16:creationId xmlns:a16="http://schemas.microsoft.com/office/drawing/2014/main" id="{00000000-0008-0000-0800-0000A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3" name="Text Box 94">
          <a:extLst>
            <a:ext uri="{FF2B5EF4-FFF2-40B4-BE49-F238E27FC236}">
              <a16:creationId xmlns:a16="http://schemas.microsoft.com/office/drawing/2014/main" id="{00000000-0008-0000-0800-0000A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4" name="Text Box 95">
          <a:extLst>
            <a:ext uri="{FF2B5EF4-FFF2-40B4-BE49-F238E27FC236}">
              <a16:creationId xmlns:a16="http://schemas.microsoft.com/office/drawing/2014/main" id="{00000000-0008-0000-0800-0000A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5" name="Text Box 96">
          <a:extLst>
            <a:ext uri="{FF2B5EF4-FFF2-40B4-BE49-F238E27FC236}">
              <a16:creationId xmlns:a16="http://schemas.microsoft.com/office/drawing/2014/main" id="{00000000-0008-0000-0800-0000A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6" name="Text Box 97">
          <a:extLst>
            <a:ext uri="{FF2B5EF4-FFF2-40B4-BE49-F238E27FC236}">
              <a16:creationId xmlns:a16="http://schemas.microsoft.com/office/drawing/2014/main" id="{00000000-0008-0000-0800-0000A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7" name="Text Box 100">
          <a:extLst>
            <a:ext uri="{FF2B5EF4-FFF2-40B4-BE49-F238E27FC236}">
              <a16:creationId xmlns:a16="http://schemas.microsoft.com/office/drawing/2014/main" id="{00000000-0008-0000-0800-0000A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8" name="Text Box 101">
          <a:extLst>
            <a:ext uri="{FF2B5EF4-FFF2-40B4-BE49-F238E27FC236}">
              <a16:creationId xmlns:a16="http://schemas.microsoft.com/office/drawing/2014/main" id="{00000000-0008-0000-0800-0000A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9" name="Text Box 102">
          <a:extLst>
            <a:ext uri="{FF2B5EF4-FFF2-40B4-BE49-F238E27FC236}">
              <a16:creationId xmlns:a16="http://schemas.microsoft.com/office/drawing/2014/main" id="{00000000-0008-0000-0800-0000A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0" name="Text Box 103">
          <a:extLst>
            <a:ext uri="{FF2B5EF4-FFF2-40B4-BE49-F238E27FC236}">
              <a16:creationId xmlns:a16="http://schemas.microsoft.com/office/drawing/2014/main" id="{00000000-0008-0000-0800-0000A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1" name="Text Box 104">
          <a:extLst>
            <a:ext uri="{FF2B5EF4-FFF2-40B4-BE49-F238E27FC236}">
              <a16:creationId xmlns:a16="http://schemas.microsoft.com/office/drawing/2014/main" id="{00000000-0008-0000-0800-0000A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2" name="Text Box 105">
          <a:extLst>
            <a:ext uri="{FF2B5EF4-FFF2-40B4-BE49-F238E27FC236}">
              <a16:creationId xmlns:a16="http://schemas.microsoft.com/office/drawing/2014/main" id="{00000000-0008-0000-0800-0000A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3" name="Text Box 106">
          <a:extLst>
            <a:ext uri="{FF2B5EF4-FFF2-40B4-BE49-F238E27FC236}">
              <a16:creationId xmlns:a16="http://schemas.microsoft.com/office/drawing/2014/main" id="{00000000-0008-0000-0800-0000A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4" name="Text Box 107">
          <a:extLst>
            <a:ext uri="{FF2B5EF4-FFF2-40B4-BE49-F238E27FC236}">
              <a16:creationId xmlns:a16="http://schemas.microsoft.com/office/drawing/2014/main" id="{00000000-0008-0000-0800-0000A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5" name="Text Box 108">
          <a:extLst>
            <a:ext uri="{FF2B5EF4-FFF2-40B4-BE49-F238E27FC236}">
              <a16:creationId xmlns:a16="http://schemas.microsoft.com/office/drawing/2014/main" id="{00000000-0008-0000-0800-0000A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6" name="Text Box 109">
          <a:extLst>
            <a:ext uri="{FF2B5EF4-FFF2-40B4-BE49-F238E27FC236}">
              <a16:creationId xmlns:a16="http://schemas.microsoft.com/office/drawing/2014/main" id="{00000000-0008-0000-0800-0000B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7" name="Text Box 110">
          <a:extLst>
            <a:ext uri="{FF2B5EF4-FFF2-40B4-BE49-F238E27FC236}">
              <a16:creationId xmlns:a16="http://schemas.microsoft.com/office/drawing/2014/main" id="{00000000-0008-0000-0800-0000B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8" name="Text Box 111">
          <a:extLst>
            <a:ext uri="{FF2B5EF4-FFF2-40B4-BE49-F238E27FC236}">
              <a16:creationId xmlns:a16="http://schemas.microsoft.com/office/drawing/2014/main" id="{00000000-0008-0000-0800-0000B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9" name="Text Box 119">
          <a:extLst>
            <a:ext uri="{FF2B5EF4-FFF2-40B4-BE49-F238E27FC236}">
              <a16:creationId xmlns:a16="http://schemas.microsoft.com/office/drawing/2014/main" id="{00000000-0008-0000-0800-0000B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0" name="Text Box 120">
          <a:extLst>
            <a:ext uri="{FF2B5EF4-FFF2-40B4-BE49-F238E27FC236}">
              <a16:creationId xmlns:a16="http://schemas.microsoft.com/office/drawing/2014/main" id="{00000000-0008-0000-0800-0000B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1" name="Text Box 121">
          <a:extLst>
            <a:ext uri="{FF2B5EF4-FFF2-40B4-BE49-F238E27FC236}">
              <a16:creationId xmlns:a16="http://schemas.microsoft.com/office/drawing/2014/main" id="{00000000-0008-0000-0800-0000B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2" name="Text Box 122">
          <a:extLst>
            <a:ext uri="{FF2B5EF4-FFF2-40B4-BE49-F238E27FC236}">
              <a16:creationId xmlns:a16="http://schemas.microsoft.com/office/drawing/2014/main" id="{00000000-0008-0000-0800-0000B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3" name="Text Box 123">
          <a:extLst>
            <a:ext uri="{FF2B5EF4-FFF2-40B4-BE49-F238E27FC236}">
              <a16:creationId xmlns:a16="http://schemas.microsoft.com/office/drawing/2014/main" id="{00000000-0008-0000-0800-0000B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4" name="Text Box 124">
          <a:extLst>
            <a:ext uri="{FF2B5EF4-FFF2-40B4-BE49-F238E27FC236}">
              <a16:creationId xmlns:a16="http://schemas.microsoft.com/office/drawing/2014/main" id="{00000000-0008-0000-0800-0000B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5" name="Text Box 125">
          <a:extLst>
            <a:ext uri="{FF2B5EF4-FFF2-40B4-BE49-F238E27FC236}">
              <a16:creationId xmlns:a16="http://schemas.microsoft.com/office/drawing/2014/main" id="{00000000-0008-0000-0800-0000B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6" name="Text Box 126">
          <a:extLst>
            <a:ext uri="{FF2B5EF4-FFF2-40B4-BE49-F238E27FC236}">
              <a16:creationId xmlns:a16="http://schemas.microsoft.com/office/drawing/2014/main" id="{00000000-0008-0000-0800-0000B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7" name="Text Box 127">
          <a:extLst>
            <a:ext uri="{FF2B5EF4-FFF2-40B4-BE49-F238E27FC236}">
              <a16:creationId xmlns:a16="http://schemas.microsoft.com/office/drawing/2014/main" id="{00000000-0008-0000-0800-0000B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8" name="Text Box 128">
          <a:extLst>
            <a:ext uri="{FF2B5EF4-FFF2-40B4-BE49-F238E27FC236}">
              <a16:creationId xmlns:a16="http://schemas.microsoft.com/office/drawing/2014/main" id="{00000000-0008-0000-0800-0000B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9" name="Text Box 129">
          <a:extLst>
            <a:ext uri="{FF2B5EF4-FFF2-40B4-BE49-F238E27FC236}">
              <a16:creationId xmlns:a16="http://schemas.microsoft.com/office/drawing/2014/main" id="{00000000-0008-0000-0800-0000B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30" name="Text Box 130">
          <a:extLst>
            <a:ext uri="{FF2B5EF4-FFF2-40B4-BE49-F238E27FC236}">
              <a16:creationId xmlns:a16="http://schemas.microsoft.com/office/drawing/2014/main" id="{00000000-0008-0000-0800-0000B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1" name="Text Box 133">
          <a:extLst>
            <a:ext uri="{FF2B5EF4-FFF2-40B4-BE49-F238E27FC236}">
              <a16:creationId xmlns:a16="http://schemas.microsoft.com/office/drawing/2014/main" id="{00000000-0008-0000-0800-0000B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2" name="Text Box 134">
          <a:extLst>
            <a:ext uri="{FF2B5EF4-FFF2-40B4-BE49-F238E27FC236}">
              <a16:creationId xmlns:a16="http://schemas.microsoft.com/office/drawing/2014/main" id="{00000000-0008-0000-0800-0000C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3" name="Text Box 135">
          <a:extLst>
            <a:ext uri="{FF2B5EF4-FFF2-40B4-BE49-F238E27FC236}">
              <a16:creationId xmlns:a16="http://schemas.microsoft.com/office/drawing/2014/main" id="{00000000-0008-0000-0800-0000C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4" name="Text Box 136">
          <a:extLst>
            <a:ext uri="{FF2B5EF4-FFF2-40B4-BE49-F238E27FC236}">
              <a16:creationId xmlns:a16="http://schemas.microsoft.com/office/drawing/2014/main" id="{00000000-0008-0000-0800-0000C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5" name="Text Box 137">
          <a:extLst>
            <a:ext uri="{FF2B5EF4-FFF2-40B4-BE49-F238E27FC236}">
              <a16:creationId xmlns:a16="http://schemas.microsoft.com/office/drawing/2014/main" id="{00000000-0008-0000-0800-0000C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6" name="Text Box 138">
          <a:extLst>
            <a:ext uri="{FF2B5EF4-FFF2-40B4-BE49-F238E27FC236}">
              <a16:creationId xmlns:a16="http://schemas.microsoft.com/office/drawing/2014/main" id="{00000000-0008-0000-0800-0000C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7" name="Text Box 139">
          <a:extLst>
            <a:ext uri="{FF2B5EF4-FFF2-40B4-BE49-F238E27FC236}">
              <a16:creationId xmlns:a16="http://schemas.microsoft.com/office/drawing/2014/main" id="{00000000-0008-0000-0800-0000C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8" name="Text Box 140">
          <a:extLst>
            <a:ext uri="{FF2B5EF4-FFF2-40B4-BE49-F238E27FC236}">
              <a16:creationId xmlns:a16="http://schemas.microsoft.com/office/drawing/2014/main" id="{00000000-0008-0000-0800-0000C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9" name="Text Box 141">
          <a:extLst>
            <a:ext uri="{FF2B5EF4-FFF2-40B4-BE49-F238E27FC236}">
              <a16:creationId xmlns:a16="http://schemas.microsoft.com/office/drawing/2014/main" id="{00000000-0008-0000-0800-0000C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0" name="Text Box 142">
          <a:extLst>
            <a:ext uri="{FF2B5EF4-FFF2-40B4-BE49-F238E27FC236}">
              <a16:creationId xmlns:a16="http://schemas.microsoft.com/office/drawing/2014/main" id="{00000000-0008-0000-0800-0000C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1" name="Text Box 143">
          <a:extLst>
            <a:ext uri="{FF2B5EF4-FFF2-40B4-BE49-F238E27FC236}">
              <a16:creationId xmlns:a16="http://schemas.microsoft.com/office/drawing/2014/main" id="{00000000-0008-0000-0800-0000C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2" name="Text Box 144">
          <a:extLst>
            <a:ext uri="{FF2B5EF4-FFF2-40B4-BE49-F238E27FC236}">
              <a16:creationId xmlns:a16="http://schemas.microsoft.com/office/drawing/2014/main" id="{00000000-0008-0000-0800-0000C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3" name="Text Box 145">
          <a:extLst>
            <a:ext uri="{FF2B5EF4-FFF2-40B4-BE49-F238E27FC236}">
              <a16:creationId xmlns:a16="http://schemas.microsoft.com/office/drawing/2014/main" id="{00000000-0008-0000-0800-0000C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4" name="Text Box 146">
          <a:extLst>
            <a:ext uri="{FF2B5EF4-FFF2-40B4-BE49-F238E27FC236}">
              <a16:creationId xmlns:a16="http://schemas.microsoft.com/office/drawing/2014/main" id="{00000000-0008-0000-0800-0000C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5" name="Text Box 147">
          <a:extLst>
            <a:ext uri="{FF2B5EF4-FFF2-40B4-BE49-F238E27FC236}">
              <a16:creationId xmlns:a16="http://schemas.microsoft.com/office/drawing/2014/main" id="{00000000-0008-0000-0800-0000C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6" name="Text Box 148">
          <a:extLst>
            <a:ext uri="{FF2B5EF4-FFF2-40B4-BE49-F238E27FC236}">
              <a16:creationId xmlns:a16="http://schemas.microsoft.com/office/drawing/2014/main" id="{00000000-0008-0000-0800-0000C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7" name="Text Box 149">
          <a:extLst>
            <a:ext uri="{FF2B5EF4-FFF2-40B4-BE49-F238E27FC236}">
              <a16:creationId xmlns:a16="http://schemas.microsoft.com/office/drawing/2014/main" id="{00000000-0008-0000-0800-0000C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8" name="Text Box 150">
          <a:extLst>
            <a:ext uri="{FF2B5EF4-FFF2-40B4-BE49-F238E27FC236}">
              <a16:creationId xmlns:a16="http://schemas.microsoft.com/office/drawing/2014/main" id="{00000000-0008-0000-0800-0000D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9" name="Text Box 151">
          <a:extLst>
            <a:ext uri="{FF2B5EF4-FFF2-40B4-BE49-F238E27FC236}">
              <a16:creationId xmlns:a16="http://schemas.microsoft.com/office/drawing/2014/main" id="{00000000-0008-0000-0800-0000D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0" name="Text Box 152">
          <a:extLst>
            <a:ext uri="{FF2B5EF4-FFF2-40B4-BE49-F238E27FC236}">
              <a16:creationId xmlns:a16="http://schemas.microsoft.com/office/drawing/2014/main" id="{00000000-0008-0000-0800-0000D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1" name="Text Box 153">
          <a:extLst>
            <a:ext uri="{FF2B5EF4-FFF2-40B4-BE49-F238E27FC236}">
              <a16:creationId xmlns:a16="http://schemas.microsoft.com/office/drawing/2014/main" id="{00000000-0008-0000-0800-0000D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2" name="Text Box 154">
          <a:extLst>
            <a:ext uri="{FF2B5EF4-FFF2-40B4-BE49-F238E27FC236}">
              <a16:creationId xmlns:a16="http://schemas.microsoft.com/office/drawing/2014/main" id="{00000000-0008-0000-0800-0000D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3" name="Text Box 155">
          <a:extLst>
            <a:ext uri="{FF2B5EF4-FFF2-40B4-BE49-F238E27FC236}">
              <a16:creationId xmlns:a16="http://schemas.microsoft.com/office/drawing/2014/main" id="{00000000-0008-0000-0800-0000D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4" name="Text Box 156">
          <a:extLst>
            <a:ext uri="{FF2B5EF4-FFF2-40B4-BE49-F238E27FC236}">
              <a16:creationId xmlns:a16="http://schemas.microsoft.com/office/drawing/2014/main" id="{00000000-0008-0000-0800-0000D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5" name="Text Box 157">
          <a:extLst>
            <a:ext uri="{FF2B5EF4-FFF2-40B4-BE49-F238E27FC236}">
              <a16:creationId xmlns:a16="http://schemas.microsoft.com/office/drawing/2014/main" id="{00000000-0008-0000-0800-0000D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6" name="Text Box 158">
          <a:extLst>
            <a:ext uri="{FF2B5EF4-FFF2-40B4-BE49-F238E27FC236}">
              <a16:creationId xmlns:a16="http://schemas.microsoft.com/office/drawing/2014/main" id="{00000000-0008-0000-0800-0000D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7" name="Text Box 159">
          <a:extLst>
            <a:ext uri="{FF2B5EF4-FFF2-40B4-BE49-F238E27FC236}">
              <a16:creationId xmlns:a16="http://schemas.microsoft.com/office/drawing/2014/main" id="{00000000-0008-0000-0800-0000D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8" name="Text Box 160">
          <a:extLst>
            <a:ext uri="{FF2B5EF4-FFF2-40B4-BE49-F238E27FC236}">
              <a16:creationId xmlns:a16="http://schemas.microsoft.com/office/drawing/2014/main" id="{00000000-0008-0000-0800-0000D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9" name="Text Box 161">
          <a:extLst>
            <a:ext uri="{FF2B5EF4-FFF2-40B4-BE49-F238E27FC236}">
              <a16:creationId xmlns:a16="http://schemas.microsoft.com/office/drawing/2014/main" id="{00000000-0008-0000-0800-0000D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0" name="Text Box 162">
          <a:extLst>
            <a:ext uri="{FF2B5EF4-FFF2-40B4-BE49-F238E27FC236}">
              <a16:creationId xmlns:a16="http://schemas.microsoft.com/office/drawing/2014/main" id="{00000000-0008-0000-0800-0000D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1" name="Text Box 163">
          <a:extLst>
            <a:ext uri="{FF2B5EF4-FFF2-40B4-BE49-F238E27FC236}">
              <a16:creationId xmlns:a16="http://schemas.microsoft.com/office/drawing/2014/main" id="{00000000-0008-0000-0800-0000D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2" name="Text Box 164">
          <a:extLst>
            <a:ext uri="{FF2B5EF4-FFF2-40B4-BE49-F238E27FC236}">
              <a16:creationId xmlns:a16="http://schemas.microsoft.com/office/drawing/2014/main" id="{00000000-0008-0000-0800-0000D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3" name="Text Box 165">
          <a:extLst>
            <a:ext uri="{FF2B5EF4-FFF2-40B4-BE49-F238E27FC236}">
              <a16:creationId xmlns:a16="http://schemas.microsoft.com/office/drawing/2014/main" id="{00000000-0008-0000-0800-0000D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4" name="Text Box 166">
          <a:extLst>
            <a:ext uri="{FF2B5EF4-FFF2-40B4-BE49-F238E27FC236}">
              <a16:creationId xmlns:a16="http://schemas.microsoft.com/office/drawing/2014/main" id="{00000000-0008-0000-0800-0000E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5" name="Text Box 167">
          <a:extLst>
            <a:ext uri="{FF2B5EF4-FFF2-40B4-BE49-F238E27FC236}">
              <a16:creationId xmlns:a16="http://schemas.microsoft.com/office/drawing/2014/main" id="{00000000-0008-0000-0800-0000E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6" name="Text Box 168">
          <a:extLst>
            <a:ext uri="{FF2B5EF4-FFF2-40B4-BE49-F238E27FC236}">
              <a16:creationId xmlns:a16="http://schemas.microsoft.com/office/drawing/2014/main" id="{00000000-0008-0000-0800-0000E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7" name="Text Box 169">
          <a:extLst>
            <a:ext uri="{FF2B5EF4-FFF2-40B4-BE49-F238E27FC236}">
              <a16:creationId xmlns:a16="http://schemas.microsoft.com/office/drawing/2014/main" id="{00000000-0008-0000-0800-0000E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8" name="Text Box 170">
          <a:extLst>
            <a:ext uri="{FF2B5EF4-FFF2-40B4-BE49-F238E27FC236}">
              <a16:creationId xmlns:a16="http://schemas.microsoft.com/office/drawing/2014/main" id="{00000000-0008-0000-0800-0000E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9" name="Text Box 171">
          <a:extLst>
            <a:ext uri="{FF2B5EF4-FFF2-40B4-BE49-F238E27FC236}">
              <a16:creationId xmlns:a16="http://schemas.microsoft.com/office/drawing/2014/main" id="{00000000-0008-0000-0800-0000E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0" name="Text Box 172">
          <a:extLst>
            <a:ext uri="{FF2B5EF4-FFF2-40B4-BE49-F238E27FC236}">
              <a16:creationId xmlns:a16="http://schemas.microsoft.com/office/drawing/2014/main" id="{00000000-0008-0000-0800-0000E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1" name="Text Box 173">
          <a:extLst>
            <a:ext uri="{FF2B5EF4-FFF2-40B4-BE49-F238E27FC236}">
              <a16:creationId xmlns:a16="http://schemas.microsoft.com/office/drawing/2014/main" id="{00000000-0008-0000-0800-0000E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2" name="Text Box 174">
          <a:extLst>
            <a:ext uri="{FF2B5EF4-FFF2-40B4-BE49-F238E27FC236}">
              <a16:creationId xmlns:a16="http://schemas.microsoft.com/office/drawing/2014/main" id="{00000000-0008-0000-0800-0000E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3" name="Text Box 175">
          <a:extLst>
            <a:ext uri="{FF2B5EF4-FFF2-40B4-BE49-F238E27FC236}">
              <a16:creationId xmlns:a16="http://schemas.microsoft.com/office/drawing/2014/main" id="{00000000-0008-0000-0800-0000E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4" name="Text Box 176">
          <a:extLst>
            <a:ext uri="{FF2B5EF4-FFF2-40B4-BE49-F238E27FC236}">
              <a16:creationId xmlns:a16="http://schemas.microsoft.com/office/drawing/2014/main" id="{00000000-0008-0000-0800-0000E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5" name="Text Box 177">
          <a:extLst>
            <a:ext uri="{FF2B5EF4-FFF2-40B4-BE49-F238E27FC236}">
              <a16:creationId xmlns:a16="http://schemas.microsoft.com/office/drawing/2014/main" id="{00000000-0008-0000-0800-0000E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6" name="Text Box 178">
          <a:extLst>
            <a:ext uri="{FF2B5EF4-FFF2-40B4-BE49-F238E27FC236}">
              <a16:creationId xmlns:a16="http://schemas.microsoft.com/office/drawing/2014/main" id="{00000000-0008-0000-0800-0000E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7" name="Text Box 179">
          <a:extLst>
            <a:ext uri="{FF2B5EF4-FFF2-40B4-BE49-F238E27FC236}">
              <a16:creationId xmlns:a16="http://schemas.microsoft.com/office/drawing/2014/main" id="{00000000-0008-0000-0800-0000E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8" name="Text Box 180">
          <a:extLst>
            <a:ext uri="{FF2B5EF4-FFF2-40B4-BE49-F238E27FC236}">
              <a16:creationId xmlns:a16="http://schemas.microsoft.com/office/drawing/2014/main" id="{00000000-0008-0000-0800-0000E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9" name="Text Box 181">
          <a:extLst>
            <a:ext uri="{FF2B5EF4-FFF2-40B4-BE49-F238E27FC236}">
              <a16:creationId xmlns:a16="http://schemas.microsoft.com/office/drawing/2014/main" id="{00000000-0008-0000-0800-0000E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0" name="Text Box 182">
          <a:extLst>
            <a:ext uri="{FF2B5EF4-FFF2-40B4-BE49-F238E27FC236}">
              <a16:creationId xmlns:a16="http://schemas.microsoft.com/office/drawing/2014/main" id="{00000000-0008-0000-0800-0000F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1" name="Text Box 183">
          <a:extLst>
            <a:ext uri="{FF2B5EF4-FFF2-40B4-BE49-F238E27FC236}">
              <a16:creationId xmlns:a16="http://schemas.microsoft.com/office/drawing/2014/main" id="{00000000-0008-0000-0800-0000F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2" name="Text Box 184">
          <a:extLst>
            <a:ext uri="{FF2B5EF4-FFF2-40B4-BE49-F238E27FC236}">
              <a16:creationId xmlns:a16="http://schemas.microsoft.com/office/drawing/2014/main" id="{00000000-0008-0000-0800-0000F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3" name="Text Box 185">
          <a:extLst>
            <a:ext uri="{FF2B5EF4-FFF2-40B4-BE49-F238E27FC236}">
              <a16:creationId xmlns:a16="http://schemas.microsoft.com/office/drawing/2014/main" id="{00000000-0008-0000-0800-0000F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4" name="Text Box 186">
          <a:extLst>
            <a:ext uri="{FF2B5EF4-FFF2-40B4-BE49-F238E27FC236}">
              <a16:creationId xmlns:a16="http://schemas.microsoft.com/office/drawing/2014/main" id="{00000000-0008-0000-0800-0000F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5" name="Text Box 187">
          <a:extLst>
            <a:ext uri="{FF2B5EF4-FFF2-40B4-BE49-F238E27FC236}">
              <a16:creationId xmlns:a16="http://schemas.microsoft.com/office/drawing/2014/main" id="{00000000-0008-0000-0800-0000F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6" name="Text Box 188">
          <a:extLst>
            <a:ext uri="{FF2B5EF4-FFF2-40B4-BE49-F238E27FC236}">
              <a16:creationId xmlns:a16="http://schemas.microsoft.com/office/drawing/2014/main" id="{00000000-0008-0000-0800-0000F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7" name="Text Box 189">
          <a:extLst>
            <a:ext uri="{FF2B5EF4-FFF2-40B4-BE49-F238E27FC236}">
              <a16:creationId xmlns:a16="http://schemas.microsoft.com/office/drawing/2014/main" id="{00000000-0008-0000-0800-0000F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8" name="Text Box 190">
          <a:extLst>
            <a:ext uri="{FF2B5EF4-FFF2-40B4-BE49-F238E27FC236}">
              <a16:creationId xmlns:a16="http://schemas.microsoft.com/office/drawing/2014/main" id="{00000000-0008-0000-0800-0000F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9" name="Text Box 191">
          <a:extLst>
            <a:ext uri="{FF2B5EF4-FFF2-40B4-BE49-F238E27FC236}">
              <a16:creationId xmlns:a16="http://schemas.microsoft.com/office/drawing/2014/main" id="{00000000-0008-0000-0800-0000F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0" name="Text Box 192">
          <a:extLst>
            <a:ext uri="{FF2B5EF4-FFF2-40B4-BE49-F238E27FC236}">
              <a16:creationId xmlns:a16="http://schemas.microsoft.com/office/drawing/2014/main" id="{00000000-0008-0000-0800-0000F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1" name="Text Box 193">
          <a:extLst>
            <a:ext uri="{FF2B5EF4-FFF2-40B4-BE49-F238E27FC236}">
              <a16:creationId xmlns:a16="http://schemas.microsoft.com/office/drawing/2014/main" id="{00000000-0008-0000-0800-0000F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2" name="Text Box 194">
          <a:extLst>
            <a:ext uri="{FF2B5EF4-FFF2-40B4-BE49-F238E27FC236}">
              <a16:creationId xmlns:a16="http://schemas.microsoft.com/office/drawing/2014/main" id="{00000000-0008-0000-0800-0000F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3" name="Text Box 195">
          <a:extLst>
            <a:ext uri="{FF2B5EF4-FFF2-40B4-BE49-F238E27FC236}">
              <a16:creationId xmlns:a16="http://schemas.microsoft.com/office/drawing/2014/main" id="{00000000-0008-0000-0800-0000F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4" name="Text Box 196">
          <a:extLst>
            <a:ext uri="{FF2B5EF4-FFF2-40B4-BE49-F238E27FC236}">
              <a16:creationId xmlns:a16="http://schemas.microsoft.com/office/drawing/2014/main" id="{00000000-0008-0000-0800-0000F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5" name="Text Box 197">
          <a:extLst>
            <a:ext uri="{FF2B5EF4-FFF2-40B4-BE49-F238E27FC236}">
              <a16:creationId xmlns:a16="http://schemas.microsoft.com/office/drawing/2014/main" id="{00000000-0008-0000-0800-0000F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6" name="Text Box 198">
          <a:extLst>
            <a:ext uri="{FF2B5EF4-FFF2-40B4-BE49-F238E27FC236}">
              <a16:creationId xmlns:a16="http://schemas.microsoft.com/office/drawing/2014/main" id="{00000000-0008-0000-0800-00000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7" name="Text Box 199">
          <a:extLst>
            <a:ext uri="{FF2B5EF4-FFF2-40B4-BE49-F238E27FC236}">
              <a16:creationId xmlns:a16="http://schemas.microsoft.com/office/drawing/2014/main" id="{00000000-0008-0000-0800-00000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8" name="Text Box 200">
          <a:extLst>
            <a:ext uri="{FF2B5EF4-FFF2-40B4-BE49-F238E27FC236}">
              <a16:creationId xmlns:a16="http://schemas.microsoft.com/office/drawing/2014/main" id="{00000000-0008-0000-0800-00000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9" name="Text Box 201">
          <a:extLst>
            <a:ext uri="{FF2B5EF4-FFF2-40B4-BE49-F238E27FC236}">
              <a16:creationId xmlns:a16="http://schemas.microsoft.com/office/drawing/2014/main" id="{00000000-0008-0000-0800-00000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00" name="Text Box 202">
          <a:extLst>
            <a:ext uri="{FF2B5EF4-FFF2-40B4-BE49-F238E27FC236}">
              <a16:creationId xmlns:a16="http://schemas.microsoft.com/office/drawing/2014/main" id="{00000000-0008-0000-0800-00000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1" name="Text Box 203">
          <a:extLst>
            <a:ext uri="{FF2B5EF4-FFF2-40B4-BE49-F238E27FC236}">
              <a16:creationId xmlns:a16="http://schemas.microsoft.com/office/drawing/2014/main" id="{00000000-0008-0000-0800-00000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2" name="Text Box 204">
          <a:extLst>
            <a:ext uri="{FF2B5EF4-FFF2-40B4-BE49-F238E27FC236}">
              <a16:creationId xmlns:a16="http://schemas.microsoft.com/office/drawing/2014/main" id="{00000000-0008-0000-0800-00000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3" name="Text Box 205">
          <a:extLst>
            <a:ext uri="{FF2B5EF4-FFF2-40B4-BE49-F238E27FC236}">
              <a16:creationId xmlns:a16="http://schemas.microsoft.com/office/drawing/2014/main" id="{00000000-0008-0000-0800-00000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4" name="Text Box 206">
          <a:extLst>
            <a:ext uri="{FF2B5EF4-FFF2-40B4-BE49-F238E27FC236}">
              <a16:creationId xmlns:a16="http://schemas.microsoft.com/office/drawing/2014/main" id="{00000000-0008-0000-0800-00000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5" name="Text Box 207">
          <a:extLst>
            <a:ext uri="{FF2B5EF4-FFF2-40B4-BE49-F238E27FC236}">
              <a16:creationId xmlns:a16="http://schemas.microsoft.com/office/drawing/2014/main" id="{00000000-0008-0000-0800-00000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6" name="Text Box 208">
          <a:extLst>
            <a:ext uri="{FF2B5EF4-FFF2-40B4-BE49-F238E27FC236}">
              <a16:creationId xmlns:a16="http://schemas.microsoft.com/office/drawing/2014/main" id="{00000000-0008-0000-0800-00000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7" name="Text Box 209">
          <a:extLst>
            <a:ext uri="{FF2B5EF4-FFF2-40B4-BE49-F238E27FC236}">
              <a16:creationId xmlns:a16="http://schemas.microsoft.com/office/drawing/2014/main" id="{00000000-0008-0000-0800-00000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8" name="Text Box 210">
          <a:extLst>
            <a:ext uri="{FF2B5EF4-FFF2-40B4-BE49-F238E27FC236}">
              <a16:creationId xmlns:a16="http://schemas.microsoft.com/office/drawing/2014/main" id="{00000000-0008-0000-0800-00000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9" name="Text Box 211">
          <a:extLst>
            <a:ext uri="{FF2B5EF4-FFF2-40B4-BE49-F238E27FC236}">
              <a16:creationId xmlns:a16="http://schemas.microsoft.com/office/drawing/2014/main" id="{00000000-0008-0000-0800-00000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0" name="Text Box 212">
          <a:extLst>
            <a:ext uri="{FF2B5EF4-FFF2-40B4-BE49-F238E27FC236}">
              <a16:creationId xmlns:a16="http://schemas.microsoft.com/office/drawing/2014/main" id="{00000000-0008-0000-0800-00000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1" name="Text Box 213">
          <a:extLst>
            <a:ext uri="{FF2B5EF4-FFF2-40B4-BE49-F238E27FC236}">
              <a16:creationId xmlns:a16="http://schemas.microsoft.com/office/drawing/2014/main" id="{00000000-0008-0000-0800-00000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2" name="Text Box 214">
          <a:extLst>
            <a:ext uri="{FF2B5EF4-FFF2-40B4-BE49-F238E27FC236}">
              <a16:creationId xmlns:a16="http://schemas.microsoft.com/office/drawing/2014/main" id="{00000000-0008-0000-0800-00001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3" name="Text Box 215">
          <a:extLst>
            <a:ext uri="{FF2B5EF4-FFF2-40B4-BE49-F238E27FC236}">
              <a16:creationId xmlns:a16="http://schemas.microsoft.com/office/drawing/2014/main" id="{00000000-0008-0000-0800-00001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4" name="Text Box 216">
          <a:extLst>
            <a:ext uri="{FF2B5EF4-FFF2-40B4-BE49-F238E27FC236}">
              <a16:creationId xmlns:a16="http://schemas.microsoft.com/office/drawing/2014/main" id="{00000000-0008-0000-0800-00001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5" name="Text Box 217">
          <a:extLst>
            <a:ext uri="{FF2B5EF4-FFF2-40B4-BE49-F238E27FC236}">
              <a16:creationId xmlns:a16="http://schemas.microsoft.com/office/drawing/2014/main" id="{00000000-0008-0000-0800-00001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6" name="Text Box 218">
          <a:extLst>
            <a:ext uri="{FF2B5EF4-FFF2-40B4-BE49-F238E27FC236}">
              <a16:creationId xmlns:a16="http://schemas.microsoft.com/office/drawing/2014/main" id="{00000000-0008-0000-0800-00001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7" name="Text Box 219">
          <a:extLst>
            <a:ext uri="{FF2B5EF4-FFF2-40B4-BE49-F238E27FC236}">
              <a16:creationId xmlns:a16="http://schemas.microsoft.com/office/drawing/2014/main" id="{00000000-0008-0000-0800-00001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8" name="Text Box 220">
          <a:extLst>
            <a:ext uri="{FF2B5EF4-FFF2-40B4-BE49-F238E27FC236}">
              <a16:creationId xmlns:a16="http://schemas.microsoft.com/office/drawing/2014/main" id="{00000000-0008-0000-0800-00001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9" name="Text Box 221">
          <a:extLst>
            <a:ext uri="{FF2B5EF4-FFF2-40B4-BE49-F238E27FC236}">
              <a16:creationId xmlns:a16="http://schemas.microsoft.com/office/drawing/2014/main" id="{00000000-0008-0000-0800-00001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0" name="Text Box 222">
          <a:extLst>
            <a:ext uri="{FF2B5EF4-FFF2-40B4-BE49-F238E27FC236}">
              <a16:creationId xmlns:a16="http://schemas.microsoft.com/office/drawing/2014/main" id="{00000000-0008-0000-0800-00001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1" name="Text Box 223">
          <a:extLst>
            <a:ext uri="{FF2B5EF4-FFF2-40B4-BE49-F238E27FC236}">
              <a16:creationId xmlns:a16="http://schemas.microsoft.com/office/drawing/2014/main" id="{00000000-0008-0000-0800-00001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2" name="Text Box 224">
          <a:extLst>
            <a:ext uri="{FF2B5EF4-FFF2-40B4-BE49-F238E27FC236}">
              <a16:creationId xmlns:a16="http://schemas.microsoft.com/office/drawing/2014/main" id="{00000000-0008-0000-0800-00001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3" name="Text Box 225">
          <a:extLst>
            <a:ext uri="{FF2B5EF4-FFF2-40B4-BE49-F238E27FC236}">
              <a16:creationId xmlns:a16="http://schemas.microsoft.com/office/drawing/2014/main" id="{00000000-0008-0000-0800-00001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4" name="Text Box 226">
          <a:extLst>
            <a:ext uri="{FF2B5EF4-FFF2-40B4-BE49-F238E27FC236}">
              <a16:creationId xmlns:a16="http://schemas.microsoft.com/office/drawing/2014/main" id="{00000000-0008-0000-0800-00001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5" name="Text Box 227">
          <a:extLst>
            <a:ext uri="{FF2B5EF4-FFF2-40B4-BE49-F238E27FC236}">
              <a16:creationId xmlns:a16="http://schemas.microsoft.com/office/drawing/2014/main" id="{00000000-0008-0000-0800-00001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6" name="Text Box 228">
          <a:extLst>
            <a:ext uri="{FF2B5EF4-FFF2-40B4-BE49-F238E27FC236}">
              <a16:creationId xmlns:a16="http://schemas.microsoft.com/office/drawing/2014/main" id="{00000000-0008-0000-0800-00001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7" name="Text Box 229">
          <a:extLst>
            <a:ext uri="{FF2B5EF4-FFF2-40B4-BE49-F238E27FC236}">
              <a16:creationId xmlns:a16="http://schemas.microsoft.com/office/drawing/2014/main" id="{00000000-0008-0000-0800-00001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8" name="Text Box 230">
          <a:extLst>
            <a:ext uri="{FF2B5EF4-FFF2-40B4-BE49-F238E27FC236}">
              <a16:creationId xmlns:a16="http://schemas.microsoft.com/office/drawing/2014/main" id="{00000000-0008-0000-0800-00002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9" name="Text Box 231">
          <a:extLst>
            <a:ext uri="{FF2B5EF4-FFF2-40B4-BE49-F238E27FC236}">
              <a16:creationId xmlns:a16="http://schemas.microsoft.com/office/drawing/2014/main" id="{00000000-0008-0000-0800-00002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0" name="Text Box 232">
          <a:extLst>
            <a:ext uri="{FF2B5EF4-FFF2-40B4-BE49-F238E27FC236}">
              <a16:creationId xmlns:a16="http://schemas.microsoft.com/office/drawing/2014/main" id="{00000000-0008-0000-0800-00002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1" name="Text Box 233">
          <a:extLst>
            <a:ext uri="{FF2B5EF4-FFF2-40B4-BE49-F238E27FC236}">
              <a16:creationId xmlns:a16="http://schemas.microsoft.com/office/drawing/2014/main" id="{00000000-0008-0000-0800-00002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2" name="Text Box 234">
          <a:extLst>
            <a:ext uri="{FF2B5EF4-FFF2-40B4-BE49-F238E27FC236}">
              <a16:creationId xmlns:a16="http://schemas.microsoft.com/office/drawing/2014/main" id="{00000000-0008-0000-0800-00002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3" name="Text Box 235">
          <a:extLst>
            <a:ext uri="{FF2B5EF4-FFF2-40B4-BE49-F238E27FC236}">
              <a16:creationId xmlns:a16="http://schemas.microsoft.com/office/drawing/2014/main" id="{00000000-0008-0000-0800-00002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4" name="Text Box 236">
          <a:extLst>
            <a:ext uri="{FF2B5EF4-FFF2-40B4-BE49-F238E27FC236}">
              <a16:creationId xmlns:a16="http://schemas.microsoft.com/office/drawing/2014/main" id="{00000000-0008-0000-0800-00002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5" name="Text Box 237">
          <a:extLst>
            <a:ext uri="{FF2B5EF4-FFF2-40B4-BE49-F238E27FC236}">
              <a16:creationId xmlns:a16="http://schemas.microsoft.com/office/drawing/2014/main" id="{00000000-0008-0000-0800-00002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6" name="Text Box 238">
          <a:extLst>
            <a:ext uri="{FF2B5EF4-FFF2-40B4-BE49-F238E27FC236}">
              <a16:creationId xmlns:a16="http://schemas.microsoft.com/office/drawing/2014/main" id="{00000000-0008-0000-0800-00002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7" name="Text Box 239">
          <a:extLst>
            <a:ext uri="{FF2B5EF4-FFF2-40B4-BE49-F238E27FC236}">
              <a16:creationId xmlns:a16="http://schemas.microsoft.com/office/drawing/2014/main" id="{00000000-0008-0000-0800-00002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8" name="Text Box 240">
          <a:extLst>
            <a:ext uri="{FF2B5EF4-FFF2-40B4-BE49-F238E27FC236}">
              <a16:creationId xmlns:a16="http://schemas.microsoft.com/office/drawing/2014/main" id="{00000000-0008-0000-0800-00002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9" name="Text Box 241">
          <a:extLst>
            <a:ext uri="{FF2B5EF4-FFF2-40B4-BE49-F238E27FC236}">
              <a16:creationId xmlns:a16="http://schemas.microsoft.com/office/drawing/2014/main" id="{00000000-0008-0000-0800-00002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0" name="Text Box 242">
          <a:extLst>
            <a:ext uri="{FF2B5EF4-FFF2-40B4-BE49-F238E27FC236}">
              <a16:creationId xmlns:a16="http://schemas.microsoft.com/office/drawing/2014/main" id="{00000000-0008-0000-0800-00002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1" name="Text Box 243">
          <a:extLst>
            <a:ext uri="{FF2B5EF4-FFF2-40B4-BE49-F238E27FC236}">
              <a16:creationId xmlns:a16="http://schemas.microsoft.com/office/drawing/2014/main" id="{00000000-0008-0000-0800-00002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2" name="Text Box 244">
          <a:extLst>
            <a:ext uri="{FF2B5EF4-FFF2-40B4-BE49-F238E27FC236}">
              <a16:creationId xmlns:a16="http://schemas.microsoft.com/office/drawing/2014/main" id="{00000000-0008-0000-0800-00002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3" name="Text Box 245">
          <a:extLst>
            <a:ext uri="{FF2B5EF4-FFF2-40B4-BE49-F238E27FC236}">
              <a16:creationId xmlns:a16="http://schemas.microsoft.com/office/drawing/2014/main" id="{00000000-0008-0000-0800-00002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4" name="Text Box 246">
          <a:extLst>
            <a:ext uri="{FF2B5EF4-FFF2-40B4-BE49-F238E27FC236}">
              <a16:creationId xmlns:a16="http://schemas.microsoft.com/office/drawing/2014/main" id="{00000000-0008-0000-0800-00003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5" name="Text Box 247">
          <a:extLst>
            <a:ext uri="{FF2B5EF4-FFF2-40B4-BE49-F238E27FC236}">
              <a16:creationId xmlns:a16="http://schemas.microsoft.com/office/drawing/2014/main" id="{00000000-0008-0000-0800-00003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6" name="Text Box 248">
          <a:extLst>
            <a:ext uri="{FF2B5EF4-FFF2-40B4-BE49-F238E27FC236}">
              <a16:creationId xmlns:a16="http://schemas.microsoft.com/office/drawing/2014/main" id="{00000000-0008-0000-0800-00003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7" name="Text Box 249">
          <a:extLst>
            <a:ext uri="{FF2B5EF4-FFF2-40B4-BE49-F238E27FC236}">
              <a16:creationId xmlns:a16="http://schemas.microsoft.com/office/drawing/2014/main" id="{00000000-0008-0000-0800-00003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8" name="Text Box 250">
          <a:extLst>
            <a:ext uri="{FF2B5EF4-FFF2-40B4-BE49-F238E27FC236}">
              <a16:creationId xmlns:a16="http://schemas.microsoft.com/office/drawing/2014/main" id="{00000000-0008-0000-0800-00003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9" name="Text Box 251">
          <a:extLst>
            <a:ext uri="{FF2B5EF4-FFF2-40B4-BE49-F238E27FC236}">
              <a16:creationId xmlns:a16="http://schemas.microsoft.com/office/drawing/2014/main" id="{00000000-0008-0000-0800-00003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0" name="Text Box 252">
          <a:extLst>
            <a:ext uri="{FF2B5EF4-FFF2-40B4-BE49-F238E27FC236}">
              <a16:creationId xmlns:a16="http://schemas.microsoft.com/office/drawing/2014/main" id="{00000000-0008-0000-0800-00003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1" name="Text Box 253">
          <a:extLst>
            <a:ext uri="{FF2B5EF4-FFF2-40B4-BE49-F238E27FC236}">
              <a16:creationId xmlns:a16="http://schemas.microsoft.com/office/drawing/2014/main" id="{00000000-0008-0000-0800-00003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2" name="Text Box 254">
          <a:extLst>
            <a:ext uri="{FF2B5EF4-FFF2-40B4-BE49-F238E27FC236}">
              <a16:creationId xmlns:a16="http://schemas.microsoft.com/office/drawing/2014/main" id="{00000000-0008-0000-0800-00003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3" name="Text Box 255">
          <a:extLst>
            <a:ext uri="{FF2B5EF4-FFF2-40B4-BE49-F238E27FC236}">
              <a16:creationId xmlns:a16="http://schemas.microsoft.com/office/drawing/2014/main" id="{00000000-0008-0000-0800-00003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4" name="Text Box 256">
          <a:extLst>
            <a:ext uri="{FF2B5EF4-FFF2-40B4-BE49-F238E27FC236}">
              <a16:creationId xmlns:a16="http://schemas.microsoft.com/office/drawing/2014/main" id="{00000000-0008-0000-0800-00003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5" name="Text Box 257">
          <a:extLst>
            <a:ext uri="{FF2B5EF4-FFF2-40B4-BE49-F238E27FC236}">
              <a16:creationId xmlns:a16="http://schemas.microsoft.com/office/drawing/2014/main" id="{00000000-0008-0000-0800-00003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6" name="Text Box 258">
          <a:extLst>
            <a:ext uri="{FF2B5EF4-FFF2-40B4-BE49-F238E27FC236}">
              <a16:creationId xmlns:a16="http://schemas.microsoft.com/office/drawing/2014/main" id="{00000000-0008-0000-0800-00003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7" name="Text Box 259">
          <a:extLst>
            <a:ext uri="{FF2B5EF4-FFF2-40B4-BE49-F238E27FC236}">
              <a16:creationId xmlns:a16="http://schemas.microsoft.com/office/drawing/2014/main" id="{00000000-0008-0000-0800-00003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8" name="Text Box 260">
          <a:extLst>
            <a:ext uri="{FF2B5EF4-FFF2-40B4-BE49-F238E27FC236}">
              <a16:creationId xmlns:a16="http://schemas.microsoft.com/office/drawing/2014/main" id="{00000000-0008-0000-0800-00003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9" name="Text Box 261">
          <a:extLst>
            <a:ext uri="{FF2B5EF4-FFF2-40B4-BE49-F238E27FC236}">
              <a16:creationId xmlns:a16="http://schemas.microsoft.com/office/drawing/2014/main" id="{00000000-0008-0000-0800-00003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0" name="Text Box 262">
          <a:extLst>
            <a:ext uri="{FF2B5EF4-FFF2-40B4-BE49-F238E27FC236}">
              <a16:creationId xmlns:a16="http://schemas.microsoft.com/office/drawing/2014/main" id="{00000000-0008-0000-0800-00004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1" name="Text Box 263">
          <a:extLst>
            <a:ext uri="{FF2B5EF4-FFF2-40B4-BE49-F238E27FC236}">
              <a16:creationId xmlns:a16="http://schemas.microsoft.com/office/drawing/2014/main" id="{00000000-0008-0000-0800-00004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2" name="Text Box 264">
          <a:extLst>
            <a:ext uri="{FF2B5EF4-FFF2-40B4-BE49-F238E27FC236}">
              <a16:creationId xmlns:a16="http://schemas.microsoft.com/office/drawing/2014/main" id="{00000000-0008-0000-0800-00004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3" name="Text Box 265">
          <a:extLst>
            <a:ext uri="{FF2B5EF4-FFF2-40B4-BE49-F238E27FC236}">
              <a16:creationId xmlns:a16="http://schemas.microsoft.com/office/drawing/2014/main" id="{00000000-0008-0000-0800-00004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4" name="Text Box 266">
          <a:extLst>
            <a:ext uri="{FF2B5EF4-FFF2-40B4-BE49-F238E27FC236}">
              <a16:creationId xmlns:a16="http://schemas.microsoft.com/office/drawing/2014/main" id="{00000000-0008-0000-0800-00004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5" name="Text Box 267">
          <a:extLst>
            <a:ext uri="{FF2B5EF4-FFF2-40B4-BE49-F238E27FC236}">
              <a16:creationId xmlns:a16="http://schemas.microsoft.com/office/drawing/2014/main" id="{00000000-0008-0000-0800-00004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6" name="Text Box 268">
          <a:extLst>
            <a:ext uri="{FF2B5EF4-FFF2-40B4-BE49-F238E27FC236}">
              <a16:creationId xmlns:a16="http://schemas.microsoft.com/office/drawing/2014/main" id="{00000000-0008-0000-0800-00004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7" name="Text Box 269">
          <a:extLst>
            <a:ext uri="{FF2B5EF4-FFF2-40B4-BE49-F238E27FC236}">
              <a16:creationId xmlns:a16="http://schemas.microsoft.com/office/drawing/2014/main" id="{00000000-0008-0000-0800-00004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8" name="Text Box 270">
          <a:extLst>
            <a:ext uri="{FF2B5EF4-FFF2-40B4-BE49-F238E27FC236}">
              <a16:creationId xmlns:a16="http://schemas.microsoft.com/office/drawing/2014/main" id="{00000000-0008-0000-0800-00004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9" name="Text Box 271">
          <a:extLst>
            <a:ext uri="{FF2B5EF4-FFF2-40B4-BE49-F238E27FC236}">
              <a16:creationId xmlns:a16="http://schemas.microsoft.com/office/drawing/2014/main" id="{00000000-0008-0000-0800-00004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0" name="Text Box 272">
          <a:extLst>
            <a:ext uri="{FF2B5EF4-FFF2-40B4-BE49-F238E27FC236}">
              <a16:creationId xmlns:a16="http://schemas.microsoft.com/office/drawing/2014/main" id="{00000000-0008-0000-0800-00004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1" name="Text Box 273">
          <a:extLst>
            <a:ext uri="{FF2B5EF4-FFF2-40B4-BE49-F238E27FC236}">
              <a16:creationId xmlns:a16="http://schemas.microsoft.com/office/drawing/2014/main" id="{00000000-0008-0000-0800-00004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2" name="Text Box 274">
          <a:extLst>
            <a:ext uri="{FF2B5EF4-FFF2-40B4-BE49-F238E27FC236}">
              <a16:creationId xmlns:a16="http://schemas.microsoft.com/office/drawing/2014/main" id="{00000000-0008-0000-0800-00004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3" name="Text Box 275">
          <a:extLst>
            <a:ext uri="{FF2B5EF4-FFF2-40B4-BE49-F238E27FC236}">
              <a16:creationId xmlns:a16="http://schemas.microsoft.com/office/drawing/2014/main" id="{00000000-0008-0000-0800-00004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4" name="Text Box 276">
          <a:extLst>
            <a:ext uri="{FF2B5EF4-FFF2-40B4-BE49-F238E27FC236}">
              <a16:creationId xmlns:a16="http://schemas.microsoft.com/office/drawing/2014/main" id="{00000000-0008-0000-0800-00004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5" name="Text Box 277">
          <a:extLst>
            <a:ext uri="{FF2B5EF4-FFF2-40B4-BE49-F238E27FC236}">
              <a16:creationId xmlns:a16="http://schemas.microsoft.com/office/drawing/2014/main" id="{00000000-0008-0000-0800-00004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6" name="Text Box 278">
          <a:extLst>
            <a:ext uri="{FF2B5EF4-FFF2-40B4-BE49-F238E27FC236}">
              <a16:creationId xmlns:a16="http://schemas.microsoft.com/office/drawing/2014/main" id="{00000000-0008-0000-0800-00005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7" name="Text Box 279">
          <a:extLst>
            <a:ext uri="{FF2B5EF4-FFF2-40B4-BE49-F238E27FC236}">
              <a16:creationId xmlns:a16="http://schemas.microsoft.com/office/drawing/2014/main" id="{00000000-0008-0000-0800-00005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8" name="Text Box 280">
          <a:extLst>
            <a:ext uri="{FF2B5EF4-FFF2-40B4-BE49-F238E27FC236}">
              <a16:creationId xmlns:a16="http://schemas.microsoft.com/office/drawing/2014/main" id="{00000000-0008-0000-0800-00005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9" name="Text Box 281">
          <a:extLst>
            <a:ext uri="{FF2B5EF4-FFF2-40B4-BE49-F238E27FC236}">
              <a16:creationId xmlns:a16="http://schemas.microsoft.com/office/drawing/2014/main" id="{00000000-0008-0000-0800-00005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0" name="Text Box 282">
          <a:extLst>
            <a:ext uri="{FF2B5EF4-FFF2-40B4-BE49-F238E27FC236}">
              <a16:creationId xmlns:a16="http://schemas.microsoft.com/office/drawing/2014/main" id="{00000000-0008-0000-0800-00005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1" name="Text Box 283">
          <a:extLst>
            <a:ext uri="{FF2B5EF4-FFF2-40B4-BE49-F238E27FC236}">
              <a16:creationId xmlns:a16="http://schemas.microsoft.com/office/drawing/2014/main" id="{00000000-0008-0000-0800-00005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2" name="Text Box 284">
          <a:extLst>
            <a:ext uri="{FF2B5EF4-FFF2-40B4-BE49-F238E27FC236}">
              <a16:creationId xmlns:a16="http://schemas.microsoft.com/office/drawing/2014/main" id="{00000000-0008-0000-0800-00005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3" name="Text Box 285">
          <a:extLst>
            <a:ext uri="{FF2B5EF4-FFF2-40B4-BE49-F238E27FC236}">
              <a16:creationId xmlns:a16="http://schemas.microsoft.com/office/drawing/2014/main" id="{00000000-0008-0000-0800-00005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4" name="Text Box 286">
          <a:extLst>
            <a:ext uri="{FF2B5EF4-FFF2-40B4-BE49-F238E27FC236}">
              <a16:creationId xmlns:a16="http://schemas.microsoft.com/office/drawing/2014/main" id="{00000000-0008-0000-0800-00005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5" name="Text Box 287">
          <a:extLst>
            <a:ext uri="{FF2B5EF4-FFF2-40B4-BE49-F238E27FC236}">
              <a16:creationId xmlns:a16="http://schemas.microsoft.com/office/drawing/2014/main" id="{00000000-0008-0000-0800-00005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6" name="Text Box 288">
          <a:extLst>
            <a:ext uri="{FF2B5EF4-FFF2-40B4-BE49-F238E27FC236}">
              <a16:creationId xmlns:a16="http://schemas.microsoft.com/office/drawing/2014/main" id="{00000000-0008-0000-0800-00005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7" name="Text Box 289">
          <a:extLst>
            <a:ext uri="{FF2B5EF4-FFF2-40B4-BE49-F238E27FC236}">
              <a16:creationId xmlns:a16="http://schemas.microsoft.com/office/drawing/2014/main" id="{00000000-0008-0000-0800-00005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8" name="Text Box 290">
          <a:extLst>
            <a:ext uri="{FF2B5EF4-FFF2-40B4-BE49-F238E27FC236}">
              <a16:creationId xmlns:a16="http://schemas.microsoft.com/office/drawing/2014/main" id="{00000000-0008-0000-0800-00005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9" name="Text Box 291">
          <a:extLst>
            <a:ext uri="{FF2B5EF4-FFF2-40B4-BE49-F238E27FC236}">
              <a16:creationId xmlns:a16="http://schemas.microsoft.com/office/drawing/2014/main" id="{00000000-0008-0000-0800-00005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0" name="Text Box 292">
          <a:extLst>
            <a:ext uri="{FF2B5EF4-FFF2-40B4-BE49-F238E27FC236}">
              <a16:creationId xmlns:a16="http://schemas.microsoft.com/office/drawing/2014/main" id="{00000000-0008-0000-0800-00005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1" name="Text Box 293">
          <a:extLst>
            <a:ext uri="{FF2B5EF4-FFF2-40B4-BE49-F238E27FC236}">
              <a16:creationId xmlns:a16="http://schemas.microsoft.com/office/drawing/2014/main" id="{00000000-0008-0000-0800-00005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2" name="Text Box 294">
          <a:extLst>
            <a:ext uri="{FF2B5EF4-FFF2-40B4-BE49-F238E27FC236}">
              <a16:creationId xmlns:a16="http://schemas.microsoft.com/office/drawing/2014/main" id="{00000000-0008-0000-0800-00006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3" name="Text Box 295">
          <a:extLst>
            <a:ext uri="{FF2B5EF4-FFF2-40B4-BE49-F238E27FC236}">
              <a16:creationId xmlns:a16="http://schemas.microsoft.com/office/drawing/2014/main" id="{00000000-0008-0000-0800-00006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4" name="Text Box 296">
          <a:extLst>
            <a:ext uri="{FF2B5EF4-FFF2-40B4-BE49-F238E27FC236}">
              <a16:creationId xmlns:a16="http://schemas.microsoft.com/office/drawing/2014/main" id="{00000000-0008-0000-0800-00006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5" name="Text Box 297">
          <a:extLst>
            <a:ext uri="{FF2B5EF4-FFF2-40B4-BE49-F238E27FC236}">
              <a16:creationId xmlns:a16="http://schemas.microsoft.com/office/drawing/2014/main" id="{00000000-0008-0000-0800-00006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6" name="Text Box 298">
          <a:extLst>
            <a:ext uri="{FF2B5EF4-FFF2-40B4-BE49-F238E27FC236}">
              <a16:creationId xmlns:a16="http://schemas.microsoft.com/office/drawing/2014/main" id="{00000000-0008-0000-0800-00006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7" name="Text Box 299">
          <a:extLst>
            <a:ext uri="{FF2B5EF4-FFF2-40B4-BE49-F238E27FC236}">
              <a16:creationId xmlns:a16="http://schemas.microsoft.com/office/drawing/2014/main" id="{00000000-0008-0000-0800-00006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8" name="Text Box 300">
          <a:extLst>
            <a:ext uri="{FF2B5EF4-FFF2-40B4-BE49-F238E27FC236}">
              <a16:creationId xmlns:a16="http://schemas.microsoft.com/office/drawing/2014/main" id="{00000000-0008-0000-0800-00006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9" name="Text Box 301">
          <a:extLst>
            <a:ext uri="{FF2B5EF4-FFF2-40B4-BE49-F238E27FC236}">
              <a16:creationId xmlns:a16="http://schemas.microsoft.com/office/drawing/2014/main" id="{00000000-0008-0000-0800-00006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0" name="Text Box 302">
          <a:extLst>
            <a:ext uri="{FF2B5EF4-FFF2-40B4-BE49-F238E27FC236}">
              <a16:creationId xmlns:a16="http://schemas.microsoft.com/office/drawing/2014/main" id="{00000000-0008-0000-0800-00006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1" name="Text Box 303">
          <a:extLst>
            <a:ext uri="{FF2B5EF4-FFF2-40B4-BE49-F238E27FC236}">
              <a16:creationId xmlns:a16="http://schemas.microsoft.com/office/drawing/2014/main" id="{00000000-0008-0000-0800-00006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2" name="Text Box 304">
          <a:extLst>
            <a:ext uri="{FF2B5EF4-FFF2-40B4-BE49-F238E27FC236}">
              <a16:creationId xmlns:a16="http://schemas.microsoft.com/office/drawing/2014/main" id="{00000000-0008-0000-0800-00006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3" name="Text Box 305">
          <a:extLst>
            <a:ext uri="{FF2B5EF4-FFF2-40B4-BE49-F238E27FC236}">
              <a16:creationId xmlns:a16="http://schemas.microsoft.com/office/drawing/2014/main" id="{00000000-0008-0000-0800-00006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4" name="Text Box 306">
          <a:extLst>
            <a:ext uri="{FF2B5EF4-FFF2-40B4-BE49-F238E27FC236}">
              <a16:creationId xmlns:a16="http://schemas.microsoft.com/office/drawing/2014/main" id="{00000000-0008-0000-0800-00006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5" name="Text Box 307">
          <a:extLst>
            <a:ext uri="{FF2B5EF4-FFF2-40B4-BE49-F238E27FC236}">
              <a16:creationId xmlns:a16="http://schemas.microsoft.com/office/drawing/2014/main" id="{00000000-0008-0000-0800-00006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6" name="Text Box 308">
          <a:extLst>
            <a:ext uri="{FF2B5EF4-FFF2-40B4-BE49-F238E27FC236}">
              <a16:creationId xmlns:a16="http://schemas.microsoft.com/office/drawing/2014/main" id="{00000000-0008-0000-0800-00006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7" name="Text Box 309">
          <a:extLst>
            <a:ext uri="{FF2B5EF4-FFF2-40B4-BE49-F238E27FC236}">
              <a16:creationId xmlns:a16="http://schemas.microsoft.com/office/drawing/2014/main" id="{00000000-0008-0000-0800-00006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8" name="Text Box 310">
          <a:extLst>
            <a:ext uri="{FF2B5EF4-FFF2-40B4-BE49-F238E27FC236}">
              <a16:creationId xmlns:a16="http://schemas.microsoft.com/office/drawing/2014/main" id="{00000000-0008-0000-0800-00007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9" name="Text Box 311">
          <a:extLst>
            <a:ext uri="{FF2B5EF4-FFF2-40B4-BE49-F238E27FC236}">
              <a16:creationId xmlns:a16="http://schemas.microsoft.com/office/drawing/2014/main" id="{00000000-0008-0000-0800-00007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0" name="Text Box 312">
          <a:extLst>
            <a:ext uri="{FF2B5EF4-FFF2-40B4-BE49-F238E27FC236}">
              <a16:creationId xmlns:a16="http://schemas.microsoft.com/office/drawing/2014/main" id="{00000000-0008-0000-0800-00007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1" name="Text Box 313">
          <a:extLst>
            <a:ext uri="{FF2B5EF4-FFF2-40B4-BE49-F238E27FC236}">
              <a16:creationId xmlns:a16="http://schemas.microsoft.com/office/drawing/2014/main" id="{00000000-0008-0000-0800-00007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2" name="Text Box 314">
          <a:extLst>
            <a:ext uri="{FF2B5EF4-FFF2-40B4-BE49-F238E27FC236}">
              <a16:creationId xmlns:a16="http://schemas.microsoft.com/office/drawing/2014/main" id="{00000000-0008-0000-0800-00007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3" name="Text Box 315">
          <a:extLst>
            <a:ext uri="{FF2B5EF4-FFF2-40B4-BE49-F238E27FC236}">
              <a16:creationId xmlns:a16="http://schemas.microsoft.com/office/drawing/2014/main" id="{00000000-0008-0000-0800-00007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4" name="Text Box 316">
          <a:extLst>
            <a:ext uri="{FF2B5EF4-FFF2-40B4-BE49-F238E27FC236}">
              <a16:creationId xmlns:a16="http://schemas.microsoft.com/office/drawing/2014/main" id="{00000000-0008-0000-0800-00007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5" name="Text Box 317">
          <a:extLst>
            <a:ext uri="{FF2B5EF4-FFF2-40B4-BE49-F238E27FC236}">
              <a16:creationId xmlns:a16="http://schemas.microsoft.com/office/drawing/2014/main" id="{00000000-0008-0000-0800-00007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6" name="Text Box 318">
          <a:extLst>
            <a:ext uri="{FF2B5EF4-FFF2-40B4-BE49-F238E27FC236}">
              <a16:creationId xmlns:a16="http://schemas.microsoft.com/office/drawing/2014/main" id="{00000000-0008-0000-0800-00007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7" name="Text Box 319">
          <a:extLst>
            <a:ext uri="{FF2B5EF4-FFF2-40B4-BE49-F238E27FC236}">
              <a16:creationId xmlns:a16="http://schemas.microsoft.com/office/drawing/2014/main" id="{00000000-0008-0000-0800-00007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8" name="Text Box 320">
          <a:extLst>
            <a:ext uri="{FF2B5EF4-FFF2-40B4-BE49-F238E27FC236}">
              <a16:creationId xmlns:a16="http://schemas.microsoft.com/office/drawing/2014/main" id="{00000000-0008-0000-0800-00007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19" name="Text Box 28">
          <a:extLst>
            <a:ext uri="{FF2B5EF4-FFF2-40B4-BE49-F238E27FC236}">
              <a16:creationId xmlns:a16="http://schemas.microsoft.com/office/drawing/2014/main" id="{00000000-0008-0000-0800-00007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0" name="Text Box 29">
          <a:extLst>
            <a:ext uri="{FF2B5EF4-FFF2-40B4-BE49-F238E27FC236}">
              <a16:creationId xmlns:a16="http://schemas.microsoft.com/office/drawing/2014/main" id="{00000000-0008-0000-0800-00007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1" name="Text Box 30">
          <a:extLst>
            <a:ext uri="{FF2B5EF4-FFF2-40B4-BE49-F238E27FC236}">
              <a16:creationId xmlns:a16="http://schemas.microsoft.com/office/drawing/2014/main" id="{00000000-0008-0000-0800-00007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2" name="Text Box 31">
          <a:extLst>
            <a:ext uri="{FF2B5EF4-FFF2-40B4-BE49-F238E27FC236}">
              <a16:creationId xmlns:a16="http://schemas.microsoft.com/office/drawing/2014/main" id="{00000000-0008-0000-0800-00007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3" name="Text Box 32">
          <a:extLst>
            <a:ext uri="{FF2B5EF4-FFF2-40B4-BE49-F238E27FC236}">
              <a16:creationId xmlns:a16="http://schemas.microsoft.com/office/drawing/2014/main" id="{00000000-0008-0000-0800-00007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4" name="Text Box 33">
          <a:extLst>
            <a:ext uri="{FF2B5EF4-FFF2-40B4-BE49-F238E27FC236}">
              <a16:creationId xmlns:a16="http://schemas.microsoft.com/office/drawing/2014/main" id="{00000000-0008-0000-0800-00008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5" name="Text Box 34">
          <a:extLst>
            <a:ext uri="{FF2B5EF4-FFF2-40B4-BE49-F238E27FC236}">
              <a16:creationId xmlns:a16="http://schemas.microsoft.com/office/drawing/2014/main" id="{00000000-0008-0000-0800-00008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6" name="Text Box 35">
          <a:extLst>
            <a:ext uri="{FF2B5EF4-FFF2-40B4-BE49-F238E27FC236}">
              <a16:creationId xmlns:a16="http://schemas.microsoft.com/office/drawing/2014/main" id="{00000000-0008-0000-0800-00008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7" name="Text Box 36">
          <a:extLst>
            <a:ext uri="{FF2B5EF4-FFF2-40B4-BE49-F238E27FC236}">
              <a16:creationId xmlns:a16="http://schemas.microsoft.com/office/drawing/2014/main" id="{00000000-0008-0000-0800-00008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8" name="Text Box 37">
          <a:extLst>
            <a:ext uri="{FF2B5EF4-FFF2-40B4-BE49-F238E27FC236}">
              <a16:creationId xmlns:a16="http://schemas.microsoft.com/office/drawing/2014/main" id="{00000000-0008-0000-0800-00008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9" name="Text Box 38">
          <a:extLst>
            <a:ext uri="{FF2B5EF4-FFF2-40B4-BE49-F238E27FC236}">
              <a16:creationId xmlns:a16="http://schemas.microsoft.com/office/drawing/2014/main" id="{00000000-0008-0000-0800-00008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0" name="Text Box 39">
          <a:extLst>
            <a:ext uri="{FF2B5EF4-FFF2-40B4-BE49-F238E27FC236}">
              <a16:creationId xmlns:a16="http://schemas.microsoft.com/office/drawing/2014/main" id="{00000000-0008-0000-0800-00008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1" name="Text Box 40">
          <a:extLst>
            <a:ext uri="{FF2B5EF4-FFF2-40B4-BE49-F238E27FC236}">
              <a16:creationId xmlns:a16="http://schemas.microsoft.com/office/drawing/2014/main" id="{00000000-0008-0000-0800-00008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2" name="Text Box 41">
          <a:extLst>
            <a:ext uri="{FF2B5EF4-FFF2-40B4-BE49-F238E27FC236}">
              <a16:creationId xmlns:a16="http://schemas.microsoft.com/office/drawing/2014/main" id="{00000000-0008-0000-0800-00008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3" name="Text Box 42">
          <a:extLst>
            <a:ext uri="{FF2B5EF4-FFF2-40B4-BE49-F238E27FC236}">
              <a16:creationId xmlns:a16="http://schemas.microsoft.com/office/drawing/2014/main" id="{00000000-0008-0000-0800-00008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4" name="Text Box 43">
          <a:extLst>
            <a:ext uri="{FF2B5EF4-FFF2-40B4-BE49-F238E27FC236}">
              <a16:creationId xmlns:a16="http://schemas.microsoft.com/office/drawing/2014/main" id="{00000000-0008-0000-0800-00008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5" name="Text Box 44">
          <a:extLst>
            <a:ext uri="{FF2B5EF4-FFF2-40B4-BE49-F238E27FC236}">
              <a16:creationId xmlns:a16="http://schemas.microsoft.com/office/drawing/2014/main" id="{00000000-0008-0000-0800-00008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6" name="Text Box 45">
          <a:extLst>
            <a:ext uri="{FF2B5EF4-FFF2-40B4-BE49-F238E27FC236}">
              <a16:creationId xmlns:a16="http://schemas.microsoft.com/office/drawing/2014/main" id="{00000000-0008-0000-0800-00008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7" name="Text Box 46">
          <a:extLst>
            <a:ext uri="{FF2B5EF4-FFF2-40B4-BE49-F238E27FC236}">
              <a16:creationId xmlns:a16="http://schemas.microsoft.com/office/drawing/2014/main" id="{00000000-0008-0000-0800-00008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8" name="Text Box 47">
          <a:extLst>
            <a:ext uri="{FF2B5EF4-FFF2-40B4-BE49-F238E27FC236}">
              <a16:creationId xmlns:a16="http://schemas.microsoft.com/office/drawing/2014/main" id="{00000000-0008-0000-0800-00008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9" name="Text Box 48">
          <a:extLst>
            <a:ext uri="{FF2B5EF4-FFF2-40B4-BE49-F238E27FC236}">
              <a16:creationId xmlns:a16="http://schemas.microsoft.com/office/drawing/2014/main" id="{00000000-0008-0000-0800-00008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0" name="Text Box 49">
          <a:extLst>
            <a:ext uri="{FF2B5EF4-FFF2-40B4-BE49-F238E27FC236}">
              <a16:creationId xmlns:a16="http://schemas.microsoft.com/office/drawing/2014/main" id="{00000000-0008-0000-0800-00009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1" name="Text Box 50">
          <a:extLst>
            <a:ext uri="{FF2B5EF4-FFF2-40B4-BE49-F238E27FC236}">
              <a16:creationId xmlns:a16="http://schemas.microsoft.com/office/drawing/2014/main" id="{00000000-0008-0000-0800-00009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2" name="Text Box 51">
          <a:extLst>
            <a:ext uri="{FF2B5EF4-FFF2-40B4-BE49-F238E27FC236}">
              <a16:creationId xmlns:a16="http://schemas.microsoft.com/office/drawing/2014/main" id="{00000000-0008-0000-0800-00009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3" name="Text Box 52">
          <a:extLst>
            <a:ext uri="{FF2B5EF4-FFF2-40B4-BE49-F238E27FC236}">
              <a16:creationId xmlns:a16="http://schemas.microsoft.com/office/drawing/2014/main" id="{00000000-0008-0000-0800-00009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4" name="Text Box 53">
          <a:extLst>
            <a:ext uri="{FF2B5EF4-FFF2-40B4-BE49-F238E27FC236}">
              <a16:creationId xmlns:a16="http://schemas.microsoft.com/office/drawing/2014/main" id="{00000000-0008-0000-0800-00009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5" name="Text Box 54">
          <a:extLst>
            <a:ext uri="{FF2B5EF4-FFF2-40B4-BE49-F238E27FC236}">
              <a16:creationId xmlns:a16="http://schemas.microsoft.com/office/drawing/2014/main" id="{00000000-0008-0000-0800-00009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6" name="Text Box 55">
          <a:extLst>
            <a:ext uri="{FF2B5EF4-FFF2-40B4-BE49-F238E27FC236}">
              <a16:creationId xmlns:a16="http://schemas.microsoft.com/office/drawing/2014/main" id="{00000000-0008-0000-0800-00009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7" name="Text Box 56">
          <a:extLst>
            <a:ext uri="{FF2B5EF4-FFF2-40B4-BE49-F238E27FC236}">
              <a16:creationId xmlns:a16="http://schemas.microsoft.com/office/drawing/2014/main" id="{00000000-0008-0000-0800-00009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8" name="Text Box 57">
          <a:extLst>
            <a:ext uri="{FF2B5EF4-FFF2-40B4-BE49-F238E27FC236}">
              <a16:creationId xmlns:a16="http://schemas.microsoft.com/office/drawing/2014/main" id="{00000000-0008-0000-0800-00009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9" name="Text Box 58">
          <a:extLst>
            <a:ext uri="{FF2B5EF4-FFF2-40B4-BE49-F238E27FC236}">
              <a16:creationId xmlns:a16="http://schemas.microsoft.com/office/drawing/2014/main" id="{00000000-0008-0000-0800-00009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0" name="Text Box 59">
          <a:extLst>
            <a:ext uri="{FF2B5EF4-FFF2-40B4-BE49-F238E27FC236}">
              <a16:creationId xmlns:a16="http://schemas.microsoft.com/office/drawing/2014/main" id="{00000000-0008-0000-0800-00009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1" name="Text Box 60">
          <a:extLst>
            <a:ext uri="{FF2B5EF4-FFF2-40B4-BE49-F238E27FC236}">
              <a16:creationId xmlns:a16="http://schemas.microsoft.com/office/drawing/2014/main" id="{00000000-0008-0000-0800-00009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2" name="Text Box 61">
          <a:extLst>
            <a:ext uri="{FF2B5EF4-FFF2-40B4-BE49-F238E27FC236}">
              <a16:creationId xmlns:a16="http://schemas.microsoft.com/office/drawing/2014/main" id="{00000000-0008-0000-0800-00009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3" name="Text Box 62">
          <a:extLst>
            <a:ext uri="{FF2B5EF4-FFF2-40B4-BE49-F238E27FC236}">
              <a16:creationId xmlns:a16="http://schemas.microsoft.com/office/drawing/2014/main" id="{00000000-0008-0000-0800-00009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4" name="Text Box 63">
          <a:extLst>
            <a:ext uri="{FF2B5EF4-FFF2-40B4-BE49-F238E27FC236}">
              <a16:creationId xmlns:a16="http://schemas.microsoft.com/office/drawing/2014/main" id="{00000000-0008-0000-0800-00009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5" name="Text Box 64">
          <a:extLst>
            <a:ext uri="{FF2B5EF4-FFF2-40B4-BE49-F238E27FC236}">
              <a16:creationId xmlns:a16="http://schemas.microsoft.com/office/drawing/2014/main" id="{00000000-0008-0000-0800-00009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6" name="Text Box 65">
          <a:extLst>
            <a:ext uri="{FF2B5EF4-FFF2-40B4-BE49-F238E27FC236}">
              <a16:creationId xmlns:a16="http://schemas.microsoft.com/office/drawing/2014/main" id="{00000000-0008-0000-0800-0000A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7" name="Text Box 66">
          <a:extLst>
            <a:ext uri="{FF2B5EF4-FFF2-40B4-BE49-F238E27FC236}">
              <a16:creationId xmlns:a16="http://schemas.microsoft.com/office/drawing/2014/main" id="{00000000-0008-0000-0800-0000A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8" name="Text Box 67">
          <a:extLst>
            <a:ext uri="{FF2B5EF4-FFF2-40B4-BE49-F238E27FC236}">
              <a16:creationId xmlns:a16="http://schemas.microsoft.com/office/drawing/2014/main" id="{00000000-0008-0000-0800-0000A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9" name="Text Box 68">
          <a:extLst>
            <a:ext uri="{FF2B5EF4-FFF2-40B4-BE49-F238E27FC236}">
              <a16:creationId xmlns:a16="http://schemas.microsoft.com/office/drawing/2014/main" id="{00000000-0008-0000-0800-0000A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0" name="Text Box 69">
          <a:extLst>
            <a:ext uri="{FF2B5EF4-FFF2-40B4-BE49-F238E27FC236}">
              <a16:creationId xmlns:a16="http://schemas.microsoft.com/office/drawing/2014/main" id="{00000000-0008-0000-0800-0000A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1" name="Text Box 70">
          <a:extLst>
            <a:ext uri="{FF2B5EF4-FFF2-40B4-BE49-F238E27FC236}">
              <a16:creationId xmlns:a16="http://schemas.microsoft.com/office/drawing/2014/main" id="{00000000-0008-0000-0800-0000A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2" name="Text Box 71">
          <a:extLst>
            <a:ext uri="{FF2B5EF4-FFF2-40B4-BE49-F238E27FC236}">
              <a16:creationId xmlns:a16="http://schemas.microsoft.com/office/drawing/2014/main" id="{00000000-0008-0000-0800-0000A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3" name="Text Box 72">
          <a:extLst>
            <a:ext uri="{FF2B5EF4-FFF2-40B4-BE49-F238E27FC236}">
              <a16:creationId xmlns:a16="http://schemas.microsoft.com/office/drawing/2014/main" id="{00000000-0008-0000-0800-0000A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4" name="Text Box 73">
          <a:extLst>
            <a:ext uri="{FF2B5EF4-FFF2-40B4-BE49-F238E27FC236}">
              <a16:creationId xmlns:a16="http://schemas.microsoft.com/office/drawing/2014/main" id="{00000000-0008-0000-0800-0000A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5" name="Text Box 74">
          <a:extLst>
            <a:ext uri="{FF2B5EF4-FFF2-40B4-BE49-F238E27FC236}">
              <a16:creationId xmlns:a16="http://schemas.microsoft.com/office/drawing/2014/main" id="{00000000-0008-0000-0800-0000A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6" name="Text Box 75">
          <a:extLst>
            <a:ext uri="{FF2B5EF4-FFF2-40B4-BE49-F238E27FC236}">
              <a16:creationId xmlns:a16="http://schemas.microsoft.com/office/drawing/2014/main" id="{00000000-0008-0000-0800-0000A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7" name="Text Box 76">
          <a:extLst>
            <a:ext uri="{FF2B5EF4-FFF2-40B4-BE49-F238E27FC236}">
              <a16:creationId xmlns:a16="http://schemas.microsoft.com/office/drawing/2014/main" id="{00000000-0008-0000-0800-0000A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8" name="Text Box 77">
          <a:extLst>
            <a:ext uri="{FF2B5EF4-FFF2-40B4-BE49-F238E27FC236}">
              <a16:creationId xmlns:a16="http://schemas.microsoft.com/office/drawing/2014/main" id="{00000000-0008-0000-0800-0000A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9" name="Text Box 78">
          <a:extLst>
            <a:ext uri="{FF2B5EF4-FFF2-40B4-BE49-F238E27FC236}">
              <a16:creationId xmlns:a16="http://schemas.microsoft.com/office/drawing/2014/main" id="{00000000-0008-0000-0800-0000A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0" name="Text Box 79">
          <a:extLst>
            <a:ext uri="{FF2B5EF4-FFF2-40B4-BE49-F238E27FC236}">
              <a16:creationId xmlns:a16="http://schemas.microsoft.com/office/drawing/2014/main" id="{00000000-0008-0000-0800-0000A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1" name="Text Box 80">
          <a:extLst>
            <a:ext uri="{FF2B5EF4-FFF2-40B4-BE49-F238E27FC236}">
              <a16:creationId xmlns:a16="http://schemas.microsoft.com/office/drawing/2014/main" id="{00000000-0008-0000-0800-0000A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2" name="Text Box 81">
          <a:extLst>
            <a:ext uri="{FF2B5EF4-FFF2-40B4-BE49-F238E27FC236}">
              <a16:creationId xmlns:a16="http://schemas.microsoft.com/office/drawing/2014/main" id="{00000000-0008-0000-0800-0000B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3" name="Text Box 82">
          <a:extLst>
            <a:ext uri="{FF2B5EF4-FFF2-40B4-BE49-F238E27FC236}">
              <a16:creationId xmlns:a16="http://schemas.microsoft.com/office/drawing/2014/main" id="{00000000-0008-0000-0800-0000B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4" name="Text Box 83">
          <a:extLst>
            <a:ext uri="{FF2B5EF4-FFF2-40B4-BE49-F238E27FC236}">
              <a16:creationId xmlns:a16="http://schemas.microsoft.com/office/drawing/2014/main" id="{00000000-0008-0000-0800-0000B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5" name="Text Box 84">
          <a:extLst>
            <a:ext uri="{FF2B5EF4-FFF2-40B4-BE49-F238E27FC236}">
              <a16:creationId xmlns:a16="http://schemas.microsoft.com/office/drawing/2014/main" id="{00000000-0008-0000-0800-0000B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6" name="Text Box 85">
          <a:extLst>
            <a:ext uri="{FF2B5EF4-FFF2-40B4-BE49-F238E27FC236}">
              <a16:creationId xmlns:a16="http://schemas.microsoft.com/office/drawing/2014/main" id="{00000000-0008-0000-0800-0000B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7" name="Text Box 86">
          <a:extLst>
            <a:ext uri="{FF2B5EF4-FFF2-40B4-BE49-F238E27FC236}">
              <a16:creationId xmlns:a16="http://schemas.microsoft.com/office/drawing/2014/main" id="{00000000-0008-0000-0800-0000B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8" name="Text Box 87">
          <a:extLst>
            <a:ext uri="{FF2B5EF4-FFF2-40B4-BE49-F238E27FC236}">
              <a16:creationId xmlns:a16="http://schemas.microsoft.com/office/drawing/2014/main" id="{00000000-0008-0000-0800-0000B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9" name="Text Box 88">
          <a:extLst>
            <a:ext uri="{FF2B5EF4-FFF2-40B4-BE49-F238E27FC236}">
              <a16:creationId xmlns:a16="http://schemas.microsoft.com/office/drawing/2014/main" id="{00000000-0008-0000-0800-0000B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0" name="Text Box 89">
          <a:extLst>
            <a:ext uri="{FF2B5EF4-FFF2-40B4-BE49-F238E27FC236}">
              <a16:creationId xmlns:a16="http://schemas.microsoft.com/office/drawing/2014/main" id="{00000000-0008-0000-0800-0000B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1" name="Text Box 90">
          <a:extLst>
            <a:ext uri="{FF2B5EF4-FFF2-40B4-BE49-F238E27FC236}">
              <a16:creationId xmlns:a16="http://schemas.microsoft.com/office/drawing/2014/main" id="{00000000-0008-0000-0800-0000B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2" name="Text Box 91">
          <a:extLst>
            <a:ext uri="{FF2B5EF4-FFF2-40B4-BE49-F238E27FC236}">
              <a16:creationId xmlns:a16="http://schemas.microsoft.com/office/drawing/2014/main" id="{00000000-0008-0000-0800-0000B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3" name="Text Box 92">
          <a:extLst>
            <a:ext uri="{FF2B5EF4-FFF2-40B4-BE49-F238E27FC236}">
              <a16:creationId xmlns:a16="http://schemas.microsoft.com/office/drawing/2014/main" id="{00000000-0008-0000-0800-0000B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4" name="Text Box 93">
          <a:extLst>
            <a:ext uri="{FF2B5EF4-FFF2-40B4-BE49-F238E27FC236}">
              <a16:creationId xmlns:a16="http://schemas.microsoft.com/office/drawing/2014/main" id="{00000000-0008-0000-0800-0000B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5" name="Text Box 94">
          <a:extLst>
            <a:ext uri="{FF2B5EF4-FFF2-40B4-BE49-F238E27FC236}">
              <a16:creationId xmlns:a16="http://schemas.microsoft.com/office/drawing/2014/main" id="{00000000-0008-0000-0800-0000B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6" name="Text Box 95">
          <a:extLst>
            <a:ext uri="{FF2B5EF4-FFF2-40B4-BE49-F238E27FC236}">
              <a16:creationId xmlns:a16="http://schemas.microsoft.com/office/drawing/2014/main" id="{00000000-0008-0000-0800-0000B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7" name="Text Box 96">
          <a:extLst>
            <a:ext uri="{FF2B5EF4-FFF2-40B4-BE49-F238E27FC236}">
              <a16:creationId xmlns:a16="http://schemas.microsoft.com/office/drawing/2014/main" id="{00000000-0008-0000-0800-0000B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8" name="Text Box 97">
          <a:extLst>
            <a:ext uri="{FF2B5EF4-FFF2-40B4-BE49-F238E27FC236}">
              <a16:creationId xmlns:a16="http://schemas.microsoft.com/office/drawing/2014/main" id="{00000000-0008-0000-0800-0000C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89" name="Text Box 100">
          <a:extLst>
            <a:ext uri="{FF2B5EF4-FFF2-40B4-BE49-F238E27FC236}">
              <a16:creationId xmlns:a16="http://schemas.microsoft.com/office/drawing/2014/main" id="{00000000-0008-0000-0800-0000C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0" name="Text Box 101">
          <a:extLst>
            <a:ext uri="{FF2B5EF4-FFF2-40B4-BE49-F238E27FC236}">
              <a16:creationId xmlns:a16="http://schemas.microsoft.com/office/drawing/2014/main" id="{00000000-0008-0000-0800-0000C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1" name="Text Box 102">
          <a:extLst>
            <a:ext uri="{FF2B5EF4-FFF2-40B4-BE49-F238E27FC236}">
              <a16:creationId xmlns:a16="http://schemas.microsoft.com/office/drawing/2014/main" id="{00000000-0008-0000-0800-0000C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2" name="Text Box 103">
          <a:extLst>
            <a:ext uri="{FF2B5EF4-FFF2-40B4-BE49-F238E27FC236}">
              <a16:creationId xmlns:a16="http://schemas.microsoft.com/office/drawing/2014/main" id="{00000000-0008-0000-0800-0000C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3" name="Text Box 104">
          <a:extLst>
            <a:ext uri="{FF2B5EF4-FFF2-40B4-BE49-F238E27FC236}">
              <a16:creationId xmlns:a16="http://schemas.microsoft.com/office/drawing/2014/main" id="{00000000-0008-0000-0800-0000C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4" name="Text Box 105">
          <a:extLst>
            <a:ext uri="{FF2B5EF4-FFF2-40B4-BE49-F238E27FC236}">
              <a16:creationId xmlns:a16="http://schemas.microsoft.com/office/drawing/2014/main" id="{00000000-0008-0000-0800-0000C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5" name="Text Box 106">
          <a:extLst>
            <a:ext uri="{FF2B5EF4-FFF2-40B4-BE49-F238E27FC236}">
              <a16:creationId xmlns:a16="http://schemas.microsoft.com/office/drawing/2014/main" id="{00000000-0008-0000-0800-0000C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6" name="Text Box 107">
          <a:extLst>
            <a:ext uri="{FF2B5EF4-FFF2-40B4-BE49-F238E27FC236}">
              <a16:creationId xmlns:a16="http://schemas.microsoft.com/office/drawing/2014/main" id="{00000000-0008-0000-0800-0000C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7" name="Text Box 108">
          <a:extLst>
            <a:ext uri="{FF2B5EF4-FFF2-40B4-BE49-F238E27FC236}">
              <a16:creationId xmlns:a16="http://schemas.microsoft.com/office/drawing/2014/main" id="{00000000-0008-0000-0800-0000C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8" name="Text Box 109">
          <a:extLst>
            <a:ext uri="{FF2B5EF4-FFF2-40B4-BE49-F238E27FC236}">
              <a16:creationId xmlns:a16="http://schemas.microsoft.com/office/drawing/2014/main" id="{00000000-0008-0000-0800-0000C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9" name="Text Box 110">
          <a:extLst>
            <a:ext uri="{FF2B5EF4-FFF2-40B4-BE49-F238E27FC236}">
              <a16:creationId xmlns:a16="http://schemas.microsoft.com/office/drawing/2014/main" id="{00000000-0008-0000-0800-0000C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0" name="Text Box 111">
          <a:extLst>
            <a:ext uri="{FF2B5EF4-FFF2-40B4-BE49-F238E27FC236}">
              <a16:creationId xmlns:a16="http://schemas.microsoft.com/office/drawing/2014/main" id="{00000000-0008-0000-0800-0000C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1" name="Text Box 119">
          <a:extLst>
            <a:ext uri="{FF2B5EF4-FFF2-40B4-BE49-F238E27FC236}">
              <a16:creationId xmlns:a16="http://schemas.microsoft.com/office/drawing/2014/main" id="{00000000-0008-0000-0800-0000C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2" name="Text Box 120">
          <a:extLst>
            <a:ext uri="{FF2B5EF4-FFF2-40B4-BE49-F238E27FC236}">
              <a16:creationId xmlns:a16="http://schemas.microsoft.com/office/drawing/2014/main" id="{00000000-0008-0000-0800-0000C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3" name="Text Box 121">
          <a:extLst>
            <a:ext uri="{FF2B5EF4-FFF2-40B4-BE49-F238E27FC236}">
              <a16:creationId xmlns:a16="http://schemas.microsoft.com/office/drawing/2014/main" id="{00000000-0008-0000-0800-0000C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4" name="Text Box 122">
          <a:extLst>
            <a:ext uri="{FF2B5EF4-FFF2-40B4-BE49-F238E27FC236}">
              <a16:creationId xmlns:a16="http://schemas.microsoft.com/office/drawing/2014/main" id="{00000000-0008-0000-0800-0000D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5" name="Text Box 123">
          <a:extLst>
            <a:ext uri="{FF2B5EF4-FFF2-40B4-BE49-F238E27FC236}">
              <a16:creationId xmlns:a16="http://schemas.microsoft.com/office/drawing/2014/main" id="{00000000-0008-0000-0800-0000D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6" name="Text Box 124">
          <a:extLst>
            <a:ext uri="{FF2B5EF4-FFF2-40B4-BE49-F238E27FC236}">
              <a16:creationId xmlns:a16="http://schemas.microsoft.com/office/drawing/2014/main" id="{00000000-0008-0000-0800-0000D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7" name="Text Box 125">
          <a:extLst>
            <a:ext uri="{FF2B5EF4-FFF2-40B4-BE49-F238E27FC236}">
              <a16:creationId xmlns:a16="http://schemas.microsoft.com/office/drawing/2014/main" id="{00000000-0008-0000-0800-0000D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8" name="Text Box 126">
          <a:extLst>
            <a:ext uri="{FF2B5EF4-FFF2-40B4-BE49-F238E27FC236}">
              <a16:creationId xmlns:a16="http://schemas.microsoft.com/office/drawing/2014/main" id="{00000000-0008-0000-0800-0000D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9" name="Text Box 127">
          <a:extLst>
            <a:ext uri="{FF2B5EF4-FFF2-40B4-BE49-F238E27FC236}">
              <a16:creationId xmlns:a16="http://schemas.microsoft.com/office/drawing/2014/main" id="{00000000-0008-0000-0800-0000D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0" name="Text Box 128">
          <a:extLst>
            <a:ext uri="{FF2B5EF4-FFF2-40B4-BE49-F238E27FC236}">
              <a16:creationId xmlns:a16="http://schemas.microsoft.com/office/drawing/2014/main" id="{00000000-0008-0000-0800-0000D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1" name="Text Box 129">
          <a:extLst>
            <a:ext uri="{FF2B5EF4-FFF2-40B4-BE49-F238E27FC236}">
              <a16:creationId xmlns:a16="http://schemas.microsoft.com/office/drawing/2014/main" id="{00000000-0008-0000-0800-0000D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2" name="Text Box 130">
          <a:extLst>
            <a:ext uri="{FF2B5EF4-FFF2-40B4-BE49-F238E27FC236}">
              <a16:creationId xmlns:a16="http://schemas.microsoft.com/office/drawing/2014/main" id="{00000000-0008-0000-0800-0000D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3" name="Text Box 133">
          <a:extLst>
            <a:ext uri="{FF2B5EF4-FFF2-40B4-BE49-F238E27FC236}">
              <a16:creationId xmlns:a16="http://schemas.microsoft.com/office/drawing/2014/main" id="{00000000-0008-0000-0800-0000D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4" name="Text Box 134">
          <a:extLst>
            <a:ext uri="{FF2B5EF4-FFF2-40B4-BE49-F238E27FC236}">
              <a16:creationId xmlns:a16="http://schemas.microsoft.com/office/drawing/2014/main" id="{00000000-0008-0000-0800-0000D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5" name="Text Box 135">
          <a:extLst>
            <a:ext uri="{FF2B5EF4-FFF2-40B4-BE49-F238E27FC236}">
              <a16:creationId xmlns:a16="http://schemas.microsoft.com/office/drawing/2014/main" id="{00000000-0008-0000-0800-0000D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6" name="Text Box 136">
          <a:extLst>
            <a:ext uri="{FF2B5EF4-FFF2-40B4-BE49-F238E27FC236}">
              <a16:creationId xmlns:a16="http://schemas.microsoft.com/office/drawing/2014/main" id="{00000000-0008-0000-0800-0000D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7" name="Text Box 137">
          <a:extLst>
            <a:ext uri="{FF2B5EF4-FFF2-40B4-BE49-F238E27FC236}">
              <a16:creationId xmlns:a16="http://schemas.microsoft.com/office/drawing/2014/main" id="{00000000-0008-0000-0800-0000D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8" name="Text Box 138">
          <a:extLst>
            <a:ext uri="{FF2B5EF4-FFF2-40B4-BE49-F238E27FC236}">
              <a16:creationId xmlns:a16="http://schemas.microsoft.com/office/drawing/2014/main" id="{00000000-0008-0000-0800-0000D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9" name="Text Box 139">
          <a:extLst>
            <a:ext uri="{FF2B5EF4-FFF2-40B4-BE49-F238E27FC236}">
              <a16:creationId xmlns:a16="http://schemas.microsoft.com/office/drawing/2014/main" id="{00000000-0008-0000-0800-0000D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0" name="Text Box 140">
          <a:extLst>
            <a:ext uri="{FF2B5EF4-FFF2-40B4-BE49-F238E27FC236}">
              <a16:creationId xmlns:a16="http://schemas.microsoft.com/office/drawing/2014/main" id="{00000000-0008-0000-0800-0000E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1" name="Text Box 141">
          <a:extLst>
            <a:ext uri="{FF2B5EF4-FFF2-40B4-BE49-F238E27FC236}">
              <a16:creationId xmlns:a16="http://schemas.microsoft.com/office/drawing/2014/main" id="{00000000-0008-0000-0800-0000E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2" name="Text Box 142">
          <a:extLst>
            <a:ext uri="{FF2B5EF4-FFF2-40B4-BE49-F238E27FC236}">
              <a16:creationId xmlns:a16="http://schemas.microsoft.com/office/drawing/2014/main" id="{00000000-0008-0000-0800-0000E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3" name="Text Box 143">
          <a:extLst>
            <a:ext uri="{FF2B5EF4-FFF2-40B4-BE49-F238E27FC236}">
              <a16:creationId xmlns:a16="http://schemas.microsoft.com/office/drawing/2014/main" id="{00000000-0008-0000-0800-0000E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4" name="Text Box 144">
          <a:extLst>
            <a:ext uri="{FF2B5EF4-FFF2-40B4-BE49-F238E27FC236}">
              <a16:creationId xmlns:a16="http://schemas.microsoft.com/office/drawing/2014/main" id="{00000000-0008-0000-0800-0000E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5" name="Text Box 145">
          <a:extLst>
            <a:ext uri="{FF2B5EF4-FFF2-40B4-BE49-F238E27FC236}">
              <a16:creationId xmlns:a16="http://schemas.microsoft.com/office/drawing/2014/main" id="{00000000-0008-0000-0800-0000E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6" name="Text Box 146">
          <a:extLst>
            <a:ext uri="{FF2B5EF4-FFF2-40B4-BE49-F238E27FC236}">
              <a16:creationId xmlns:a16="http://schemas.microsoft.com/office/drawing/2014/main" id="{00000000-0008-0000-0800-0000E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7" name="Text Box 147">
          <a:extLst>
            <a:ext uri="{FF2B5EF4-FFF2-40B4-BE49-F238E27FC236}">
              <a16:creationId xmlns:a16="http://schemas.microsoft.com/office/drawing/2014/main" id="{00000000-0008-0000-0800-0000E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8" name="Text Box 148">
          <a:extLst>
            <a:ext uri="{FF2B5EF4-FFF2-40B4-BE49-F238E27FC236}">
              <a16:creationId xmlns:a16="http://schemas.microsoft.com/office/drawing/2014/main" id="{00000000-0008-0000-0800-0000E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9" name="Text Box 149">
          <a:extLst>
            <a:ext uri="{FF2B5EF4-FFF2-40B4-BE49-F238E27FC236}">
              <a16:creationId xmlns:a16="http://schemas.microsoft.com/office/drawing/2014/main" id="{00000000-0008-0000-0800-0000E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0" name="Text Box 150">
          <a:extLst>
            <a:ext uri="{FF2B5EF4-FFF2-40B4-BE49-F238E27FC236}">
              <a16:creationId xmlns:a16="http://schemas.microsoft.com/office/drawing/2014/main" id="{00000000-0008-0000-0800-0000E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1" name="Text Box 151">
          <a:extLst>
            <a:ext uri="{FF2B5EF4-FFF2-40B4-BE49-F238E27FC236}">
              <a16:creationId xmlns:a16="http://schemas.microsoft.com/office/drawing/2014/main" id="{00000000-0008-0000-0800-0000E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2" name="Text Box 152">
          <a:extLst>
            <a:ext uri="{FF2B5EF4-FFF2-40B4-BE49-F238E27FC236}">
              <a16:creationId xmlns:a16="http://schemas.microsoft.com/office/drawing/2014/main" id="{00000000-0008-0000-0800-0000E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3" name="Text Box 153">
          <a:extLst>
            <a:ext uri="{FF2B5EF4-FFF2-40B4-BE49-F238E27FC236}">
              <a16:creationId xmlns:a16="http://schemas.microsoft.com/office/drawing/2014/main" id="{00000000-0008-0000-0800-0000E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4" name="Text Box 154">
          <a:extLst>
            <a:ext uri="{FF2B5EF4-FFF2-40B4-BE49-F238E27FC236}">
              <a16:creationId xmlns:a16="http://schemas.microsoft.com/office/drawing/2014/main" id="{00000000-0008-0000-0800-0000E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5" name="Text Box 155">
          <a:extLst>
            <a:ext uri="{FF2B5EF4-FFF2-40B4-BE49-F238E27FC236}">
              <a16:creationId xmlns:a16="http://schemas.microsoft.com/office/drawing/2014/main" id="{00000000-0008-0000-0800-0000E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6" name="Text Box 156">
          <a:extLst>
            <a:ext uri="{FF2B5EF4-FFF2-40B4-BE49-F238E27FC236}">
              <a16:creationId xmlns:a16="http://schemas.microsoft.com/office/drawing/2014/main" id="{00000000-0008-0000-0800-0000F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7" name="Text Box 157">
          <a:extLst>
            <a:ext uri="{FF2B5EF4-FFF2-40B4-BE49-F238E27FC236}">
              <a16:creationId xmlns:a16="http://schemas.microsoft.com/office/drawing/2014/main" id="{00000000-0008-0000-0800-0000F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8" name="Text Box 158">
          <a:extLst>
            <a:ext uri="{FF2B5EF4-FFF2-40B4-BE49-F238E27FC236}">
              <a16:creationId xmlns:a16="http://schemas.microsoft.com/office/drawing/2014/main" id="{00000000-0008-0000-0800-0000F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9" name="Text Box 159">
          <a:extLst>
            <a:ext uri="{FF2B5EF4-FFF2-40B4-BE49-F238E27FC236}">
              <a16:creationId xmlns:a16="http://schemas.microsoft.com/office/drawing/2014/main" id="{00000000-0008-0000-0800-0000F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0" name="Text Box 160">
          <a:extLst>
            <a:ext uri="{FF2B5EF4-FFF2-40B4-BE49-F238E27FC236}">
              <a16:creationId xmlns:a16="http://schemas.microsoft.com/office/drawing/2014/main" id="{00000000-0008-0000-0800-0000F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1" name="Text Box 161">
          <a:extLst>
            <a:ext uri="{FF2B5EF4-FFF2-40B4-BE49-F238E27FC236}">
              <a16:creationId xmlns:a16="http://schemas.microsoft.com/office/drawing/2014/main" id="{00000000-0008-0000-0800-0000F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2" name="Text Box 162">
          <a:extLst>
            <a:ext uri="{FF2B5EF4-FFF2-40B4-BE49-F238E27FC236}">
              <a16:creationId xmlns:a16="http://schemas.microsoft.com/office/drawing/2014/main" id="{00000000-0008-0000-0800-0000F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3" name="Text Box 163">
          <a:extLst>
            <a:ext uri="{FF2B5EF4-FFF2-40B4-BE49-F238E27FC236}">
              <a16:creationId xmlns:a16="http://schemas.microsoft.com/office/drawing/2014/main" id="{00000000-0008-0000-0800-0000F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4" name="Text Box 164">
          <a:extLst>
            <a:ext uri="{FF2B5EF4-FFF2-40B4-BE49-F238E27FC236}">
              <a16:creationId xmlns:a16="http://schemas.microsoft.com/office/drawing/2014/main" id="{00000000-0008-0000-0800-0000F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5" name="Text Box 165">
          <a:extLst>
            <a:ext uri="{FF2B5EF4-FFF2-40B4-BE49-F238E27FC236}">
              <a16:creationId xmlns:a16="http://schemas.microsoft.com/office/drawing/2014/main" id="{00000000-0008-0000-0800-0000F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6" name="Text Box 166">
          <a:extLst>
            <a:ext uri="{FF2B5EF4-FFF2-40B4-BE49-F238E27FC236}">
              <a16:creationId xmlns:a16="http://schemas.microsoft.com/office/drawing/2014/main" id="{00000000-0008-0000-0800-0000F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7" name="Text Box 167">
          <a:extLst>
            <a:ext uri="{FF2B5EF4-FFF2-40B4-BE49-F238E27FC236}">
              <a16:creationId xmlns:a16="http://schemas.microsoft.com/office/drawing/2014/main" id="{00000000-0008-0000-0800-0000F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8" name="Text Box 168">
          <a:extLst>
            <a:ext uri="{FF2B5EF4-FFF2-40B4-BE49-F238E27FC236}">
              <a16:creationId xmlns:a16="http://schemas.microsoft.com/office/drawing/2014/main" id="{00000000-0008-0000-0800-0000F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9" name="Text Box 169">
          <a:extLst>
            <a:ext uri="{FF2B5EF4-FFF2-40B4-BE49-F238E27FC236}">
              <a16:creationId xmlns:a16="http://schemas.microsoft.com/office/drawing/2014/main" id="{00000000-0008-0000-0800-0000F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0" name="Text Box 170">
          <a:extLst>
            <a:ext uri="{FF2B5EF4-FFF2-40B4-BE49-F238E27FC236}">
              <a16:creationId xmlns:a16="http://schemas.microsoft.com/office/drawing/2014/main" id="{00000000-0008-0000-0800-0000F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1" name="Text Box 171">
          <a:extLst>
            <a:ext uri="{FF2B5EF4-FFF2-40B4-BE49-F238E27FC236}">
              <a16:creationId xmlns:a16="http://schemas.microsoft.com/office/drawing/2014/main" id="{00000000-0008-0000-0800-0000F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2" name="Text Box 172">
          <a:extLst>
            <a:ext uri="{FF2B5EF4-FFF2-40B4-BE49-F238E27FC236}">
              <a16:creationId xmlns:a16="http://schemas.microsoft.com/office/drawing/2014/main" id="{00000000-0008-0000-0800-00000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3" name="Text Box 173">
          <a:extLst>
            <a:ext uri="{FF2B5EF4-FFF2-40B4-BE49-F238E27FC236}">
              <a16:creationId xmlns:a16="http://schemas.microsoft.com/office/drawing/2014/main" id="{00000000-0008-0000-0800-00000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4" name="Text Box 174">
          <a:extLst>
            <a:ext uri="{FF2B5EF4-FFF2-40B4-BE49-F238E27FC236}">
              <a16:creationId xmlns:a16="http://schemas.microsoft.com/office/drawing/2014/main" id="{00000000-0008-0000-0800-00000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5" name="Text Box 175">
          <a:extLst>
            <a:ext uri="{FF2B5EF4-FFF2-40B4-BE49-F238E27FC236}">
              <a16:creationId xmlns:a16="http://schemas.microsoft.com/office/drawing/2014/main" id="{00000000-0008-0000-0800-00000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6" name="Text Box 176">
          <a:extLst>
            <a:ext uri="{FF2B5EF4-FFF2-40B4-BE49-F238E27FC236}">
              <a16:creationId xmlns:a16="http://schemas.microsoft.com/office/drawing/2014/main" id="{00000000-0008-0000-0800-00000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7" name="Text Box 177">
          <a:extLst>
            <a:ext uri="{FF2B5EF4-FFF2-40B4-BE49-F238E27FC236}">
              <a16:creationId xmlns:a16="http://schemas.microsoft.com/office/drawing/2014/main" id="{00000000-0008-0000-0800-00000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8" name="Text Box 178">
          <a:extLst>
            <a:ext uri="{FF2B5EF4-FFF2-40B4-BE49-F238E27FC236}">
              <a16:creationId xmlns:a16="http://schemas.microsoft.com/office/drawing/2014/main" id="{00000000-0008-0000-0800-00000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9" name="Text Box 179">
          <a:extLst>
            <a:ext uri="{FF2B5EF4-FFF2-40B4-BE49-F238E27FC236}">
              <a16:creationId xmlns:a16="http://schemas.microsoft.com/office/drawing/2014/main" id="{00000000-0008-0000-0800-00000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0" name="Text Box 180">
          <a:extLst>
            <a:ext uri="{FF2B5EF4-FFF2-40B4-BE49-F238E27FC236}">
              <a16:creationId xmlns:a16="http://schemas.microsoft.com/office/drawing/2014/main" id="{00000000-0008-0000-0800-00000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1" name="Text Box 181">
          <a:extLst>
            <a:ext uri="{FF2B5EF4-FFF2-40B4-BE49-F238E27FC236}">
              <a16:creationId xmlns:a16="http://schemas.microsoft.com/office/drawing/2014/main" id="{00000000-0008-0000-0800-00000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2" name="Text Box 182">
          <a:extLst>
            <a:ext uri="{FF2B5EF4-FFF2-40B4-BE49-F238E27FC236}">
              <a16:creationId xmlns:a16="http://schemas.microsoft.com/office/drawing/2014/main" id="{00000000-0008-0000-0800-00000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3" name="Text Box 183">
          <a:extLst>
            <a:ext uri="{FF2B5EF4-FFF2-40B4-BE49-F238E27FC236}">
              <a16:creationId xmlns:a16="http://schemas.microsoft.com/office/drawing/2014/main" id="{00000000-0008-0000-0800-00000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4" name="Text Box 184">
          <a:extLst>
            <a:ext uri="{FF2B5EF4-FFF2-40B4-BE49-F238E27FC236}">
              <a16:creationId xmlns:a16="http://schemas.microsoft.com/office/drawing/2014/main" id="{00000000-0008-0000-0800-00000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5" name="Text Box 185">
          <a:extLst>
            <a:ext uri="{FF2B5EF4-FFF2-40B4-BE49-F238E27FC236}">
              <a16:creationId xmlns:a16="http://schemas.microsoft.com/office/drawing/2014/main" id="{00000000-0008-0000-0800-00000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6" name="Text Box 186">
          <a:extLst>
            <a:ext uri="{FF2B5EF4-FFF2-40B4-BE49-F238E27FC236}">
              <a16:creationId xmlns:a16="http://schemas.microsoft.com/office/drawing/2014/main" id="{00000000-0008-0000-0800-00000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7" name="Text Box 187">
          <a:extLst>
            <a:ext uri="{FF2B5EF4-FFF2-40B4-BE49-F238E27FC236}">
              <a16:creationId xmlns:a16="http://schemas.microsoft.com/office/drawing/2014/main" id="{00000000-0008-0000-0800-00000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8" name="Text Box 188">
          <a:extLst>
            <a:ext uri="{FF2B5EF4-FFF2-40B4-BE49-F238E27FC236}">
              <a16:creationId xmlns:a16="http://schemas.microsoft.com/office/drawing/2014/main" id="{00000000-0008-0000-0800-00001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9" name="Text Box 189">
          <a:extLst>
            <a:ext uri="{FF2B5EF4-FFF2-40B4-BE49-F238E27FC236}">
              <a16:creationId xmlns:a16="http://schemas.microsoft.com/office/drawing/2014/main" id="{00000000-0008-0000-0800-00001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0" name="Text Box 190">
          <a:extLst>
            <a:ext uri="{FF2B5EF4-FFF2-40B4-BE49-F238E27FC236}">
              <a16:creationId xmlns:a16="http://schemas.microsoft.com/office/drawing/2014/main" id="{00000000-0008-0000-0800-00001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1" name="Text Box 191">
          <a:extLst>
            <a:ext uri="{FF2B5EF4-FFF2-40B4-BE49-F238E27FC236}">
              <a16:creationId xmlns:a16="http://schemas.microsoft.com/office/drawing/2014/main" id="{00000000-0008-0000-0800-00001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2" name="Text Box 192">
          <a:extLst>
            <a:ext uri="{FF2B5EF4-FFF2-40B4-BE49-F238E27FC236}">
              <a16:creationId xmlns:a16="http://schemas.microsoft.com/office/drawing/2014/main" id="{00000000-0008-0000-0800-00001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3" name="Text Box 193">
          <a:extLst>
            <a:ext uri="{FF2B5EF4-FFF2-40B4-BE49-F238E27FC236}">
              <a16:creationId xmlns:a16="http://schemas.microsoft.com/office/drawing/2014/main" id="{00000000-0008-0000-0800-00001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4" name="Text Box 194">
          <a:extLst>
            <a:ext uri="{FF2B5EF4-FFF2-40B4-BE49-F238E27FC236}">
              <a16:creationId xmlns:a16="http://schemas.microsoft.com/office/drawing/2014/main" id="{00000000-0008-0000-0800-00001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5" name="Text Box 195">
          <a:extLst>
            <a:ext uri="{FF2B5EF4-FFF2-40B4-BE49-F238E27FC236}">
              <a16:creationId xmlns:a16="http://schemas.microsoft.com/office/drawing/2014/main" id="{00000000-0008-0000-0800-00001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6" name="Text Box 196">
          <a:extLst>
            <a:ext uri="{FF2B5EF4-FFF2-40B4-BE49-F238E27FC236}">
              <a16:creationId xmlns:a16="http://schemas.microsoft.com/office/drawing/2014/main" id="{00000000-0008-0000-0800-00001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7" name="Text Box 197">
          <a:extLst>
            <a:ext uri="{FF2B5EF4-FFF2-40B4-BE49-F238E27FC236}">
              <a16:creationId xmlns:a16="http://schemas.microsoft.com/office/drawing/2014/main" id="{00000000-0008-0000-0800-00001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8" name="Text Box 198">
          <a:extLst>
            <a:ext uri="{FF2B5EF4-FFF2-40B4-BE49-F238E27FC236}">
              <a16:creationId xmlns:a16="http://schemas.microsoft.com/office/drawing/2014/main" id="{00000000-0008-0000-0800-00001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9" name="Text Box 199">
          <a:extLst>
            <a:ext uri="{FF2B5EF4-FFF2-40B4-BE49-F238E27FC236}">
              <a16:creationId xmlns:a16="http://schemas.microsoft.com/office/drawing/2014/main" id="{00000000-0008-0000-0800-00001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0" name="Text Box 200">
          <a:extLst>
            <a:ext uri="{FF2B5EF4-FFF2-40B4-BE49-F238E27FC236}">
              <a16:creationId xmlns:a16="http://schemas.microsoft.com/office/drawing/2014/main" id="{00000000-0008-0000-0800-00001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1" name="Text Box 201">
          <a:extLst>
            <a:ext uri="{FF2B5EF4-FFF2-40B4-BE49-F238E27FC236}">
              <a16:creationId xmlns:a16="http://schemas.microsoft.com/office/drawing/2014/main" id="{00000000-0008-0000-0800-00001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2" name="Text Box 202">
          <a:extLst>
            <a:ext uri="{FF2B5EF4-FFF2-40B4-BE49-F238E27FC236}">
              <a16:creationId xmlns:a16="http://schemas.microsoft.com/office/drawing/2014/main" id="{00000000-0008-0000-0800-00001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3" name="Text Box 203">
          <a:extLst>
            <a:ext uri="{FF2B5EF4-FFF2-40B4-BE49-F238E27FC236}">
              <a16:creationId xmlns:a16="http://schemas.microsoft.com/office/drawing/2014/main" id="{00000000-0008-0000-0800-00001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4" name="Text Box 204">
          <a:extLst>
            <a:ext uri="{FF2B5EF4-FFF2-40B4-BE49-F238E27FC236}">
              <a16:creationId xmlns:a16="http://schemas.microsoft.com/office/drawing/2014/main" id="{00000000-0008-0000-0800-00002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5" name="Text Box 205">
          <a:extLst>
            <a:ext uri="{FF2B5EF4-FFF2-40B4-BE49-F238E27FC236}">
              <a16:creationId xmlns:a16="http://schemas.microsoft.com/office/drawing/2014/main" id="{00000000-0008-0000-0800-00002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6" name="Text Box 206">
          <a:extLst>
            <a:ext uri="{FF2B5EF4-FFF2-40B4-BE49-F238E27FC236}">
              <a16:creationId xmlns:a16="http://schemas.microsoft.com/office/drawing/2014/main" id="{00000000-0008-0000-0800-00002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7" name="Text Box 207">
          <a:extLst>
            <a:ext uri="{FF2B5EF4-FFF2-40B4-BE49-F238E27FC236}">
              <a16:creationId xmlns:a16="http://schemas.microsoft.com/office/drawing/2014/main" id="{00000000-0008-0000-0800-00002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8" name="Text Box 208">
          <a:extLst>
            <a:ext uri="{FF2B5EF4-FFF2-40B4-BE49-F238E27FC236}">
              <a16:creationId xmlns:a16="http://schemas.microsoft.com/office/drawing/2014/main" id="{00000000-0008-0000-0800-00002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9" name="Text Box 209">
          <a:extLst>
            <a:ext uri="{FF2B5EF4-FFF2-40B4-BE49-F238E27FC236}">
              <a16:creationId xmlns:a16="http://schemas.microsoft.com/office/drawing/2014/main" id="{00000000-0008-0000-0800-00002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0" name="Text Box 210">
          <a:extLst>
            <a:ext uri="{FF2B5EF4-FFF2-40B4-BE49-F238E27FC236}">
              <a16:creationId xmlns:a16="http://schemas.microsoft.com/office/drawing/2014/main" id="{00000000-0008-0000-0800-00002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1" name="Text Box 211">
          <a:extLst>
            <a:ext uri="{FF2B5EF4-FFF2-40B4-BE49-F238E27FC236}">
              <a16:creationId xmlns:a16="http://schemas.microsoft.com/office/drawing/2014/main" id="{00000000-0008-0000-0800-00002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2" name="Text Box 212">
          <a:extLst>
            <a:ext uri="{FF2B5EF4-FFF2-40B4-BE49-F238E27FC236}">
              <a16:creationId xmlns:a16="http://schemas.microsoft.com/office/drawing/2014/main" id="{00000000-0008-0000-0800-00002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3" name="Text Box 213">
          <a:extLst>
            <a:ext uri="{FF2B5EF4-FFF2-40B4-BE49-F238E27FC236}">
              <a16:creationId xmlns:a16="http://schemas.microsoft.com/office/drawing/2014/main" id="{00000000-0008-0000-0800-00002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4" name="Text Box 214">
          <a:extLst>
            <a:ext uri="{FF2B5EF4-FFF2-40B4-BE49-F238E27FC236}">
              <a16:creationId xmlns:a16="http://schemas.microsoft.com/office/drawing/2014/main" id="{00000000-0008-0000-0800-00002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5" name="Text Box 215">
          <a:extLst>
            <a:ext uri="{FF2B5EF4-FFF2-40B4-BE49-F238E27FC236}">
              <a16:creationId xmlns:a16="http://schemas.microsoft.com/office/drawing/2014/main" id="{00000000-0008-0000-0800-00002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6" name="Text Box 216">
          <a:extLst>
            <a:ext uri="{FF2B5EF4-FFF2-40B4-BE49-F238E27FC236}">
              <a16:creationId xmlns:a16="http://schemas.microsoft.com/office/drawing/2014/main" id="{00000000-0008-0000-0800-00002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7" name="Text Box 217">
          <a:extLst>
            <a:ext uri="{FF2B5EF4-FFF2-40B4-BE49-F238E27FC236}">
              <a16:creationId xmlns:a16="http://schemas.microsoft.com/office/drawing/2014/main" id="{00000000-0008-0000-0800-00002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8" name="Text Box 218">
          <a:extLst>
            <a:ext uri="{FF2B5EF4-FFF2-40B4-BE49-F238E27FC236}">
              <a16:creationId xmlns:a16="http://schemas.microsoft.com/office/drawing/2014/main" id="{00000000-0008-0000-0800-00002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9" name="Text Box 219">
          <a:extLst>
            <a:ext uri="{FF2B5EF4-FFF2-40B4-BE49-F238E27FC236}">
              <a16:creationId xmlns:a16="http://schemas.microsoft.com/office/drawing/2014/main" id="{00000000-0008-0000-0800-00002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0" name="Text Box 220">
          <a:extLst>
            <a:ext uri="{FF2B5EF4-FFF2-40B4-BE49-F238E27FC236}">
              <a16:creationId xmlns:a16="http://schemas.microsoft.com/office/drawing/2014/main" id="{00000000-0008-0000-0800-00003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1" name="Text Box 221">
          <a:extLst>
            <a:ext uri="{FF2B5EF4-FFF2-40B4-BE49-F238E27FC236}">
              <a16:creationId xmlns:a16="http://schemas.microsoft.com/office/drawing/2014/main" id="{00000000-0008-0000-0800-00003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2" name="Text Box 222">
          <a:extLst>
            <a:ext uri="{FF2B5EF4-FFF2-40B4-BE49-F238E27FC236}">
              <a16:creationId xmlns:a16="http://schemas.microsoft.com/office/drawing/2014/main" id="{00000000-0008-0000-0800-00003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3" name="Text Box 223">
          <a:extLst>
            <a:ext uri="{FF2B5EF4-FFF2-40B4-BE49-F238E27FC236}">
              <a16:creationId xmlns:a16="http://schemas.microsoft.com/office/drawing/2014/main" id="{00000000-0008-0000-0800-00003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4" name="Text Box 224">
          <a:extLst>
            <a:ext uri="{FF2B5EF4-FFF2-40B4-BE49-F238E27FC236}">
              <a16:creationId xmlns:a16="http://schemas.microsoft.com/office/drawing/2014/main" id="{00000000-0008-0000-0800-00003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5" name="Text Box 225">
          <a:extLst>
            <a:ext uri="{FF2B5EF4-FFF2-40B4-BE49-F238E27FC236}">
              <a16:creationId xmlns:a16="http://schemas.microsoft.com/office/drawing/2014/main" id="{00000000-0008-0000-0800-00003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6" name="Text Box 226">
          <a:extLst>
            <a:ext uri="{FF2B5EF4-FFF2-40B4-BE49-F238E27FC236}">
              <a16:creationId xmlns:a16="http://schemas.microsoft.com/office/drawing/2014/main" id="{00000000-0008-0000-0800-00003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7" name="Text Box 227">
          <a:extLst>
            <a:ext uri="{FF2B5EF4-FFF2-40B4-BE49-F238E27FC236}">
              <a16:creationId xmlns:a16="http://schemas.microsoft.com/office/drawing/2014/main" id="{00000000-0008-0000-0800-00003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8" name="Text Box 228">
          <a:extLst>
            <a:ext uri="{FF2B5EF4-FFF2-40B4-BE49-F238E27FC236}">
              <a16:creationId xmlns:a16="http://schemas.microsoft.com/office/drawing/2014/main" id="{00000000-0008-0000-0800-00003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9" name="Text Box 229">
          <a:extLst>
            <a:ext uri="{FF2B5EF4-FFF2-40B4-BE49-F238E27FC236}">
              <a16:creationId xmlns:a16="http://schemas.microsoft.com/office/drawing/2014/main" id="{00000000-0008-0000-0800-00003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0" name="Text Box 230">
          <a:extLst>
            <a:ext uri="{FF2B5EF4-FFF2-40B4-BE49-F238E27FC236}">
              <a16:creationId xmlns:a16="http://schemas.microsoft.com/office/drawing/2014/main" id="{00000000-0008-0000-0800-00003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1" name="Text Box 231">
          <a:extLst>
            <a:ext uri="{FF2B5EF4-FFF2-40B4-BE49-F238E27FC236}">
              <a16:creationId xmlns:a16="http://schemas.microsoft.com/office/drawing/2014/main" id="{00000000-0008-0000-0800-00003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2" name="Text Box 232">
          <a:extLst>
            <a:ext uri="{FF2B5EF4-FFF2-40B4-BE49-F238E27FC236}">
              <a16:creationId xmlns:a16="http://schemas.microsoft.com/office/drawing/2014/main" id="{00000000-0008-0000-0800-00003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3" name="Text Box 233">
          <a:extLst>
            <a:ext uri="{FF2B5EF4-FFF2-40B4-BE49-F238E27FC236}">
              <a16:creationId xmlns:a16="http://schemas.microsoft.com/office/drawing/2014/main" id="{00000000-0008-0000-0800-00003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4" name="Text Box 234">
          <a:extLst>
            <a:ext uri="{FF2B5EF4-FFF2-40B4-BE49-F238E27FC236}">
              <a16:creationId xmlns:a16="http://schemas.microsoft.com/office/drawing/2014/main" id="{00000000-0008-0000-0800-00003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5" name="Text Box 235">
          <a:extLst>
            <a:ext uri="{FF2B5EF4-FFF2-40B4-BE49-F238E27FC236}">
              <a16:creationId xmlns:a16="http://schemas.microsoft.com/office/drawing/2014/main" id="{00000000-0008-0000-0800-00003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6" name="Text Box 236">
          <a:extLst>
            <a:ext uri="{FF2B5EF4-FFF2-40B4-BE49-F238E27FC236}">
              <a16:creationId xmlns:a16="http://schemas.microsoft.com/office/drawing/2014/main" id="{00000000-0008-0000-0800-00004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7" name="Text Box 237">
          <a:extLst>
            <a:ext uri="{FF2B5EF4-FFF2-40B4-BE49-F238E27FC236}">
              <a16:creationId xmlns:a16="http://schemas.microsoft.com/office/drawing/2014/main" id="{00000000-0008-0000-0800-00004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8" name="Text Box 238">
          <a:extLst>
            <a:ext uri="{FF2B5EF4-FFF2-40B4-BE49-F238E27FC236}">
              <a16:creationId xmlns:a16="http://schemas.microsoft.com/office/drawing/2014/main" id="{00000000-0008-0000-0800-00004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9" name="Text Box 239">
          <a:extLst>
            <a:ext uri="{FF2B5EF4-FFF2-40B4-BE49-F238E27FC236}">
              <a16:creationId xmlns:a16="http://schemas.microsoft.com/office/drawing/2014/main" id="{00000000-0008-0000-0800-00004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0" name="Text Box 240">
          <a:extLst>
            <a:ext uri="{FF2B5EF4-FFF2-40B4-BE49-F238E27FC236}">
              <a16:creationId xmlns:a16="http://schemas.microsoft.com/office/drawing/2014/main" id="{00000000-0008-0000-0800-00004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1" name="Text Box 241">
          <a:extLst>
            <a:ext uri="{FF2B5EF4-FFF2-40B4-BE49-F238E27FC236}">
              <a16:creationId xmlns:a16="http://schemas.microsoft.com/office/drawing/2014/main" id="{00000000-0008-0000-0800-00004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2" name="Text Box 242">
          <a:extLst>
            <a:ext uri="{FF2B5EF4-FFF2-40B4-BE49-F238E27FC236}">
              <a16:creationId xmlns:a16="http://schemas.microsoft.com/office/drawing/2014/main" id="{00000000-0008-0000-0800-00004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3" name="Text Box 243">
          <a:extLst>
            <a:ext uri="{FF2B5EF4-FFF2-40B4-BE49-F238E27FC236}">
              <a16:creationId xmlns:a16="http://schemas.microsoft.com/office/drawing/2014/main" id="{00000000-0008-0000-0800-00004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4" name="Text Box 244">
          <a:extLst>
            <a:ext uri="{FF2B5EF4-FFF2-40B4-BE49-F238E27FC236}">
              <a16:creationId xmlns:a16="http://schemas.microsoft.com/office/drawing/2014/main" id="{00000000-0008-0000-0800-00004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5" name="Text Box 245">
          <a:extLst>
            <a:ext uri="{FF2B5EF4-FFF2-40B4-BE49-F238E27FC236}">
              <a16:creationId xmlns:a16="http://schemas.microsoft.com/office/drawing/2014/main" id="{00000000-0008-0000-0800-00004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6" name="Text Box 246">
          <a:extLst>
            <a:ext uri="{FF2B5EF4-FFF2-40B4-BE49-F238E27FC236}">
              <a16:creationId xmlns:a16="http://schemas.microsoft.com/office/drawing/2014/main" id="{00000000-0008-0000-0800-00004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7" name="Text Box 247">
          <a:extLst>
            <a:ext uri="{FF2B5EF4-FFF2-40B4-BE49-F238E27FC236}">
              <a16:creationId xmlns:a16="http://schemas.microsoft.com/office/drawing/2014/main" id="{00000000-0008-0000-0800-00004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8" name="Text Box 248">
          <a:extLst>
            <a:ext uri="{FF2B5EF4-FFF2-40B4-BE49-F238E27FC236}">
              <a16:creationId xmlns:a16="http://schemas.microsoft.com/office/drawing/2014/main" id="{00000000-0008-0000-0800-00004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9" name="Text Box 249">
          <a:extLst>
            <a:ext uri="{FF2B5EF4-FFF2-40B4-BE49-F238E27FC236}">
              <a16:creationId xmlns:a16="http://schemas.microsoft.com/office/drawing/2014/main" id="{00000000-0008-0000-0800-00004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0" name="Text Box 250">
          <a:extLst>
            <a:ext uri="{FF2B5EF4-FFF2-40B4-BE49-F238E27FC236}">
              <a16:creationId xmlns:a16="http://schemas.microsoft.com/office/drawing/2014/main" id="{00000000-0008-0000-0800-00004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1" name="Text Box 251">
          <a:extLst>
            <a:ext uri="{FF2B5EF4-FFF2-40B4-BE49-F238E27FC236}">
              <a16:creationId xmlns:a16="http://schemas.microsoft.com/office/drawing/2014/main" id="{00000000-0008-0000-0800-00004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2" name="Text Box 252">
          <a:extLst>
            <a:ext uri="{FF2B5EF4-FFF2-40B4-BE49-F238E27FC236}">
              <a16:creationId xmlns:a16="http://schemas.microsoft.com/office/drawing/2014/main" id="{00000000-0008-0000-0800-00005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3" name="Text Box 253">
          <a:extLst>
            <a:ext uri="{FF2B5EF4-FFF2-40B4-BE49-F238E27FC236}">
              <a16:creationId xmlns:a16="http://schemas.microsoft.com/office/drawing/2014/main" id="{00000000-0008-0000-0800-00005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4" name="Text Box 254">
          <a:extLst>
            <a:ext uri="{FF2B5EF4-FFF2-40B4-BE49-F238E27FC236}">
              <a16:creationId xmlns:a16="http://schemas.microsoft.com/office/drawing/2014/main" id="{00000000-0008-0000-0800-00005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5" name="Text Box 255">
          <a:extLst>
            <a:ext uri="{FF2B5EF4-FFF2-40B4-BE49-F238E27FC236}">
              <a16:creationId xmlns:a16="http://schemas.microsoft.com/office/drawing/2014/main" id="{00000000-0008-0000-0800-00005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6" name="Text Box 256">
          <a:extLst>
            <a:ext uri="{FF2B5EF4-FFF2-40B4-BE49-F238E27FC236}">
              <a16:creationId xmlns:a16="http://schemas.microsoft.com/office/drawing/2014/main" id="{00000000-0008-0000-0800-00005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7" name="Text Box 257">
          <a:extLst>
            <a:ext uri="{FF2B5EF4-FFF2-40B4-BE49-F238E27FC236}">
              <a16:creationId xmlns:a16="http://schemas.microsoft.com/office/drawing/2014/main" id="{00000000-0008-0000-0800-00005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8" name="Text Box 258">
          <a:extLst>
            <a:ext uri="{FF2B5EF4-FFF2-40B4-BE49-F238E27FC236}">
              <a16:creationId xmlns:a16="http://schemas.microsoft.com/office/drawing/2014/main" id="{00000000-0008-0000-0800-00005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9" name="Text Box 259">
          <a:extLst>
            <a:ext uri="{FF2B5EF4-FFF2-40B4-BE49-F238E27FC236}">
              <a16:creationId xmlns:a16="http://schemas.microsoft.com/office/drawing/2014/main" id="{00000000-0008-0000-0800-00005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0" name="Text Box 260">
          <a:extLst>
            <a:ext uri="{FF2B5EF4-FFF2-40B4-BE49-F238E27FC236}">
              <a16:creationId xmlns:a16="http://schemas.microsoft.com/office/drawing/2014/main" id="{00000000-0008-0000-0800-00005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1" name="Text Box 261">
          <a:extLst>
            <a:ext uri="{FF2B5EF4-FFF2-40B4-BE49-F238E27FC236}">
              <a16:creationId xmlns:a16="http://schemas.microsoft.com/office/drawing/2014/main" id="{00000000-0008-0000-0800-00005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2" name="Text Box 262">
          <a:extLst>
            <a:ext uri="{FF2B5EF4-FFF2-40B4-BE49-F238E27FC236}">
              <a16:creationId xmlns:a16="http://schemas.microsoft.com/office/drawing/2014/main" id="{00000000-0008-0000-0800-00005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3" name="Text Box 263">
          <a:extLst>
            <a:ext uri="{FF2B5EF4-FFF2-40B4-BE49-F238E27FC236}">
              <a16:creationId xmlns:a16="http://schemas.microsoft.com/office/drawing/2014/main" id="{00000000-0008-0000-0800-00005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4" name="Text Box 264">
          <a:extLst>
            <a:ext uri="{FF2B5EF4-FFF2-40B4-BE49-F238E27FC236}">
              <a16:creationId xmlns:a16="http://schemas.microsoft.com/office/drawing/2014/main" id="{00000000-0008-0000-0800-00005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5" name="Text Box 265">
          <a:extLst>
            <a:ext uri="{FF2B5EF4-FFF2-40B4-BE49-F238E27FC236}">
              <a16:creationId xmlns:a16="http://schemas.microsoft.com/office/drawing/2014/main" id="{00000000-0008-0000-0800-00005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6" name="Text Box 266">
          <a:extLst>
            <a:ext uri="{FF2B5EF4-FFF2-40B4-BE49-F238E27FC236}">
              <a16:creationId xmlns:a16="http://schemas.microsoft.com/office/drawing/2014/main" id="{00000000-0008-0000-0800-00005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7" name="Text Box 267">
          <a:extLst>
            <a:ext uri="{FF2B5EF4-FFF2-40B4-BE49-F238E27FC236}">
              <a16:creationId xmlns:a16="http://schemas.microsoft.com/office/drawing/2014/main" id="{00000000-0008-0000-0800-00005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8" name="Text Box 268">
          <a:extLst>
            <a:ext uri="{FF2B5EF4-FFF2-40B4-BE49-F238E27FC236}">
              <a16:creationId xmlns:a16="http://schemas.microsoft.com/office/drawing/2014/main" id="{00000000-0008-0000-0800-00006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9" name="Text Box 269">
          <a:extLst>
            <a:ext uri="{FF2B5EF4-FFF2-40B4-BE49-F238E27FC236}">
              <a16:creationId xmlns:a16="http://schemas.microsoft.com/office/drawing/2014/main" id="{00000000-0008-0000-0800-00006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0" name="Text Box 270">
          <a:extLst>
            <a:ext uri="{FF2B5EF4-FFF2-40B4-BE49-F238E27FC236}">
              <a16:creationId xmlns:a16="http://schemas.microsoft.com/office/drawing/2014/main" id="{00000000-0008-0000-0800-00006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1" name="Text Box 271">
          <a:extLst>
            <a:ext uri="{FF2B5EF4-FFF2-40B4-BE49-F238E27FC236}">
              <a16:creationId xmlns:a16="http://schemas.microsoft.com/office/drawing/2014/main" id="{00000000-0008-0000-0800-00006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2" name="Text Box 272">
          <a:extLst>
            <a:ext uri="{FF2B5EF4-FFF2-40B4-BE49-F238E27FC236}">
              <a16:creationId xmlns:a16="http://schemas.microsoft.com/office/drawing/2014/main" id="{00000000-0008-0000-0800-00006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3" name="Text Box 273">
          <a:extLst>
            <a:ext uri="{FF2B5EF4-FFF2-40B4-BE49-F238E27FC236}">
              <a16:creationId xmlns:a16="http://schemas.microsoft.com/office/drawing/2014/main" id="{00000000-0008-0000-0800-00006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4" name="Text Box 274">
          <a:extLst>
            <a:ext uri="{FF2B5EF4-FFF2-40B4-BE49-F238E27FC236}">
              <a16:creationId xmlns:a16="http://schemas.microsoft.com/office/drawing/2014/main" id="{00000000-0008-0000-0800-00006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5" name="Text Box 275">
          <a:extLst>
            <a:ext uri="{FF2B5EF4-FFF2-40B4-BE49-F238E27FC236}">
              <a16:creationId xmlns:a16="http://schemas.microsoft.com/office/drawing/2014/main" id="{00000000-0008-0000-0800-00006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6" name="Text Box 276">
          <a:extLst>
            <a:ext uri="{FF2B5EF4-FFF2-40B4-BE49-F238E27FC236}">
              <a16:creationId xmlns:a16="http://schemas.microsoft.com/office/drawing/2014/main" id="{00000000-0008-0000-0800-00006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7" name="Text Box 277">
          <a:extLst>
            <a:ext uri="{FF2B5EF4-FFF2-40B4-BE49-F238E27FC236}">
              <a16:creationId xmlns:a16="http://schemas.microsoft.com/office/drawing/2014/main" id="{00000000-0008-0000-0800-00006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8" name="Text Box 278">
          <a:extLst>
            <a:ext uri="{FF2B5EF4-FFF2-40B4-BE49-F238E27FC236}">
              <a16:creationId xmlns:a16="http://schemas.microsoft.com/office/drawing/2014/main" id="{00000000-0008-0000-0800-00006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9" name="Text Box 279">
          <a:extLst>
            <a:ext uri="{FF2B5EF4-FFF2-40B4-BE49-F238E27FC236}">
              <a16:creationId xmlns:a16="http://schemas.microsoft.com/office/drawing/2014/main" id="{00000000-0008-0000-0800-00006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0" name="Text Box 280">
          <a:extLst>
            <a:ext uri="{FF2B5EF4-FFF2-40B4-BE49-F238E27FC236}">
              <a16:creationId xmlns:a16="http://schemas.microsoft.com/office/drawing/2014/main" id="{00000000-0008-0000-0800-00006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1" name="Text Box 281">
          <a:extLst>
            <a:ext uri="{FF2B5EF4-FFF2-40B4-BE49-F238E27FC236}">
              <a16:creationId xmlns:a16="http://schemas.microsoft.com/office/drawing/2014/main" id="{00000000-0008-0000-0800-00006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2" name="Text Box 282">
          <a:extLst>
            <a:ext uri="{FF2B5EF4-FFF2-40B4-BE49-F238E27FC236}">
              <a16:creationId xmlns:a16="http://schemas.microsoft.com/office/drawing/2014/main" id="{00000000-0008-0000-0800-00006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3" name="Text Box 283">
          <a:extLst>
            <a:ext uri="{FF2B5EF4-FFF2-40B4-BE49-F238E27FC236}">
              <a16:creationId xmlns:a16="http://schemas.microsoft.com/office/drawing/2014/main" id="{00000000-0008-0000-0800-00006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4" name="Text Box 284">
          <a:extLst>
            <a:ext uri="{FF2B5EF4-FFF2-40B4-BE49-F238E27FC236}">
              <a16:creationId xmlns:a16="http://schemas.microsoft.com/office/drawing/2014/main" id="{00000000-0008-0000-0800-00007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5" name="Text Box 285">
          <a:extLst>
            <a:ext uri="{FF2B5EF4-FFF2-40B4-BE49-F238E27FC236}">
              <a16:creationId xmlns:a16="http://schemas.microsoft.com/office/drawing/2014/main" id="{00000000-0008-0000-0800-00007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6" name="Text Box 286">
          <a:extLst>
            <a:ext uri="{FF2B5EF4-FFF2-40B4-BE49-F238E27FC236}">
              <a16:creationId xmlns:a16="http://schemas.microsoft.com/office/drawing/2014/main" id="{00000000-0008-0000-0800-00007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7" name="Text Box 287">
          <a:extLst>
            <a:ext uri="{FF2B5EF4-FFF2-40B4-BE49-F238E27FC236}">
              <a16:creationId xmlns:a16="http://schemas.microsoft.com/office/drawing/2014/main" id="{00000000-0008-0000-0800-00007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8" name="Text Box 288">
          <a:extLst>
            <a:ext uri="{FF2B5EF4-FFF2-40B4-BE49-F238E27FC236}">
              <a16:creationId xmlns:a16="http://schemas.microsoft.com/office/drawing/2014/main" id="{00000000-0008-0000-0800-00007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9" name="Text Box 289">
          <a:extLst>
            <a:ext uri="{FF2B5EF4-FFF2-40B4-BE49-F238E27FC236}">
              <a16:creationId xmlns:a16="http://schemas.microsoft.com/office/drawing/2014/main" id="{00000000-0008-0000-0800-00007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0" name="Text Box 290">
          <a:extLst>
            <a:ext uri="{FF2B5EF4-FFF2-40B4-BE49-F238E27FC236}">
              <a16:creationId xmlns:a16="http://schemas.microsoft.com/office/drawing/2014/main" id="{00000000-0008-0000-0800-00007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1" name="Text Box 291">
          <a:extLst>
            <a:ext uri="{FF2B5EF4-FFF2-40B4-BE49-F238E27FC236}">
              <a16:creationId xmlns:a16="http://schemas.microsoft.com/office/drawing/2014/main" id="{00000000-0008-0000-0800-00007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2" name="Text Box 292">
          <a:extLst>
            <a:ext uri="{FF2B5EF4-FFF2-40B4-BE49-F238E27FC236}">
              <a16:creationId xmlns:a16="http://schemas.microsoft.com/office/drawing/2014/main" id="{00000000-0008-0000-0800-00007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3" name="Text Box 293">
          <a:extLst>
            <a:ext uri="{FF2B5EF4-FFF2-40B4-BE49-F238E27FC236}">
              <a16:creationId xmlns:a16="http://schemas.microsoft.com/office/drawing/2014/main" id="{00000000-0008-0000-0800-00007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4" name="Text Box 294">
          <a:extLst>
            <a:ext uri="{FF2B5EF4-FFF2-40B4-BE49-F238E27FC236}">
              <a16:creationId xmlns:a16="http://schemas.microsoft.com/office/drawing/2014/main" id="{00000000-0008-0000-0800-00007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5" name="Text Box 295">
          <a:extLst>
            <a:ext uri="{FF2B5EF4-FFF2-40B4-BE49-F238E27FC236}">
              <a16:creationId xmlns:a16="http://schemas.microsoft.com/office/drawing/2014/main" id="{00000000-0008-0000-0800-00007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6" name="Text Box 296">
          <a:extLst>
            <a:ext uri="{FF2B5EF4-FFF2-40B4-BE49-F238E27FC236}">
              <a16:creationId xmlns:a16="http://schemas.microsoft.com/office/drawing/2014/main" id="{00000000-0008-0000-0800-00007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7" name="Text Box 297">
          <a:extLst>
            <a:ext uri="{FF2B5EF4-FFF2-40B4-BE49-F238E27FC236}">
              <a16:creationId xmlns:a16="http://schemas.microsoft.com/office/drawing/2014/main" id="{00000000-0008-0000-0800-00007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8" name="Text Box 298">
          <a:extLst>
            <a:ext uri="{FF2B5EF4-FFF2-40B4-BE49-F238E27FC236}">
              <a16:creationId xmlns:a16="http://schemas.microsoft.com/office/drawing/2014/main" id="{00000000-0008-0000-0800-00007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9" name="Text Box 299">
          <a:extLst>
            <a:ext uri="{FF2B5EF4-FFF2-40B4-BE49-F238E27FC236}">
              <a16:creationId xmlns:a16="http://schemas.microsoft.com/office/drawing/2014/main" id="{00000000-0008-0000-0800-00007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0" name="Text Box 300">
          <a:extLst>
            <a:ext uri="{FF2B5EF4-FFF2-40B4-BE49-F238E27FC236}">
              <a16:creationId xmlns:a16="http://schemas.microsoft.com/office/drawing/2014/main" id="{00000000-0008-0000-0800-00008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1" name="Text Box 301">
          <a:extLst>
            <a:ext uri="{FF2B5EF4-FFF2-40B4-BE49-F238E27FC236}">
              <a16:creationId xmlns:a16="http://schemas.microsoft.com/office/drawing/2014/main" id="{00000000-0008-0000-0800-00008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2" name="Text Box 302">
          <a:extLst>
            <a:ext uri="{FF2B5EF4-FFF2-40B4-BE49-F238E27FC236}">
              <a16:creationId xmlns:a16="http://schemas.microsoft.com/office/drawing/2014/main" id="{00000000-0008-0000-0800-00008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3" name="Text Box 303">
          <a:extLst>
            <a:ext uri="{FF2B5EF4-FFF2-40B4-BE49-F238E27FC236}">
              <a16:creationId xmlns:a16="http://schemas.microsoft.com/office/drawing/2014/main" id="{00000000-0008-0000-0800-00008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4" name="Text Box 304">
          <a:extLst>
            <a:ext uri="{FF2B5EF4-FFF2-40B4-BE49-F238E27FC236}">
              <a16:creationId xmlns:a16="http://schemas.microsoft.com/office/drawing/2014/main" id="{00000000-0008-0000-0800-00008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5" name="Text Box 305">
          <a:extLst>
            <a:ext uri="{FF2B5EF4-FFF2-40B4-BE49-F238E27FC236}">
              <a16:creationId xmlns:a16="http://schemas.microsoft.com/office/drawing/2014/main" id="{00000000-0008-0000-0800-00008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6" name="Text Box 306">
          <a:extLst>
            <a:ext uri="{FF2B5EF4-FFF2-40B4-BE49-F238E27FC236}">
              <a16:creationId xmlns:a16="http://schemas.microsoft.com/office/drawing/2014/main" id="{00000000-0008-0000-0800-00008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7" name="Text Box 307">
          <a:extLst>
            <a:ext uri="{FF2B5EF4-FFF2-40B4-BE49-F238E27FC236}">
              <a16:creationId xmlns:a16="http://schemas.microsoft.com/office/drawing/2014/main" id="{00000000-0008-0000-0800-00008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8" name="Text Box 308">
          <a:extLst>
            <a:ext uri="{FF2B5EF4-FFF2-40B4-BE49-F238E27FC236}">
              <a16:creationId xmlns:a16="http://schemas.microsoft.com/office/drawing/2014/main" id="{00000000-0008-0000-0800-00008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9" name="Text Box 309">
          <a:extLst>
            <a:ext uri="{FF2B5EF4-FFF2-40B4-BE49-F238E27FC236}">
              <a16:creationId xmlns:a16="http://schemas.microsoft.com/office/drawing/2014/main" id="{00000000-0008-0000-0800-00008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0" name="Text Box 310">
          <a:extLst>
            <a:ext uri="{FF2B5EF4-FFF2-40B4-BE49-F238E27FC236}">
              <a16:creationId xmlns:a16="http://schemas.microsoft.com/office/drawing/2014/main" id="{00000000-0008-0000-0800-00008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1" name="Text Box 311">
          <a:extLst>
            <a:ext uri="{FF2B5EF4-FFF2-40B4-BE49-F238E27FC236}">
              <a16:creationId xmlns:a16="http://schemas.microsoft.com/office/drawing/2014/main" id="{00000000-0008-0000-0800-00008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2" name="Text Box 312">
          <a:extLst>
            <a:ext uri="{FF2B5EF4-FFF2-40B4-BE49-F238E27FC236}">
              <a16:creationId xmlns:a16="http://schemas.microsoft.com/office/drawing/2014/main" id="{00000000-0008-0000-0800-00008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3" name="Text Box 313">
          <a:extLst>
            <a:ext uri="{FF2B5EF4-FFF2-40B4-BE49-F238E27FC236}">
              <a16:creationId xmlns:a16="http://schemas.microsoft.com/office/drawing/2014/main" id="{00000000-0008-0000-0800-00008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4" name="Text Box 314">
          <a:extLst>
            <a:ext uri="{FF2B5EF4-FFF2-40B4-BE49-F238E27FC236}">
              <a16:creationId xmlns:a16="http://schemas.microsoft.com/office/drawing/2014/main" id="{00000000-0008-0000-0800-00008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5" name="Text Box 315">
          <a:extLst>
            <a:ext uri="{FF2B5EF4-FFF2-40B4-BE49-F238E27FC236}">
              <a16:creationId xmlns:a16="http://schemas.microsoft.com/office/drawing/2014/main" id="{00000000-0008-0000-0800-00008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6" name="Text Box 316">
          <a:extLst>
            <a:ext uri="{FF2B5EF4-FFF2-40B4-BE49-F238E27FC236}">
              <a16:creationId xmlns:a16="http://schemas.microsoft.com/office/drawing/2014/main" id="{00000000-0008-0000-0800-00009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7" name="Text Box 317">
          <a:extLst>
            <a:ext uri="{FF2B5EF4-FFF2-40B4-BE49-F238E27FC236}">
              <a16:creationId xmlns:a16="http://schemas.microsoft.com/office/drawing/2014/main" id="{00000000-0008-0000-0800-00009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8" name="Text Box 318">
          <a:extLst>
            <a:ext uri="{FF2B5EF4-FFF2-40B4-BE49-F238E27FC236}">
              <a16:creationId xmlns:a16="http://schemas.microsoft.com/office/drawing/2014/main" id="{00000000-0008-0000-0800-00009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9" name="Text Box 319">
          <a:extLst>
            <a:ext uri="{FF2B5EF4-FFF2-40B4-BE49-F238E27FC236}">
              <a16:creationId xmlns:a16="http://schemas.microsoft.com/office/drawing/2014/main" id="{00000000-0008-0000-0800-00009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500" name="Text Box 320">
          <a:extLst>
            <a:ext uri="{FF2B5EF4-FFF2-40B4-BE49-F238E27FC236}">
              <a16:creationId xmlns:a16="http://schemas.microsoft.com/office/drawing/2014/main" id="{00000000-0008-0000-0800-00009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1" name="Text Box 28">
          <a:extLst>
            <a:ext uri="{FF2B5EF4-FFF2-40B4-BE49-F238E27FC236}">
              <a16:creationId xmlns:a16="http://schemas.microsoft.com/office/drawing/2014/main" id="{00000000-0008-0000-0800-00009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2" name="Text Box 29">
          <a:extLst>
            <a:ext uri="{FF2B5EF4-FFF2-40B4-BE49-F238E27FC236}">
              <a16:creationId xmlns:a16="http://schemas.microsoft.com/office/drawing/2014/main" id="{00000000-0008-0000-0800-00009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3" name="Text Box 30">
          <a:extLst>
            <a:ext uri="{FF2B5EF4-FFF2-40B4-BE49-F238E27FC236}">
              <a16:creationId xmlns:a16="http://schemas.microsoft.com/office/drawing/2014/main" id="{00000000-0008-0000-0800-00009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4" name="Text Box 31">
          <a:extLst>
            <a:ext uri="{FF2B5EF4-FFF2-40B4-BE49-F238E27FC236}">
              <a16:creationId xmlns:a16="http://schemas.microsoft.com/office/drawing/2014/main" id="{00000000-0008-0000-0800-00009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5" name="Text Box 32">
          <a:extLst>
            <a:ext uri="{FF2B5EF4-FFF2-40B4-BE49-F238E27FC236}">
              <a16:creationId xmlns:a16="http://schemas.microsoft.com/office/drawing/2014/main" id="{00000000-0008-0000-0800-00009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6" name="Text Box 33">
          <a:extLst>
            <a:ext uri="{FF2B5EF4-FFF2-40B4-BE49-F238E27FC236}">
              <a16:creationId xmlns:a16="http://schemas.microsoft.com/office/drawing/2014/main" id="{00000000-0008-0000-0800-00009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7" name="Text Box 34">
          <a:extLst>
            <a:ext uri="{FF2B5EF4-FFF2-40B4-BE49-F238E27FC236}">
              <a16:creationId xmlns:a16="http://schemas.microsoft.com/office/drawing/2014/main" id="{00000000-0008-0000-0800-00009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8" name="Text Box 35">
          <a:extLst>
            <a:ext uri="{FF2B5EF4-FFF2-40B4-BE49-F238E27FC236}">
              <a16:creationId xmlns:a16="http://schemas.microsoft.com/office/drawing/2014/main" id="{00000000-0008-0000-0800-00009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9" name="Text Box 36">
          <a:extLst>
            <a:ext uri="{FF2B5EF4-FFF2-40B4-BE49-F238E27FC236}">
              <a16:creationId xmlns:a16="http://schemas.microsoft.com/office/drawing/2014/main" id="{00000000-0008-0000-0800-00009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0" name="Text Box 37">
          <a:extLst>
            <a:ext uri="{FF2B5EF4-FFF2-40B4-BE49-F238E27FC236}">
              <a16:creationId xmlns:a16="http://schemas.microsoft.com/office/drawing/2014/main" id="{00000000-0008-0000-0800-00009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1" name="Text Box 38">
          <a:extLst>
            <a:ext uri="{FF2B5EF4-FFF2-40B4-BE49-F238E27FC236}">
              <a16:creationId xmlns:a16="http://schemas.microsoft.com/office/drawing/2014/main" id="{00000000-0008-0000-0800-00009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2" name="Text Box 39">
          <a:extLst>
            <a:ext uri="{FF2B5EF4-FFF2-40B4-BE49-F238E27FC236}">
              <a16:creationId xmlns:a16="http://schemas.microsoft.com/office/drawing/2014/main" id="{00000000-0008-0000-0800-0000A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3" name="Text Box 40">
          <a:extLst>
            <a:ext uri="{FF2B5EF4-FFF2-40B4-BE49-F238E27FC236}">
              <a16:creationId xmlns:a16="http://schemas.microsoft.com/office/drawing/2014/main" id="{00000000-0008-0000-0800-0000A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4" name="Text Box 41">
          <a:extLst>
            <a:ext uri="{FF2B5EF4-FFF2-40B4-BE49-F238E27FC236}">
              <a16:creationId xmlns:a16="http://schemas.microsoft.com/office/drawing/2014/main" id="{00000000-0008-0000-0800-0000A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5" name="Text Box 42">
          <a:extLst>
            <a:ext uri="{FF2B5EF4-FFF2-40B4-BE49-F238E27FC236}">
              <a16:creationId xmlns:a16="http://schemas.microsoft.com/office/drawing/2014/main" id="{00000000-0008-0000-0800-0000A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6" name="Text Box 43">
          <a:extLst>
            <a:ext uri="{FF2B5EF4-FFF2-40B4-BE49-F238E27FC236}">
              <a16:creationId xmlns:a16="http://schemas.microsoft.com/office/drawing/2014/main" id="{00000000-0008-0000-0800-0000A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7" name="Text Box 44">
          <a:extLst>
            <a:ext uri="{FF2B5EF4-FFF2-40B4-BE49-F238E27FC236}">
              <a16:creationId xmlns:a16="http://schemas.microsoft.com/office/drawing/2014/main" id="{00000000-0008-0000-0800-0000A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8" name="Text Box 45">
          <a:extLst>
            <a:ext uri="{FF2B5EF4-FFF2-40B4-BE49-F238E27FC236}">
              <a16:creationId xmlns:a16="http://schemas.microsoft.com/office/drawing/2014/main" id="{00000000-0008-0000-0800-0000A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9" name="Text Box 46">
          <a:extLst>
            <a:ext uri="{FF2B5EF4-FFF2-40B4-BE49-F238E27FC236}">
              <a16:creationId xmlns:a16="http://schemas.microsoft.com/office/drawing/2014/main" id="{00000000-0008-0000-0800-0000A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0" name="Text Box 47">
          <a:extLst>
            <a:ext uri="{FF2B5EF4-FFF2-40B4-BE49-F238E27FC236}">
              <a16:creationId xmlns:a16="http://schemas.microsoft.com/office/drawing/2014/main" id="{00000000-0008-0000-0800-0000A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1" name="Text Box 48">
          <a:extLst>
            <a:ext uri="{FF2B5EF4-FFF2-40B4-BE49-F238E27FC236}">
              <a16:creationId xmlns:a16="http://schemas.microsoft.com/office/drawing/2014/main" id="{00000000-0008-0000-0800-0000A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2" name="Text Box 49">
          <a:extLst>
            <a:ext uri="{FF2B5EF4-FFF2-40B4-BE49-F238E27FC236}">
              <a16:creationId xmlns:a16="http://schemas.microsoft.com/office/drawing/2014/main" id="{00000000-0008-0000-0800-0000A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3" name="Text Box 50">
          <a:extLst>
            <a:ext uri="{FF2B5EF4-FFF2-40B4-BE49-F238E27FC236}">
              <a16:creationId xmlns:a16="http://schemas.microsoft.com/office/drawing/2014/main" id="{00000000-0008-0000-0800-0000A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4" name="Text Box 51">
          <a:extLst>
            <a:ext uri="{FF2B5EF4-FFF2-40B4-BE49-F238E27FC236}">
              <a16:creationId xmlns:a16="http://schemas.microsoft.com/office/drawing/2014/main" id="{00000000-0008-0000-0800-0000A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5" name="Text Box 52">
          <a:extLst>
            <a:ext uri="{FF2B5EF4-FFF2-40B4-BE49-F238E27FC236}">
              <a16:creationId xmlns:a16="http://schemas.microsoft.com/office/drawing/2014/main" id="{00000000-0008-0000-0800-0000A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6" name="Text Box 53">
          <a:extLst>
            <a:ext uri="{FF2B5EF4-FFF2-40B4-BE49-F238E27FC236}">
              <a16:creationId xmlns:a16="http://schemas.microsoft.com/office/drawing/2014/main" id="{00000000-0008-0000-0800-0000A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7" name="Text Box 54">
          <a:extLst>
            <a:ext uri="{FF2B5EF4-FFF2-40B4-BE49-F238E27FC236}">
              <a16:creationId xmlns:a16="http://schemas.microsoft.com/office/drawing/2014/main" id="{00000000-0008-0000-0800-0000A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8" name="Text Box 55">
          <a:extLst>
            <a:ext uri="{FF2B5EF4-FFF2-40B4-BE49-F238E27FC236}">
              <a16:creationId xmlns:a16="http://schemas.microsoft.com/office/drawing/2014/main" id="{00000000-0008-0000-0800-0000B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9" name="Text Box 56">
          <a:extLst>
            <a:ext uri="{FF2B5EF4-FFF2-40B4-BE49-F238E27FC236}">
              <a16:creationId xmlns:a16="http://schemas.microsoft.com/office/drawing/2014/main" id="{00000000-0008-0000-0800-0000B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0" name="Text Box 57">
          <a:extLst>
            <a:ext uri="{FF2B5EF4-FFF2-40B4-BE49-F238E27FC236}">
              <a16:creationId xmlns:a16="http://schemas.microsoft.com/office/drawing/2014/main" id="{00000000-0008-0000-0800-0000B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1" name="Text Box 58">
          <a:extLst>
            <a:ext uri="{FF2B5EF4-FFF2-40B4-BE49-F238E27FC236}">
              <a16:creationId xmlns:a16="http://schemas.microsoft.com/office/drawing/2014/main" id="{00000000-0008-0000-0800-0000B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2" name="Text Box 59">
          <a:extLst>
            <a:ext uri="{FF2B5EF4-FFF2-40B4-BE49-F238E27FC236}">
              <a16:creationId xmlns:a16="http://schemas.microsoft.com/office/drawing/2014/main" id="{00000000-0008-0000-0800-0000B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3" name="Text Box 60">
          <a:extLst>
            <a:ext uri="{FF2B5EF4-FFF2-40B4-BE49-F238E27FC236}">
              <a16:creationId xmlns:a16="http://schemas.microsoft.com/office/drawing/2014/main" id="{00000000-0008-0000-0800-0000B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4" name="Text Box 61">
          <a:extLst>
            <a:ext uri="{FF2B5EF4-FFF2-40B4-BE49-F238E27FC236}">
              <a16:creationId xmlns:a16="http://schemas.microsoft.com/office/drawing/2014/main" id="{00000000-0008-0000-0800-0000B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5" name="Text Box 62">
          <a:extLst>
            <a:ext uri="{FF2B5EF4-FFF2-40B4-BE49-F238E27FC236}">
              <a16:creationId xmlns:a16="http://schemas.microsoft.com/office/drawing/2014/main" id="{00000000-0008-0000-0800-0000B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6" name="Text Box 63">
          <a:extLst>
            <a:ext uri="{FF2B5EF4-FFF2-40B4-BE49-F238E27FC236}">
              <a16:creationId xmlns:a16="http://schemas.microsoft.com/office/drawing/2014/main" id="{00000000-0008-0000-0800-0000B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7" name="Text Box 64">
          <a:extLst>
            <a:ext uri="{FF2B5EF4-FFF2-40B4-BE49-F238E27FC236}">
              <a16:creationId xmlns:a16="http://schemas.microsoft.com/office/drawing/2014/main" id="{00000000-0008-0000-0800-0000B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8" name="Text Box 65">
          <a:extLst>
            <a:ext uri="{FF2B5EF4-FFF2-40B4-BE49-F238E27FC236}">
              <a16:creationId xmlns:a16="http://schemas.microsoft.com/office/drawing/2014/main" id="{00000000-0008-0000-0800-0000B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9" name="Text Box 66">
          <a:extLst>
            <a:ext uri="{FF2B5EF4-FFF2-40B4-BE49-F238E27FC236}">
              <a16:creationId xmlns:a16="http://schemas.microsoft.com/office/drawing/2014/main" id="{00000000-0008-0000-0800-0000B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0" name="Text Box 67">
          <a:extLst>
            <a:ext uri="{FF2B5EF4-FFF2-40B4-BE49-F238E27FC236}">
              <a16:creationId xmlns:a16="http://schemas.microsoft.com/office/drawing/2014/main" id="{00000000-0008-0000-0800-0000B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1" name="Text Box 68">
          <a:extLst>
            <a:ext uri="{FF2B5EF4-FFF2-40B4-BE49-F238E27FC236}">
              <a16:creationId xmlns:a16="http://schemas.microsoft.com/office/drawing/2014/main" id="{00000000-0008-0000-0800-0000B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2" name="Text Box 69">
          <a:extLst>
            <a:ext uri="{FF2B5EF4-FFF2-40B4-BE49-F238E27FC236}">
              <a16:creationId xmlns:a16="http://schemas.microsoft.com/office/drawing/2014/main" id="{00000000-0008-0000-0800-0000B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3" name="Text Box 70">
          <a:extLst>
            <a:ext uri="{FF2B5EF4-FFF2-40B4-BE49-F238E27FC236}">
              <a16:creationId xmlns:a16="http://schemas.microsoft.com/office/drawing/2014/main" id="{00000000-0008-0000-0800-0000B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4" name="Text Box 71">
          <a:extLst>
            <a:ext uri="{FF2B5EF4-FFF2-40B4-BE49-F238E27FC236}">
              <a16:creationId xmlns:a16="http://schemas.microsoft.com/office/drawing/2014/main" id="{00000000-0008-0000-0800-0000C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5" name="Text Box 72">
          <a:extLst>
            <a:ext uri="{FF2B5EF4-FFF2-40B4-BE49-F238E27FC236}">
              <a16:creationId xmlns:a16="http://schemas.microsoft.com/office/drawing/2014/main" id="{00000000-0008-0000-0800-0000C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6" name="Text Box 73">
          <a:extLst>
            <a:ext uri="{FF2B5EF4-FFF2-40B4-BE49-F238E27FC236}">
              <a16:creationId xmlns:a16="http://schemas.microsoft.com/office/drawing/2014/main" id="{00000000-0008-0000-0800-0000C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7" name="Text Box 74">
          <a:extLst>
            <a:ext uri="{FF2B5EF4-FFF2-40B4-BE49-F238E27FC236}">
              <a16:creationId xmlns:a16="http://schemas.microsoft.com/office/drawing/2014/main" id="{00000000-0008-0000-0800-0000C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8" name="Text Box 75">
          <a:extLst>
            <a:ext uri="{FF2B5EF4-FFF2-40B4-BE49-F238E27FC236}">
              <a16:creationId xmlns:a16="http://schemas.microsoft.com/office/drawing/2014/main" id="{00000000-0008-0000-0800-0000C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9" name="Text Box 76">
          <a:extLst>
            <a:ext uri="{FF2B5EF4-FFF2-40B4-BE49-F238E27FC236}">
              <a16:creationId xmlns:a16="http://schemas.microsoft.com/office/drawing/2014/main" id="{00000000-0008-0000-0800-0000C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0" name="Text Box 77">
          <a:extLst>
            <a:ext uri="{FF2B5EF4-FFF2-40B4-BE49-F238E27FC236}">
              <a16:creationId xmlns:a16="http://schemas.microsoft.com/office/drawing/2014/main" id="{00000000-0008-0000-0800-0000C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1" name="Text Box 78">
          <a:extLst>
            <a:ext uri="{FF2B5EF4-FFF2-40B4-BE49-F238E27FC236}">
              <a16:creationId xmlns:a16="http://schemas.microsoft.com/office/drawing/2014/main" id="{00000000-0008-0000-0800-0000C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2" name="Text Box 79">
          <a:extLst>
            <a:ext uri="{FF2B5EF4-FFF2-40B4-BE49-F238E27FC236}">
              <a16:creationId xmlns:a16="http://schemas.microsoft.com/office/drawing/2014/main" id="{00000000-0008-0000-0800-0000C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3" name="Text Box 80">
          <a:extLst>
            <a:ext uri="{FF2B5EF4-FFF2-40B4-BE49-F238E27FC236}">
              <a16:creationId xmlns:a16="http://schemas.microsoft.com/office/drawing/2014/main" id="{00000000-0008-0000-0800-0000C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4" name="Text Box 81">
          <a:extLst>
            <a:ext uri="{FF2B5EF4-FFF2-40B4-BE49-F238E27FC236}">
              <a16:creationId xmlns:a16="http://schemas.microsoft.com/office/drawing/2014/main" id="{00000000-0008-0000-0800-0000C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5" name="Text Box 82">
          <a:extLst>
            <a:ext uri="{FF2B5EF4-FFF2-40B4-BE49-F238E27FC236}">
              <a16:creationId xmlns:a16="http://schemas.microsoft.com/office/drawing/2014/main" id="{00000000-0008-0000-0800-0000C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6" name="Text Box 83">
          <a:extLst>
            <a:ext uri="{FF2B5EF4-FFF2-40B4-BE49-F238E27FC236}">
              <a16:creationId xmlns:a16="http://schemas.microsoft.com/office/drawing/2014/main" id="{00000000-0008-0000-0800-0000C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7" name="Text Box 84">
          <a:extLst>
            <a:ext uri="{FF2B5EF4-FFF2-40B4-BE49-F238E27FC236}">
              <a16:creationId xmlns:a16="http://schemas.microsoft.com/office/drawing/2014/main" id="{00000000-0008-0000-0800-0000C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8" name="Text Box 85">
          <a:extLst>
            <a:ext uri="{FF2B5EF4-FFF2-40B4-BE49-F238E27FC236}">
              <a16:creationId xmlns:a16="http://schemas.microsoft.com/office/drawing/2014/main" id="{00000000-0008-0000-0800-0000C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9" name="Text Box 86">
          <a:extLst>
            <a:ext uri="{FF2B5EF4-FFF2-40B4-BE49-F238E27FC236}">
              <a16:creationId xmlns:a16="http://schemas.microsoft.com/office/drawing/2014/main" id="{00000000-0008-0000-0800-0000C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0" name="Text Box 87">
          <a:extLst>
            <a:ext uri="{FF2B5EF4-FFF2-40B4-BE49-F238E27FC236}">
              <a16:creationId xmlns:a16="http://schemas.microsoft.com/office/drawing/2014/main" id="{00000000-0008-0000-0800-0000D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1" name="Text Box 88">
          <a:extLst>
            <a:ext uri="{FF2B5EF4-FFF2-40B4-BE49-F238E27FC236}">
              <a16:creationId xmlns:a16="http://schemas.microsoft.com/office/drawing/2014/main" id="{00000000-0008-0000-0800-0000D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2" name="Text Box 89">
          <a:extLst>
            <a:ext uri="{FF2B5EF4-FFF2-40B4-BE49-F238E27FC236}">
              <a16:creationId xmlns:a16="http://schemas.microsoft.com/office/drawing/2014/main" id="{00000000-0008-0000-0800-0000D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3" name="Text Box 90">
          <a:extLst>
            <a:ext uri="{FF2B5EF4-FFF2-40B4-BE49-F238E27FC236}">
              <a16:creationId xmlns:a16="http://schemas.microsoft.com/office/drawing/2014/main" id="{00000000-0008-0000-0800-0000D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4" name="Text Box 91">
          <a:extLst>
            <a:ext uri="{FF2B5EF4-FFF2-40B4-BE49-F238E27FC236}">
              <a16:creationId xmlns:a16="http://schemas.microsoft.com/office/drawing/2014/main" id="{00000000-0008-0000-0800-0000D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5" name="Text Box 92">
          <a:extLst>
            <a:ext uri="{FF2B5EF4-FFF2-40B4-BE49-F238E27FC236}">
              <a16:creationId xmlns:a16="http://schemas.microsoft.com/office/drawing/2014/main" id="{00000000-0008-0000-0800-0000D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6" name="Text Box 93">
          <a:extLst>
            <a:ext uri="{FF2B5EF4-FFF2-40B4-BE49-F238E27FC236}">
              <a16:creationId xmlns:a16="http://schemas.microsoft.com/office/drawing/2014/main" id="{00000000-0008-0000-0800-0000D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7" name="Text Box 94">
          <a:extLst>
            <a:ext uri="{FF2B5EF4-FFF2-40B4-BE49-F238E27FC236}">
              <a16:creationId xmlns:a16="http://schemas.microsoft.com/office/drawing/2014/main" id="{00000000-0008-0000-0800-0000D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8" name="Text Box 95">
          <a:extLst>
            <a:ext uri="{FF2B5EF4-FFF2-40B4-BE49-F238E27FC236}">
              <a16:creationId xmlns:a16="http://schemas.microsoft.com/office/drawing/2014/main" id="{00000000-0008-0000-0800-0000D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9" name="Text Box 96">
          <a:extLst>
            <a:ext uri="{FF2B5EF4-FFF2-40B4-BE49-F238E27FC236}">
              <a16:creationId xmlns:a16="http://schemas.microsoft.com/office/drawing/2014/main" id="{00000000-0008-0000-0800-0000D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70" name="Text Box 97">
          <a:extLst>
            <a:ext uri="{FF2B5EF4-FFF2-40B4-BE49-F238E27FC236}">
              <a16:creationId xmlns:a16="http://schemas.microsoft.com/office/drawing/2014/main" id="{00000000-0008-0000-0800-0000D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1" name="Text Box 100">
          <a:extLst>
            <a:ext uri="{FF2B5EF4-FFF2-40B4-BE49-F238E27FC236}">
              <a16:creationId xmlns:a16="http://schemas.microsoft.com/office/drawing/2014/main" id="{00000000-0008-0000-0800-0000D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2" name="Text Box 101">
          <a:extLst>
            <a:ext uri="{FF2B5EF4-FFF2-40B4-BE49-F238E27FC236}">
              <a16:creationId xmlns:a16="http://schemas.microsoft.com/office/drawing/2014/main" id="{00000000-0008-0000-0800-0000D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3" name="Text Box 102">
          <a:extLst>
            <a:ext uri="{FF2B5EF4-FFF2-40B4-BE49-F238E27FC236}">
              <a16:creationId xmlns:a16="http://schemas.microsoft.com/office/drawing/2014/main" id="{00000000-0008-0000-0800-0000D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4" name="Text Box 103">
          <a:extLst>
            <a:ext uri="{FF2B5EF4-FFF2-40B4-BE49-F238E27FC236}">
              <a16:creationId xmlns:a16="http://schemas.microsoft.com/office/drawing/2014/main" id="{00000000-0008-0000-0800-0000D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5" name="Text Box 104">
          <a:extLst>
            <a:ext uri="{FF2B5EF4-FFF2-40B4-BE49-F238E27FC236}">
              <a16:creationId xmlns:a16="http://schemas.microsoft.com/office/drawing/2014/main" id="{00000000-0008-0000-0800-0000D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6" name="Text Box 105">
          <a:extLst>
            <a:ext uri="{FF2B5EF4-FFF2-40B4-BE49-F238E27FC236}">
              <a16:creationId xmlns:a16="http://schemas.microsoft.com/office/drawing/2014/main" id="{00000000-0008-0000-0800-0000E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7" name="Text Box 106">
          <a:extLst>
            <a:ext uri="{FF2B5EF4-FFF2-40B4-BE49-F238E27FC236}">
              <a16:creationId xmlns:a16="http://schemas.microsoft.com/office/drawing/2014/main" id="{00000000-0008-0000-0800-0000E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8" name="Text Box 107">
          <a:extLst>
            <a:ext uri="{FF2B5EF4-FFF2-40B4-BE49-F238E27FC236}">
              <a16:creationId xmlns:a16="http://schemas.microsoft.com/office/drawing/2014/main" id="{00000000-0008-0000-0800-0000E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9" name="Text Box 108">
          <a:extLst>
            <a:ext uri="{FF2B5EF4-FFF2-40B4-BE49-F238E27FC236}">
              <a16:creationId xmlns:a16="http://schemas.microsoft.com/office/drawing/2014/main" id="{00000000-0008-0000-0800-0000E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0" name="Text Box 109">
          <a:extLst>
            <a:ext uri="{FF2B5EF4-FFF2-40B4-BE49-F238E27FC236}">
              <a16:creationId xmlns:a16="http://schemas.microsoft.com/office/drawing/2014/main" id="{00000000-0008-0000-0800-0000E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1" name="Text Box 110">
          <a:extLst>
            <a:ext uri="{FF2B5EF4-FFF2-40B4-BE49-F238E27FC236}">
              <a16:creationId xmlns:a16="http://schemas.microsoft.com/office/drawing/2014/main" id="{00000000-0008-0000-0800-0000E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2" name="Text Box 111">
          <a:extLst>
            <a:ext uri="{FF2B5EF4-FFF2-40B4-BE49-F238E27FC236}">
              <a16:creationId xmlns:a16="http://schemas.microsoft.com/office/drawing/2014/main" id="{00000000-0008-0000-0800-0000E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3" name="Text Box 119">
          <a:extLst>
            <a:ext uri="{FF2B5EF4-FFF2-40B4-BE49-F238E27FC236}">
              <a16:creationId xmlns:a16="http://schemas.microsoft.com/office/drawing/2014/main" id="{00000000-0008-0000-0800-0000E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4" name="Text Box 120">
          <a:extLst>
            <a:ext uri="{FF2B5EF4-FFF2-40B4-BE49-F238E27FC236}">
              <a16:creationId xmlns:a16="http://schemas.microsoft.com/office/drawing/2014/main" id="{00000000-0008-0000-0800-0000E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5" name="Text Box 121">
          <a:extLst>
            <a:ext uri="{FF2B5EF4-FFF2-40B4-BE49-F238E27FC236}">
              <a16:creationId xmlns:a16="http://schemas.microsoft.com/office/drawing/2014/main" id="{00000000-0008-0000-0800-0000E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6" name="Text Box 122">
          <a:extLst>
            <a:ext uri="{FF2B5EF4-FFF2-40B4-BE49-F238E27FC236}">
              <a16:creationId xmlns:a16="http://schemas.microsoft.com/office/drawing/2014/main" id="{00000000-0008-0000-0800-0000E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7" name="Text Box 123">
          <a:extLst>
            <a:ext uri="{FF2B5EF4-FFF2-40B4-BE49-F238E27FC236}">
              <a16:creationId xmlns:a16="http://schemas.microsoft.com/office/drawing/2014/main" id="{00000000-0008-0000-0800-0000E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8" name="Text Box 124">
          <a:extLst>
            <a:ext uri="{FF2B5EF4-FFF2-40B4-BE49-F238E27FC236}">
              <a16:creationId xmlns:a16="http://schemas.microsoft.com/office/drawing/2014/main" id="{00000000-0008-0000-0800-0000E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9" name="Text Box 125">
          <a:extLst>
            <a:ext uri="{FF2B5EF4-FFF2-40B4-BE49-F238E27FC236}">
              <a16:creationId xmlns:a16="http://schemas.microsoft.com/office/drawing/2014/main" id="{00000000-0008-0000-0800-0000E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0" name="Text Box 126">
          <a:extLst>
            <a:ext uri="{FF2B5EF4-FFF2-40B4-BE49-F238E27FC236}">
              <a16:creationId xmlns:a16="http://schemas.microsoft.com/office/drawing/2014/main" id="{00000000-0008-0000-0800-0000E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1" name="Text Box 127">
          <a:extLst>
            <a:ext uri="{FF2B5EF4-FFF2-40B4-BE49-F238E27FC236}">
              <a16:creationId xmlns:a16="http://schemas.microsoft.com/office/drawing/2014/main" id="{00000000-0008-0000-0800-0000E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2" name="Text Box 128">
          <a:extLst>
            <a:ext uri="{FF2B5EF4-FFF2-40B4-BE49-F238E27FC236}">
              <a16:creationId xmlns:a16="http://schemas.microsoft.com/office/drawing/2014/main" id="{00000000-0008-0000-0800-0000F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3" name="Text Box 129">
          <a:extLst>
            <a:ext uri="{FF2B5EF4-FFF2-40B4-BE49-F238E27FC236}">
              <a16:creationId xmlns:a16="http://schemas.microsoft.com/office/drawing/2014/main" id="{00000000-0008-0000-0800-0000F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4" name="Text Box 130">
          <a:extLst>
            <a:ext uri="{FF2B5EF4-FFF2-40B4-BE49-F238E27FC236}">
              <a16:creationId xmlns:a16="http://schemas.microsoft.com/office/drawing/2014/main" id="{00000000-0008-0000-0800-0000F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5" name="Text Box 133">
          <a:extLst>
            <a:ext uri="{FF2B5EF4-FFF2-40B4-BE49-F238E27FC236}">
              <a16:creationId xmlns:a16="http://schemas.microsoft.com/office/drawing/2014/main" id="{00000000-0008-0000-0800-0000F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6" name="Text Box 134">
          <a:extLst>
            <a:ext uri="{FF2B5EF4-FFF2-40B4-BE49-F238E27FC236}">
              <a16:creationId xmlns:a16="http://schemas.microsoft.com/office/drawing/2014/main" id="{00000000-0008-0000-0800-0000F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7" name="Text Box 135">
          <a:extLst>
            <a:ext uri="{FF2B5EF4-FFF2-40B4-BE49-F238E27FC236}">
              <a16:creationId xmlns:a16="http://schemas.microsoft.com/office/drawing/2014/main" id="{00000000-0008-0000-0800-0000F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8" name="Text Box 136">
          <a:extLst>
            <a:ext uri="{FF2B5EF4-FFF2-40B4-BE49-F238E27FC236}">
              <a16:creationId xmlns:a16="http://schemas.microsoft.com/office/drawing/2014/main" id="{00000000-0008-0000-0800-0000F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9" name="Text Box 137">
          <a:extLst>
            <a:ext uri="{FF2B5EF4-FFF2-40B4-BE49-F238E27FC236}">
              <a16:creationId xmlns:a16="http://schemas.microsoft.com/office/drawing/2014/main" id="{00000000-0008-0000-0800-0000F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0" name="Text Box 138">
          <a:extLst>
            <a:ext uri="{FF2B5EF4-FFF2-40B4-BE49-F238E27FC236}">
              <a16:creationId xmlns:a16="http://schemas.microsoft.com/office/drawing/2014/main" id="{00000000-0008-0000-0800-0000F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1" name="Text Box 139">
          <a:extLst>
            <a:ext uri="{FF2B5EF4-FFF2-40B4-BE49-F238E27FC236}">
              <a16:creationId xmlns:a16="http://schemas.microsoft.com/office/drawing/2014/main" id="{00000000-0008-0000-0800-0000F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2" name="Text Box 140">
          <a:extLst>
            <a:ext uri="{FF2B5EF4-FFF2-40B4-BE49-F238E27FC236}">
              <a16:creationId xmlns:a16="http://schemas.microsoft.com/office/drawing/2014/main" id="{00000000-0008-0000-0800-0000F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3" name="Text Box 141">
          <a:extLst>
            <a:ext uri="{FF2B5EF4-FFF2-40B4-BE49-F238E27FC236}">
              <a16:creationId xmlns:a16="http://schemas.microsoft.com/office/drawing/2014/main" id="{00000000-0008-0000-0800-0000F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4" name="Text Box 142">
          <a:extLst>
            <a:ext uri="{FF2B5EF4-FFF2-40B4-BE49-F238E27FC236}">
              <a16:creationId xmlns:a16="http://schemas.microsoft.com/office/drawing/2014/main" id="{00000000-0008-0000-0800-0000F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5" name="Text Box 143">
          <a:extLst>
            <a:ext uri="{FF2B5EF4-FFF2-40B4-BE49-F238E27FC236}">
              <a16:creationId xmlns:a16="http://schemas.microsoft.com/office/drawing/2014/main" id="{00000000-0008-0000-0800-0000F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6" name="Text Box 144">
          <a:extLst>
            <a:ext uri="{FF2B5EF4-FFF2-40B4-BE49-F238E27FC236}">
              <a16:creationId xmlns:a16="http://schemas.microsoft.com/office/drawing/2014/main" id="{00000000-0008-0000-0800-0000F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7" name="Text Box 145">
          <a:extLst>
            <a:ext uri="{FF2B5EF4-FFF2-40B4-BE49-F238E27FC236}">
              <a16:creationId xmlns:a16="http://schemas.microsoft.com/office/drawing/2014/main" id="{00000000-0008-0000-0800-0000F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8" name="Text Box 146">
          <a:extLst>
            <a:ext uri="{FF2B5EF4-FFF2-40B4-BE49-F238E27FC236}">
              <a16:creationId xmlns:a16="http://schemas.microsoft.com/office/drawing/2014/main" id="{00000000-0008-0000-0800-00000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9" name="Text Box 147">
          <a:extLst>
            <a:ext uri="{FF2B5EF4-FFF2-40B4-BE49-F238E27FC236}">
              <a16:creationId xmlns:a16="http://schemas.microsoft.com/office/drawing/2014/main" id="{00000000-0008-0000-0800-00000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0" name="Text Box 148">
          <a:extLst>
            <a:ext uri="{FF2B5EF4-FFF2-40B4-BE49-F238E27FC236}">
              <a16:creationId xmlns:a16="http://schemas.microsoft.com/office/drawing/2014/main" id="{00000000-0008-0000-0800-00000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1" name="Text Box 149">
          <a:extLst>
            <a:ext uri="{FF2B5EF4-FFF2-40B4-BE49-F238E27FC236}">
              <a16:creationId xmlns:a16="http://schemas.microsoft.com/office/drawing/2014/main" id="{00000000-0008-0000-0800-00000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2" name="Text Box 150">
          <a:extLst>
            <a:ext uri="{FF2B5EF4-FFF2-40B4-BE49-F238E27FC236}">
              <a16:creationId xmlns:a16="http://schemas.microsoft.com/office/drawing/2014/main" id="{00000000-0008-0000-0800-00000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3" name="Text Box 151">
          <a:extLst>
            <a:ext uri="{FF2B5EF4-FFF2-40B4-BE49-F238E27FC236}">
              <a16:creationId xmlns:a16="http://schemas.microsoft.com/office/drawing/2014/main" id="{00000000-0008-0000-0800-00000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4" name="Text Box 152">
          <a:extLst>
            <a:ext uri="{FF2B5EF4-FFF2-40B4-BE49-F238E27FC236}">
              <a16:creationId xmlns:a16="http://schemas.microsoft.com/office/drawing/2014/main" id="{00000000-0008-0000-0800-00000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5" name="Text Box 153">
          <a:extLst>
            <a:ext uri="{FF2B5EF4-FFF2-40B4-BE49-F238E27FC236}">
              <a16:creationId xmlns:a16="http://schemas.microsoft.com/office/drawing/2014/main" id="{00000000-0008-0000-0800-00000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6" name="Text Box 154">
          <a:extLst>
            <a:ext uri="{FF2B5EF4-FFF2-40B4-BE49-F238E27FC236}">
              <a16:creationId xmlns:a16="http://schemas.microsoft.com/office/drawing/2014/main" id="{00000000-0008-0000-0800-00000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7" name="Text Box 155">
          <a:extLst>
            <a:ext uri="{FF2B5EF4-FFF2-40B4-BE49-F238E27FC236}">
              <a16:creationId xmlns:a16="http://schemas.microsoft.com/office/drawing/2014/main" id="{00000000-0008-0000-0800-00000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8" name="Text Box 156">
          <a:extLst>
            <a:ext uri="{FF2B5EF4-FFF2-40B4-BE49-F238E27FC236}">
              <a16:creationId xmlns:a16="http://schemas.microsoft.com/office/drawing/2014/main" id="{00000000-0008-0000-0800-00000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9" name="Text Box 157">
          <a:extLst>
            <a:ext uri="{FF2B5EF4-FFF2-40B4-BE49-F238E27FC236}">
              <a16:creationId xmlns:a16="http://schemas.microsoft.com/office/drawing/2014/main" id="{00000000-0008-0000-0800-00000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0" name="Text Box 158">
          <a:extLst>
            <a:ext uri="{FF2B5EF4-FFF2-40B4-BE49-F238E27FC236}">
              <a16:creationId xmlns:a16="http://schemas.microsoft.com/office/drawing/2014/main" id="{00000000-0008-0000-0800-00000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1" name="Text Box 159">
          <a:extLst>
            <a:ext uri="{FF2B5EF4-FFF2-40B4-BE49-F238E27FC236}">
              <a16:creationId xmlns:a16="http://schemas.microsoft.com/office/drawing/2014/main" id="{00000000-0008-0000-0800-00000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2" name="Text Box 160">
          <a:extLst>
            <a:ext uri="{FF2B5EF4-FFF2-40B4-BE49-F238E27FC236}">
              <a16:creationId xmlns:a16="http://schemas.microsoft.com/office/drawing/2014/main" id="{00000000-0008-0000-0800-00000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3" name="Text Box 161">
          <a:extLst>
            <a:ext uri="{FF2B5EF4-FFF2-40B4-BE49-F238E27FC236}">
              <a16:creationId xmlns:a16="http://schemas.microsoft.com/office/drawing/2014/main" id="{00000000-0008-0000-0800-00000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4" name="Text Box 162">
          <a:extLst>
            <a:ext uri="{FF2B5EF4-FFF2-40B4-BE49-F238E27FC236}">
              <a16:creationId xmlns:a16="http://schemas.microsoft.com/office/drawing/2014/main" id="{00000000-0008-0000-0800-00001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5" name="Text Box 163">
          <a:extLst>
            <a:ext uri="{FF2B5EF4-FFF2-40B4-BE49-F238E27FC236}">
              <a16:creationId xmlns:a16="http://schemas.microsoft.com/office/drawing/2014/main" id="{00000000-0008-0000-0800-00001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6" name="Text Box 164">
          <a:extLst>
            <a:ext uri="{FF2B5EF4-FFF2-40B4-BE49-F238E27FC236}">
              <a16:creationId xmlns:a16="http://schemas.microsoft.com/office/drawing/2014/main" id="{00000000-0008-0000-0800-00001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7" name="Text Box 165">
          <a:extLst>
            <a:ext uri="{FF2B5EF4-FFF2-40B4-BE49-F238E27FC236}">
              <a16:creationId xmlns:a16="http://schemas.microsoft.com/office/drawing/2014/main" id="{00000000-0008-0000-0800-00001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8" name="Text Box 166">
          <a:extLst>
            <a:ext uri="{FF2B5EF4-FFF2-40B4-BE49-F238E27FC236}">
              <a16:creationId xmlns:a16="http://schemas.microsoft.com/office/drawing/2014/main" id="{00000000-0008-0000-0800-00001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9" name="Text Box 167">
          <a:extLst>
            <a:ext uri="{FF2B5EF4-FFF2-40B4-BE49-F238E27FC236}">
              <a16:creationId xmlns:a16="http://schemas.microsoft.com/office/drawing/2014/main" id="{00000000-0008-0000-0800-00001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0" name="Text Box 168">
          <a:extLst>
            <a:ext uri="{FF2B5EF4-FFF2-40B4-BE49-F238E27FC236}">
              <a16:creationId xmlns:a16="http://schemas.microsoft.com/office/drawing/2014/main" id="{00000000-0008-0000-0800-00001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1" name="Text Box 169">
          <a:extLst>
            <a:ext uri="{FF2B5EF4-FFF2-40B4-BE49-F238E27FC236}">
              <a16:creationId xmlns:a16="http://schemas.microsoft.com/office/drawing/2014/main" id="{00000000-0008-0000-0800-00001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2" name="Text Box 170">
          <a:extLst>
            <a:ext uri="{FF2B5EF4-FFF2-40B4-BE49-F238E27FC236}">
              <a16:creationId xmlns:a16="http://schemas.microsoft.com/office/drawing/2014/main" id="{00000000-0008-0000-0800-00001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3" name="Text Box 171">
          <a:extLst>
            <a:ext uri="{FF2B5EF4-FFF2-40B4-BE49-F238E27FC236}">
              <a16:creationId xmlns:a16="http://schemas.microsoft.com/office/drawing/2014/main" id="{00000000-0008-0000-0800-00001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4" name="Text Box 172">
          <a:extLst>
            <a:ext uri="{FF2B5EF4-FFF2-40B4-BE49-F238E27FC236}">
              <a16:creationId xmlns:a16="http://schemas.microsoft.com/office/drawing/2014/main" id="{00000000-0008-0000-0800-00001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5" name="Text Box 173">
          <a:extLst>
            <a:ext uri="{FF2B5EF4-FFF2-40B4-BE49-F238E27FC236}">
              <a16:creationId xmlns:a16="http://schemas.microsoft.com/office/drawing/2014/main" id="{00000000-0008-0000-0800-00001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6" name="Text Box 174">
          <a:extLst>
            <a:ext uri="{FF2B5EF4-FFF2-40B4-BE49-F238E27FC236}">
              <a16:creationId xmlns:a16="http://schemas.microsoft.com/office/drawing/2014/main" id="{00000000-0008-0000-0800-00001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7" name="Text Box 175">
          <a:extLst>
            <a:ext uri="{FF2B5EF4-FFF2-40B4-BE49-F238E27FC236}">
              <a16:creationId xmlns:a16="http://schemas.microsoft.com/office/drawing/2014/main" id="{00000000-0008-0000-0800-00001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8" name="Text Box 176">
          <a:extLst>
            <a:ext uri="{FF2B5EF4-FFF2-40B4-BE49-F238E27FC236}">
              <a16:creationId xmlns:a16="http://schemas.microsoft.com/office/drawing/2014/main" id="{00000000-0008-0000-0800-00001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9" name="Text Box 177">
          <a:extLst>
            <a:ext uri="{FF2B5EF4-FFF2-40B4-BE49-F238E27FC236}">
              <a16:creationId xmlns:a16="http://schemas.microsoft.com/office/drawing/2014/main" id="{00000000-0008-0000-0800-00001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0" name="Text Box 178">
          <a:extLst>
            <a:ext uri="{FF2B5EF4-FFF2-40B4-BE49-F238E27FC236}">
              <a16:creationId xmlns:a16="http://schemas.microsoft.com/office/drawing/2014/main" id="{00000000-0008-0000-0800-00002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1" name="Text Box 179">
          <a:extLst>
            <a:ext uri="{FF2B5EF4-FFF2-40B4-BE49-F238E27FC236}">
              <a16:creationId xmlns:a16="http://schemas.microsoft.com/office/drawing/2014/main" id="{00000000-0008-0000-0800-00002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2" name="Text Box 180">
          <a:extLst>
            <a:ext uri="{FF2B5EF4-FFF2-40B4-BE49-F238E27FC236}">
              <a16:creationId xmlns:a16="http://schemas.microsoft.com/office/drawing/2014/main" id="{00000000-0008-0000-0800-00002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3" name="Text Box 181">
          <a:extLst>
            <a:ext uri="{FF2B5EF4-FFF2-40B4-BE49-F238E27FC236}">
              <a16:creationId xmlns:a16="http://schemas.microsoft.com/office/drawing/2014/main" id="{00000000-0008-0000-0800-00002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4" name="Text Box 182">
          <a:extLst>
            <a:ext uri="{FF2B5EF4-FFF2-40B4-BE49-F238E27FC236}">
              <a16:creationId xmlns:a16="http://schemas.microsoft.com/office/drawing/2014/main" id="{00000000-0008-0000-0800-00002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5" name="Text Box 183">
          <a:extLst>
            <a:ext uri="{FF2B5EF4-FFF2-40B4-BE49-F238E27FC236}">
              <a16:creationId xmlns:a16="http://schemas.microsoft.com/office/drawing/2014/main" id="{00000000-0008-0000-0800-00002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6" name="Text Box 184">
          <a:extLst>
            <a:ext uri="{FF2B5EF4-FFF2-40B4-BE49-F238E27FC236}">
              <a16:creationId xmlns:a16="http://schemas.microsoft.com/office/drawing/2014/main" id="{00000000-0008-0000-0800-00002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7" name="Text Box 185">
          <a:extLst>
            <a:ext uri="{FF2B5EF4-FFF2-40B4-BE49-F238E27FC236}">
              <a16:creationId xmlns:a16="http://schemas.microsoft.com/office/drawing/2014/main" id="{00000000-0008-0000-0800-00002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8" name="Text Box 186">
          <a:extLst>
            <a:ext uri="{FF2B5EF4-FFF2-40B4-BE49-F238E27FC236}">
              <a16:creationId xmlns:a16="http://schemas.microsoft.com/office/drawing/2014/main" id="{00000000-0008-0000-0800-00002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9" name="Text Box 187">
          <a:extLst>
            <a:ext uri="{FF2B5EF4-FFF2-40B4-BE49-F238E27FC236}">
              <a16:creationId xmlns:a16="http://schemas.microsoft.com/office/drawing/2014/main" id="{00000000-0008-0000-0800-00002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0" name="Text Box 188">
          <a:extLst>
            <a:ext uri="{FF2B5EF4-FFF2-40B4-BE49-F238E27FC236}">
              <a16:creationId xmlns:a16="http://schemas.microsoft.com/office/drawing/2014/main" id="{00000000-0008-0000-0800-00002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1" name="Text Box 189">
          <a:extLst>
            <a:ext uri="{FF2B5EF4-FFF2-40B4-BE49-F238E27FC236}">
              <a16:creationId xmlns:a16="http://schemas.microsoft.com/office/drawing/2014/main" id="{00000000-0008-0000-0800-00002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2" name="Text Box 190">
          <a:extLst>
            <a:ext uri="{FF2B5EF4-FFF2-40B4-BE49-F238E27FC236}">
              <a16:creationId xmlns:a16="http://schemas.microsoft.com/office/drawing/2014/main" id="{00000000-0008-0000-0800-00002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3" name="Text Box 191">
          <a:extLst>
            <a:ext uri="{FF2B5EF4-FFF2-40B4-BE49-F238E27FC236}">
              <a16:creationId xmlns:a16="http://schemas.microsoft.com/office/drawing/2014/main" id="{00000000-0008-0000-0800-00002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4" name="Text Box 192">
          <a:extLst>
            <a:ext uri="{FF2B5EF4-FFF2-40B4-BE49-F238E27FC236}">
              <a16:creationId xmlns:a16="http://schemas.microsoft.com/office/drawing/2014/main" id="{00000000-0008-0000-0800-00002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5" name="Text Box 193">
          <a:extLst>
            <a:ext uri="{FF2B5EF4-FFF2-40B4-BE49-F238E27FC236}">
              <a16:creationId xmlns:a16="http://schemas.microsoft.com/office/drawing/2014/main" id="{00000000-0008-0000-0800-00002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6" name="Text Box 194">
          <a:extLst>
            <a:ext uri="{FF2B5EF4-FFF2-40B4-BE49-F238E27FC236}">
              <a16:creationId xmlns:a16="http://schemas.microsoft.com/office/drawing/2014/main" id="{00000000-0008-0000-0800-00003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7" name="Text Box 195">
          <a:extLst>
            <a:ext uri="{FF2B5EF4-FFF2-40B4-BE49-F238E27FC236}">
              <a16:creationId xmlns:a16="http://schemas.microsoft.com/office/drawing/2014/main" id="{00000000-0008-0000-0800-00003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8" name="Text Box 196">
          <a:extLst>
            <a:ext uri="{FF2B5EF4-FFF2-40B4-BE49-F238E27FC236}">
              <a16:creationId xmlns:a16="http://schemas.microsoft.com/office/drawing/2014/main" id="{00000000-0008-0000-0800-00003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9" name="Text Box 197">
          <a:extLst>
            <a:ext uri="{FF2B5EF4-FFF2-40B4-BE49-F238E27FC236}">
              <a16:creationId xmlns:a16="http://schemas.microsoft.com/office/drawing/2014/main" id="{00000000-0008-0000-0800-00003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0" name="Text Box 198">
          <a:extLst>
            <a:ext uri="{FF2B5EF4-FFF2-40B4-BE49-F238E27FC236}">
              <a16:creationId xmlns:a16="http://schemas.microsoft.com/office/drawing/2014/main" id="{00000000-0008-0000-0800-00003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1" name="Text Box 199">
          <a:extLst>
            <a:ext uri="{FF2B5EF4-FFF2-40B4-BE49-F238E27FC236}">
              <a16:creationId xmlns:a16="http://schemas.microsoft.com/office/drawing/2014/main" id="{00000000-0008-0000-0800-00003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2" name="Text Box 200">
          <a:extLst>
            <a:ext uri="{FF2B5EF4-FFF2-40B4-BE49-F238E27FC236}">
              <a16:creationId xmlns:a16="http://schemas.microsoft.com/office/drawing/2014/main" id="{00000000-0008-0000-0800-00003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3" name="Text Box 201">
          <a:extLst>
            <a:ext uri="{FF2B5EF4-FFF2-40B4-BE49-F238E27FC236}">
              <a16:creationId xmlns:a16="http://schemas.microsoft.com/office/drawing/2014/main" id="{00000000-0008-0000-0800-00003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4" name="Text Box 202">
          <a:extLst>
            <a:ext uri="{FF2B5EF4-FFF2-40B4-BE49-F238E27FC236}">
              <a16:creationId xmlns:a16="http://schemas.microsoft.com/office/drawing/2014/main" id="{00000000-0008-0000-0800-00003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5" name="Text Box 203">
          <a:extLst>
            <a:ext uri="{FF2B5EF4-FFF2-40B4-BE49-F238E27FC236}">
              <a16:creationId xmlns:a16="http://schemas.microsoft.com/office/drawing/2014/main" id="{00000000-0008-0000-0800-00003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6" name="Text Box 204">
          <a:extLst>
            <a:ext uri="{FF2B5EF4-FFF2-40B4-BE49-F238E27FC236}">
              <a16:creationId xmlns:a16="http://schemas.microsoft.com/office/drawing/2014/main" id="{00000000-0008-0000-0800-00003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7" name="Text Box 205">
          <a:extLst>
            <a:ext uri="{FF2B5EF4-FFF2-40B4-BE49-F238E27FC236}">
              <a16:creationId xmlns:a16="http://schemas.microsoft.com/office/drawing/2014/main" id="{00000000-0008-0000-0800-00003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8" name="Text Box 206">
          <a:extLst>
            <a:ext uri="{FF2B5EF4-FFF2-40B4-BE49-F238E27FC236}">
              <a16:creationId xmlns:a16="http://schemas.microsoft.com/office/drawing/2014/main" id="{00000000-0008-0000-0800-00003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9" name="Text Box 207">
          <a:extLst>
            <a:ext uri="{FF2B5EF4-FFF2-40B4-BE49-F238E27FC236}">
              <a16:creationId xmlns:a16="http://schemas.microsoft.com/office/drawing/2014/main" id="{00000000-0008-0000-0800-00003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0" name="Text Box 208">
          <a:extLst>
            <a:ext uri="{FF2B5EF4-FFF2-40B4-BE49-F238E27FC236}">
              <a16:creationId xmlns:a16="http://schemas.microsoft.com/office/drawing/2014/main" id="{00000000-0008-0000-0800-00003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1" name="Text Box 209">
          <a:extLst>
            <a:ext uri="{FF2B5EF4-FFF2-40B4-BE49-F238E27FC236}">
              <a16:creationId xmlns:a16="http://schemas.microsoft.com/office/drawing/2014/main" id="{00000000-0008-0000-0800-00003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2" name="Text Box 210">
          <a:extLst>
            <a:ext uri="{FF2B5EF4-FFF2-40B4-BE49-F238E27FC236}">
              <a16:creationId xmlns:a16="http://schemas.microsoft.com/office/drawing/2014/main" id="{00000000-0008-0000-0800-00004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3" name="Text Box 211">
          <a:extLst>
            <a:ext uri="{FF2B5EF4-FFF2-40B4-BE49-F238E27FC236}">
              <a16:creationId xmlns:a16="http://schemas.microsoft.com/office/drawing/2014/main" id="{00000000-0008-0000-0800-00004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4" name="Text Box 212">
          <a:extLst>
            <a:ext uri="{FF2B5EF4-FFF2-40B4-BE49-F238E27FC236}">
              <a16:creationId xmlns:a16="http://schemas.microsoft.com/office/drawing/2014/main" id="{00000000-0008-0000-0800-00004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5" name="Text Box 213">
          <a:extLst>
            <a:ext uri="{FF2B5EF4-FFF2-40B4-BE49-F238E27FC236}">
              <a16:creationId xmlns:a16="http://schemas.microsoft.com/office/drawing/2014/main" id="{00000000-0008-0000-0800-00004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6" name="Text Box 214">
          <a:extLst>
            <a:ext uri="{FF2B5EF4-FFF2-40B4-BE49-F238E27FC236}">
              <a16:creationId xmlns:a16="http://schemas.microsoft.com/office/drawing/2014/main" id="{00000000-0008-0000-0800-00004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7" name="Text Box 215">
          <a:extLst>
            <a:ext uri="{FF2B5EF4-FFF2-40B4-BE49-F238E27FC236}">
              <a16:creationId xmlns:a16="http://schemas.microsoft.com/office/drawing/2014/main" id="{00000000-0008-0000-0800-00004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8" name="Text Box 216">
          <a:extLst>
            <a:ext uri="{FF2B5EF4-FFF2-40B4-BE49-F238E27FC236}">
              <a16:creationId xmlns:a16="http://schemas.microsoft.com/office/drawing/2014/main" id="{00000000-0008-0000-0800-00004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9" name="Text Box 217">
          <a:extLst>
            <a:ext uri="{FF2B5EF4-FFF2-40B4-BE49-F238E27FC236}">
              <a16:creationId xmlns:a16="http://schemas.microsoft.com/office/drawing/2014/main" id="{00000000-0008-0000-0800-00004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0" name="Text Box 218">
          <a:extLst>
            <a:ext uri="{FF2B5EF4-FFF2-40B4-BE49-F238E27FC236}">
              <a16:creationId xmlns:a16="http://schemas.microsoft.com/office/drawing/2014/main" id="{00000000-0008-0000-0800-00004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1" name="Text Box 219">
          <a:extLst>
            <a:ext uri="{FF2B5EF4-FFF2-40B4-BE49-F238E27FC236}">
              <a16:creationId xmlns:a16="http://schemas.microsoft.com/office/drawing/2014/main" id="{00000000-0008-0000-0800-00004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2" name="Text Box 220">
          <a:extLst>
            <a:ext uri="{FF2B5EF4-FFF2-40B4-BE49-F238E27FC236}">
              <a16:creationId xmlns:a16="http://schemas.microsoft.com/office/drawing/2014/main" id="{00000000-0008-0000-0800-00004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3" name="Text Box 221">
          <a:extLst>
            <a:ext uri="{FF2B5EF4-FFF2-40B4-BE49-F238E27FC236}">
              <a16:creationId xmlns:a16="http://schemas.microsoft.com/office/drawing/2014/main" id="{00000000-0008-0000-0800-00004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4" name="Text Box 222">
          <a:extLst>
            <a:ext uri="{FF2B5EF4-FFF2-40B4-BE49-F238E27FC236}">
              <a16:creationId xmlns:a16="http://schemas.microsoft.com/office/drawing/2014/main" id="{00000000-0008-0000-0800-00004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5" name="Text Box 223">
          <a:extLst>
            <a:ext uri="{FF2B5EF4-FFF2-40B4-BE49-F238E27FC236}">
              <a16:creationId xmlns:a16="http://schemas.microsoft.com/office/drawing/2014/main" id="{00000000-0008-0000-0800-00004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6" name="Text Box 224">
          <a:extLst>
            <a:ext uri="{FF2B5EF4-FFF2-40B4-BE49-F238E27FC236}">
              <a16:creationId xmlns:a16="http://schemas.microsoft.com/office/drawing/2014/main" id="{00000000-0008-0000-0800-00004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7" name="Text Box 225">
          <a:extLst>
            <a:ext uri="{FF2B5EF4-FFF2-40B4-BE49-F238E27FC236}">
              <a16:creationId xmlns:a16="http://schemas.microsoft.com/office/drawing/2014/main" id="{00000000-0008-0000-0800-00004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8" name="Text Box 226">
          <a:extLst>
            <a:ext uri="{FF2B5EF4-FFF2-40B4-BE49-F238E27FC236}">
              <a16:creationId xmlns:a16="http://schemas.microsoft.com/office/drawing/2014/main" id="{00000000-0008-0000-0800-00005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89" name="Text Box 227">
          <a:extLst>
            <a:ext uri="{FF2B5EF4-FFF2-40B4-BE49-F238E27FC236}">
              <a16:creationId xmlns:a16="http://schemas.microsoft.com/office/drawing/2014/main" id="{00000000-0008-0000-0800-00005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0" name="Text Box 228">
          <a:extLst>
            <a:ext uri="{FF2B5EF4-FFF2-40B4-BE49-F238E27FC236}">
              <a16:creationId xmlns:a16="http://schemas.microsoft.com/office/drawing/2014/main" id="{00000000-0008-0000-0800-00005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1" name="Text Box 229">
          <a:extLst>
            <a:ext uri="{FF2B5EF4-FFF2-40B4-BE49-F238E27FC236}">
              <a16:creationId xmlns:a16="http://schemas.microsoft.com/office/drawing/2014/main" id="{00000000-0008-0000-0800-00005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2" name="Text Box 230">
          <a:extLst>
            <a:ext uri="{FF2B5EF4-FFF2-40B4-BE49-F238E27FC236}">
              <a16:creationId xmlns:a16="http://schemas.microsoft.com/office/drawing/2014/main" id="{00000000-0008-0000-0800-00005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3" name="Text Box 231">
          <a:extLst>
            <a:ext uri="{FF2B5EF4-FFF2-40B4-BE49-F238E27FC236}">
              <a16:creationId xmlns:a16="http://schemas.microsoft.com/office/drawing/2014/main" id="{00000000-0008-0000-0800-00005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4" name="Text Box 232">
          <a:extLst>
            <a:ext uri="{FF2B5EF4-FFF2-40B4-BE49-F238E27FC236}">
              <a16:creationId xmlns:a16="http://schemas.microsoft.com/office/drawing/2014/main" id="{00000000-0008-0000-0800-00005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5" name="Text Box 233">
          <a:extLst>
            <a:ext uri="{FF2B5EF4-FFF2-40B4-BE49-F238E27FC236}">
              <a16:creationId xmlns:a16="http://schemas.microsoft.com/office/drawing/2014/main" id="{00000000-0008-0000-0800-00005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6" name="Text Box 234">
          <a:extLst>
            <a:ext uri="{FF2B5EF4-FFF2-40B4-BE49-F238E27FC236}">
              <a16:creationId xmlns:a16="http://schemas.microsoft.com/office/drawing/2014/main" id="{00000000-0008-0000-0800-00005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7" name="Text Box 235">
          <a:extLst>
            <a:ext uri="{FF2B5EF4-FFF2-40B4-BE49-F238E27FC236}">
              <a16:creationId xmlns:a16="http://schemas.microsoft.com/office/drawing/2014/main" id="{00000000-0008-0000-0800-00005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8" name="Text Box 236">
          <a:extLst>
            <a:ext uri="{FF2B5EF4-FFF2-40B4-BE49-F238E27FC236}">
              <a16:creationId xmlns:a16="http://schemas.microsoft.com/office/drawing/2014/main" id="{00000000-0008-0000-0800-00005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9" name="Text Box 237">
          <a:extLst>
            <a:ext uri="{FF2B5EF4-FFF2-40B4-BE49-F238E27FC236}">
              <a16:creationId xmlns:a16="http://schemas.microsoft.com/office/drawing/2014/main" id="{00000000-0008-0000-0800-00005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0" name="Text Box 238">
          <a:extLst>
            <a:ext uri="{FF2B5EF4-FFF2-40B4-BE49-F238E27FC236}">
              <a16:creationId xmlns:a16="http://schemas.microsoft.com/office/drawing/2014/main" id="{00000000-0008-0000-0800-00005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1" name="Text Box 239">
          <a:extLst>
            <a:ext uri="{FF2B5EF4-FFF2-40B4-BE49-F238E27FC236}">
              <a16:creationId xmlns:a16="http://schemas.microsoft.com/office/drawing/2014/main" id="{00000000-0008-0000-0800-00005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2" name="Text Box 240">
          <a:extLst>
            <a:ext uri="{FF2B5EF4-FFF2-40B4-BE49-F238E27FC236}">
              <a16:creationId xmlns:a16="http://schemas.microsoft.com/office/drawing/2014/main" id="{00000000-0008-0000-0800-00005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3" name="Text Box 241">
          <a:extLst>
            <a:ext uri="{FF2B5EF4-FFF2-40B4-BE49-F238E27FC236}">
              <a16:creationId xmlns:a16="http://schemas.microsoft.com/office/drawing/2014/main" id="{00000000-0008-0000-0800-00005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4" name="Text Box 242">
          <a:extLst>
            <a:ext uri="{FF2B5EF4-FFF2-40B4-BE49-F238E27FC236}">
              <a16:creationId xmlns:a16="http://schemas.microsoft.com/office/drawing/2014/main" id="{00000000-0008-0000-0800-00006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5" name="Text Box 243">
          <a:extLst>
            <a:ext uri="{FF2B5EF4-FFF2-40B4-BE49-F238E27FC236}">
              <a16:creationId xmlns:a16="http://schemas.microsoft.com/office/drawing/2014/main" id="{00000000-0008-0000-0800-00006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6" name="Text Box 244">
          <a:extLst>
            <a:ext uri="{FF2B5EF4-FFF2-40B4-BE49-F238E27FC236}">
              <a16:creationId xmlns:a16="http://schemas.microsoft.com/office/drawing/2014/main" id="{00000000-0008-0000-0800-00006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7" name="Text Box 245">
          <a:extLst>
            <a:ext uri="{FF2B5EF4-FFF2-40B4-BE49-F238E27FC236}">
              <a16:creationId xmlns:a16="http://schemas.microsoft.com/office/drawing/2014/main" id="{00000000-0008-0000-0800-00006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8" name="Text Box 246">
          <a:extLst>
            <a:ext uri="{FF2B5EF4-FFF2-40B4-BE49-F238E27FC236}">
              <a16:creationId xmlns:a16="http://schemas.microsoft.com/office/drawing/2014/main" id="{00000000-0008-0000-0800-00006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9" name="Text Box 247">
          <a:extLst>
            <a:ext uri="{FF2B5EF4-FFF2-40B4-BE49-F238E27FC236}">
              <a16:creationId xmlns:a16="http://schemas.microsoft.com/office/drawing/2014/main" id="{00000000-0008-0000-0800-00006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0" name="Text Box 248">
          <a:extLst>
            <a:ext uri="{FF2B5EF4-FFF2-40B4-BE49-F238E27FC236}">
              <a16:creationId xmlns:a16="http://schemas.microsoft.com/office/drawing/2014/main" id="{00000000-0008-0000-0800-00006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1" name="Text Box 249">
          <a:extLst>
            <a:ext uri="{FF2B5EF4-FFF2-40B4-BE49-F238E27FC236}">
              <a16:creationId xmlns:a16="http://schemas.microsoft.com/office/drawing/2014/main" id="{00000000-0008-0000-0800-00006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2" name="Text Box 250">
          <a:extLst>
            <a:ext uri="{FF2B5EF4-FFF2-40B4-BE49-F238E27FC236}">
              <a16:creationId xmlns:a16="http://schemas.microsoft.com/office/drawing/2014/main" id="{00000000-0008-0000-0800-00006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3" name="Text Box 251">
          <a:extLst>
            <a:ext uri="{FF2B5EF4-FFF2-40B4-BE49-F238E27FC236}">
              <a16:creationId xmlns:a16="http://schemas.microsoft.com/office/drawing/2014/main" id="{00000000-0008-0000-0800-00006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4" name="Text Box 252">
          <a:extLst>
            <a:ext uri="{FF2B5EF4-FFF2-40B4-BE49-F238E27FC236}">
              <a16:creationId xmlns:a16="http://schemas.microsoft.com/office/drawing/2014/main" id="{00000000-0008-0000-0800-00006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5" name="Text Box 253">
          <a:extLst>
            <a:ext uri="{FF2B5EF4-FFF2-40B4-BE49-F238E27FC236}">
              <a16:creationId xmlns:a16="http://schemas.microsoft.com/office/drawing/2014/main" id="{00000000-0008-0000-0800-00006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6" name="Text Box 254">
          <a:extLst>
            <a:ext uri="{FF2B5EF4-FFF2-40B4-BE49-F238E27FC236}">
              <a16:creationId xmlns:a16="http://schemas.microsoft.com/office/drawing/2014/main" id="{00000000-0008-0000-0800-00006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7" name="Text Box 255">
          <a:extLst>
            <a:ext uri="{FF2B5EF4-FFF2-40B4-BE49-F238E27FC236}">
              <a16:creationId xmlns:a16="http://schemas.microsoft.com/office/drawing/2014/main" id="{00000000-0008-0000-0800-00006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8" name="Text Box 256">
          <a:extLst>
            <a:ext uri="{FF2B5EF4-FFF2-40B4-BE49-F238E27FC236}">
              <a16:creationId xmlns:a16="http://schemas.microsoft.com/office/drawing/2014/main" id="{00000000-0008-0000-0800-00006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9" name="Text Box 257">
          <a:extLst>
            <a:ext uri="{FF2B5EF4-FFF2-40B4-BE49-F238E27FC236}">
              <a16:creationId xmlns:a16="http://schemas.microsoft.com/office/drawing/2014/main" id="{00000000-0008-0000-0800-00006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0" name="Text Box 258">
          <a:extLst>
            <a:ext uri="{FF2B5EF4-FFF2-40B4-BE49-F238E27FC236}">
              <a16:creationId xmlns:a16="http://schemas.microsoft.com/office/drawing/2014/main" id="{00000000-0008-0000-0800-00007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1" name="Text Box 259">
          <a:extLst>
            <a:ext uri="{FF2B5EF4-FFF2-40B4-BE49-F238E27FC236}">
              <a16:creationId xmlns:a16="http://schemas.microsoft.com/office/drawing/2014/main" id="{00000000-0008-0000-0800-00007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2" name="Text Box 260">
          <a:extLst>
            <a:ext uri="{FF2B5EF4-FFF2-40B4-BE49-F238E27FC236}">
              <a16:creationId xmlns:a16="http://schemas.microsoft.com/office/drawing/2014/main" id="{00000000-0008-0000-0800-00007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3" name="Text Box 261">
          <a:extLst>
            <a:ext uri="{FF2B5EF4-FFF2-40B4-BE49-F238E27FC236}">
              <a16:creationId xmlns:a16="http://schemas.microsoft.com/office/drawing/2014/main" id="{00000000-0008-0000-0800-00007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4" name="Text Box 262">
          <a:extLst>
            <a:ext uri="{FF2B5EF4-FFF2-40B4-BE49-F238E27FC236}">
              <a16:creationId xmlns:a16="http://schemas.microsoft.com/office/drawing/2014/main" id="{00000000-0008-0000-0800-00007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5" name="Text Box 263">
          <a:extLst>
            <a:ext uri="{FF2B5EF4-FFF2-40B4-BE49-F238E27FC236}">
              <a16:creationId xmlns:a16="http://schemas.microsoft.com/office/drawing/2014/main" id="{00000000-0008-0000-0800-00007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6" name="Text Box 264">
          <a:extLst>
            <a:ext uri="{FF2B5EF4-FFF2-40B4-BE49-F238E27FC236}">
              <a16:creationId xmlns:a16="http://schemas.microsoft.com/office/drawing/2014/main" id="{00000000-0008-0000-0800-00007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7" name="Text Box 265">
          <a:extLst>
            <a:ext uri="{FF2B5EF4-FFF2-40B4-BE49-F238E27FC236}">
              <a16:creationId xmlns:a16="http://schemas.microsoft.com/office/drawing/2014/main" id="{00000000-0008-0000-0800-00007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8" name="Text Box 266">
          <a:extLst>
            <a:ext uri="{FF2B5EF4-FFF2-40B4-BE49-F238E27FC236}">
              <a16:creationId xmlns:a16="http://schemas.microsoft.com/office/drawing/2014/main" id="{00000000-0008-0000-0800-00007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9" name="Text Box 267">
          <a:extLst>
            <a:ext uri="{FF2B5EF4-FFF2-40B4-BE49-F238E27FC236}">
              <a16:creationId xmlns:a16="http://schemas.microsoft.com/office/drawing/2014/main" id="{00000000-0008-0000-0800-00007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0" name="Text Box 268">
          <a:extLst>
            <a:ext uri="{FF2B5EF4-FFF2-40B4-BE49-F238E27FC236}">
              <a16:creationId xmlns:a16="http://schemas.microsoft.com/office/drawing/2014/main" id="{00000000-0008-0000-0800-00007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1" name="Text Box 269">
          <a:extLst>
            <a:ext uri="{FF2B5EF4-FFF2-40B4-BE49-F238E27FC236}">
              <a16:creationId xmlns:a16="http://schemas.microsoft.com/office/drawing/2014/main" id="{00000000-0008-0000-0800-00007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2" name="Text Box 270">
          <a:extLst>
            <a:ext uri="{FF2B5EF4-FFF2-40B4-BE49-F238E27FC236}">
              <a16:creationId xmlns:a16="http://schemas.microsoft.com/office/drawing/2014/main" id="{00000000-0008-0000-0800-00007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3" name="Text Box 271">
          <a:extLst>
            <a:ext uri="{FF2B5EF4-FFF2-40B4-BE49-F238E27FC236}">
              <a16:creationId xmlns:a16="http://schemas.microsoft.com/office/drawing/2014/main" id="{00000000-0008-0000-0800-00007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4" name="Text Box 272">
          <a:extLst>
            <a:ext uri="{FF2B5EF4-FFF2-40B4-BE49-F238E27FC236}">
              <a16:creationId xmlns:a16="http://schemas.microsoft.com/office/drawing/2014/main" id="{00000000-0008-0000-0800-00007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5" name="Text Box 273">
          <a:extLst>
            <a:ext uri="{FF2B5EF4-FFF2-40B4-BE49-F238E27FC236}">
              <a16:creationId xmlns:a16="http://schemas.microsoft.com/office/drawing/2014/main" id="{00000000-0008-0000-0800-00007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6" name="Text Box 274">
          <a:extLst>
            <a:ext uri="{FF2B5EF4-FFF2-40B4-BE49-F238E27FC236}">
              <a16:creationId xmlns:a16="http://schemas.microsoft.com/office/drawing/2014/main" id="{00000000-0008-0000-0800-00008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7" name="Text Box 275">
          <a:extLst>
            <a:ext uri="{FF2B5EF4-FFF2-40B4-BE49-F238E27FC236}">
              <a16:creationId xmlns:a16="http://schemas.microsoft.com/office/drawing/2014/main" id="{00000000-0008-0000-0800-00008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8" name="Text Box 276">
          <a:extLst>
            <a:ext uri="{FF2B5EF4-FFF2-40B4-BE49-F238E27FC236}">
              <a16:creationId xmlns:a16="http://schemas.microsoft.com/office/drawing/2014/main" id="{00000000-0008-0000-0800-00008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9" name="Text Box 277">
          <a:extLst>
            <a:ext uri="{FF2B5EF4-FFF2-40B4-BE49-F238E27FC236}">
              <a16:creationId xmlns:a16="http://schemas.microsoft.com/office/drawing/2014/main" id="{00000000-0008-0000-0800-00008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0" name="Text Box 278">
          <a:extLst>
            <a:ext uri="{FF2B5EF4-FFF2-40B4-BE49-F238E27FC236}">
              <a16:creationId xmlns:a16="http://schemas.microsoft.com/office/drawing/2014/main" id="{00000000-0008-0000-0800-00008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1" name="Text Box 279">
          <a:extLst>
            <a:ext uri="{FF2B5EF4-FFF2-40B4-BE49-F238E27FC236}">
              <a16:creationId xmlns:a16="http://schemas.microsoft.com/office/drawing/2014/main" id="{00000000-0008-0000-0800-00008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2" name="Text Box 280">
          <a:extLst>
            <a:ext uri="{FF2B5EF4-FFF2-40B4-BE49-F238E27FC236}">
              <a16:creationId xmlns:a16="http://schemas.microsoft.com/office/drawing/2014/main" id="{00000000-0008-0000-0800-00008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3" name="Text Box 281">
          <a:extLst>
            <a:ext uri="{FF2B5EF4-FFF2-40B4-BE49-F238E27FC236}">
              <a16:creationId xmlns:a16="http://schemas.microsoft.com/office/drawing/2014/main" id="{00000000-0008-0000-0800-00008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4" name="Text Box 282">
          <a:extLst>
            <a:ext uri="{FF2B5EF4-FFF2-40B4-BE49-F238E27FC236}">
              <a16:creationId xmlns:a16="http://schemas.microsoft.com/office/drawing/2014/main" id="{00000000-0008-0000-0800-00008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5" name="Text Box 283">
          <a:extLst>
            <a:ext uri="{FF2B5EF4-FFF2-40B4-BE49-F238E27FC236}">
              <a16:creationId xmlns:a16="http://schemas.microsoft.com/office/drawing/2014/main" id="{00000000-0008-0000-0800-00008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6" name="Text Box 284">
          <a:extLst>
            <a:ext uri="{FF2B5EF4-FFF2-40B4-BE49-F238E27FC236}">
              <a16:creationId xmlns:a16="http://schemas.microsoft.com/office/drawing/2014/main" id="{00000000-0008-0000-0800-00008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7" name="Text Box 285">
          <a:extLst>
            <a:ext uri="{FF2B5EF4-FFF2-40B4-BE49-F238E27FC236}">
              <a16:creationId xmlns:a16="http://schemas.microsoft.com/office/drawing/2014/main" id="{00000000-0008-0000-0800-00008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8" name="Text Box 286">
          <a:extLst>
            <a:ext uri="{FF2B5EF4-FFF2-40B4-BE49-F238E27FC236}">
              <a16:creationId xmlns:a16="http://schemas.microsoft.com/office/drawing/2014/main" id="{00000000-0008-0000-0800-00008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9" name="Text Box 287">
          <a:extLst>
            <a:ext uri="{FF2B5EF4-FFF2-40B4-BE49-F238E27FC236}">
              <a16:creationId xmlns:a16="http://schemas.microsoft.com/office/drawing/2014/main" id="{00000000-0008-0000-0800-00008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0" name="Text Box 288">
          <a:extLst>
            <a:ext uri="{FF2B5EF4-FFF2-40B4-BE49-F238E27FC236}">
              <a16:creationId xmlns:a16="http://schemas.microsoft.com/office/drawing/2014/main" id="{00000000-0008-0000-0800-00008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1" name="Text Box 289">
          <a:extLst>
            <a:ext uri="{FF2B5EF4-FFF2-40B4-BE49-F238E27FC236}">
              <a16:creationId xmlns:a16="http://schemas.microsoft.com/office/drawing/2014/main" id="{00000000-0008-0000-0800-00008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2" name="Text Box 290">
          <a:extLst>
            <a:ext uri="{FF2B5EF4-FFF2-40B4-BE49-F238E27FC236}">
              <a16:creationId xmlns:a16="http://schemas.microsoft.com/office/drawing/2014/main" id="{00000000-0008-0000-0800-00009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3" name="Text Box 291">
          <a:extLst>
            <a:ext uri="{FF2B5EF4-FFF2-40B4-BE49-F238E27FC236}">
              <a16:creationId xmlns:a16="http://schemas.microsoft.com/office/drawing/2014/main" id="{00000000-0008-0000-0800-00009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4" name="Text Box 292">
          <a:extLst>
            <a:ext uri="{FF2B5EF4-FFF2-40B4-BE49-F238E27FC236}">
              <a16:creationId xmlns:a16="http://schemas.microsoft.com/office/drawing/2014/main" id="{00000000-0008-0000-0800-00009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5" name="Text Box 293">
          <a:extLst>
            <a:ext uri="{FF2B5EF4-FFF2-40B4-BE49-F238E27FC236}">
              <a16:creationId xmlns:a16="http://schemas.microsoft.com/office/drawing/2014/main" id="{00000000-0008-0000-0800-00009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6" name="Text Box 294">
          <a:extLst>
            <a:ext uri="{FF2B5EF4-FFF2-40B4-BE49-F238E27FC236}">
              <a16:creationId xmlns:a16="http://schemas.microsoft.com/office/drawing/2014/main" id="{00000000-0008-0000-0800-00009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7" name="Text Box 295">
          <a:extLst>
            <a:ext uri="{FF2B5EF4-FFF2-40B4-BE49-F238E27FC236}">
              <a16:creationId xmlns:a16="http://schemas.microsoft.com/office/drawing/2014/main" id="{00000000-0008-0000-0800-00009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8" name="Text Box 296">
          <a:extLst>
            <a:ext uri="{FF2B5EF4-FFF2-40B4-BE49-F238E27FC236}">
              <a16:creationId xmlns:a16="http://schemas.microsoft.com/office/drawing/2014/main" id="{00000000-0008-0000-0800-00009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59" name="Text Box 297">
          <a:extLst>
            <a:ext uri="{FF2B5EF4-FFF2-40B4-BE49-F238E27FC236}">
              <a16:creationId xmlns:a16="http://schemas.microsoft.com/office/drawing/2014/main" id="{00000000-0008-0000-0800-00009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0" name="Text Box 298">
          <a:extLst>
            <a:ext uri="{FF2B5EF4-FFF2-40B4-BE49-F238E27FC236}">
              <a16:creationId xmlns:a16="http://schemas.microsoft.com/office/drawing/2014/main" id="{00000000-0008-0000-0800-00009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1" name="Text Box 299">
          <a:extLst>
            <a:ext uri="{FF2B5EF4-FFF2-40B4-BE49-F238E27FC236}">
              <a16:creationId xmlns:a16="http://schemas.microsoft.com/office/drawing/2014/main" id="{00000000-0008-0000-0800-00009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2" name="Text Box 300">
          <a:extLst>
            <a:ext uri="{FF2B5EF4-FFF2-40B4-BE49-F238E27FC236}">
              <a16:creationId xmlns:a16="http://schemas.microsoft.com/office/drawing/2014/main" id="{00000000-0008-0000-0800-00009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3" name="Text Box 301">
          <a:extLst>
            <a:ext uri="{FF2B5EF4-FFF2-40B4-BE49-F238E27FC236}">
              <a16:creationId xmlns:a16="http://schemas.microsoft.com/office/drawing/2014/main" id="{00000000-0008-0000-0800-00009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4" name="Text Box 302">
          <a:extLst>
            <a:ext uri="{FF2B5EF4-FFF2-40B4-BE49-F238E27FC236}">
              <a16:creationId xmlns:a16="http://schemas.microsoft.com/office/drawing/2014/main" id="{00000000-0008-0000-0800-00009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5" name="Text Box 303">
          <a:extLst>
            <a:ext uri="{FF2B5EF4-FFF2-40B4-BE49-F238E27FC236}">
              <a16:creationId xmlns:a16="http://schemas.microsoft.com/office/drawing/2014/main" id="{00000000-0008-0000-0800-00009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6" name="Text Box 304">
          <a:extLst>
            <a:ext uri="{FF2B5EF4-FFF2-40B4-BE49-F238E27FC236}">
              <a16:creationId xmlns:a16="http://schemas.microsoft.com/office/drawing/2014/main" id="{00000000-0008-0000-0800-00009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7" name="Text Box 305">
          <a:extLst>
            <a:ext uri="{FF2B5EF4-FFF2-40B4-BE49-F238E27FC236}">
              <a16:creationId xmlns:a16="http://schemas.microsoft.com/office/drawing/2014/main" id="{00000000-0008-0000-0800-00009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8" name="Text Box 306">
          <a:extLst>
            <a:ext uri="{FF2B5EF4-FFF2-40B4-BE49-F238E27FC236}">
              <a16:creationId xmlns:a16="http://schemas.microsoft.com/office/drawing/2014/main" id="{00000000-0008-0000-0800-0000A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9" name="Text Box 307">
          <a:extLst>
            <a:ext uri="{FF2B5EF4-FFF2-40B4-BE49-F238E27FC236}">
              <a16:creationId xmlns:a16="http://schemas.microsoft.com/office/drawing/2014/main" id="{00000000-0008-0000-0800-0000A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0" name="Text Box 308">
          <a:extLst>
            <a:ext uri="{FF2B5EF4-FFF2-40B4-BE49-F238E27FC236}">
              <a16:creationId xmlns:a16="http://schemas.microsoft.com/office/drawing/2014/main" id="{00000000-0008-0000-0800-0000A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1" name="Text Box 309">
          <a:extLst>
            <a:ext uri="{FF2B5EF4-FFF2-40B4-BE49-F238E27FC236}">
              <a16:creationId xmlns:a16="http://schemas.microsoft.com/office/drawing/2014/main" id="{00000000-0008-0000-0800-0000A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2" name="Text Box 310">
          <a:extLst>
            <a:ext uri="{FF2B5EF4-FFF2-40B4-BE49-F238E27FC236}">
              <a16:creationId xmlns:a16="http://schemas.microsoft.com/office/drawing/2014/main" id="{00000000-0008-0000-0800-0000A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3" name="Text Box 311">
          <a:extLst>
            <a:ext uri="{FF2B5EF4-FFF2-40B4-BE49-F238E27FC236}">
              <a16:creationId xmlns:a16="http://schemas.microsoft.com/office/drawing/2014/main" id="{00000000-0008-0000-0800-0000A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4" name="Text Box 312">
          <a:extLst>
            <a:ext uri="{FF2B5EF4-FFF2-40B4-BE49-F238E27FC236}">
              <a16:creationId xmlns:a16="http://schemas.microsoft.com/office/drawing/2014/main" id="{00000000-0008-0000-0800-0000A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5" name="Text Box 313">
          <a:extLst>
            <a:ext uri="{FF2B5EF4-FFF2-40B4-BE49-F238E27FC236}">
              <a16:creationId xmlns:a16="http://schemas.microsoft.com/office/drawing/2014/main" id="{00000000-0008-0000-0800-0000A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6" name="Text Box 314">
          <a:extLst>
            <a:ext uri="{FF2B5EF4-FFF2-40B4-BE49-F238E27FC236}">
              <a16:creationId xmlns:a16="http://schemas.microsoft.com/office/drawing/2014/main" id="{00000000-0008-0000-0800-0000A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7" name="Text Box 315">
          <a:extLst>
            <a:ext uri="{FF2B5EF4-FFF2-40B4-BE49-F238E27FC236}">
              <a16:creationId xmlns:a16="http://schemas.microsoft.com/office/drawing/2014/main" id="{00000000-0008-0000-0800-0000A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8" name="Text Box 316">
          <a:extLst>
            <a:ext uri="{FF2B5EF4-FFF2-40B4-BE49-F238E27FC236}">
              <a16:creationId xmlns:a16="http://schemas.microsoft.com/office/drawing/2014/main" id="{00000000-0008-0000-0800-0000A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9" name="Text Box 317">
          <a:extLst>
            <a:ext uri="{FF2B5EF4-FFF2-40B4-BE49-F238E27FC236}">
              <a16:creationId xmlns:a16="http://schemas.microsoft.com/office/drawing/2014/main" id="{00000000-0008-0000-0800-0000A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0" name="Text Box 318">
          <a:extLst>
            <a:ext uri="{FF2B5EF4-FFF2-40B4-BE49-F238E27FC236}">
              <a16:creationId xmlns:a16="http://schemas.microsoft.com/office/drawing/2014/main" id="{00000000-0008-0000-0800-0000A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1" name="Text Box 319">
          <a:extLst>
            <a:ext uri="{FF2B5EF4-FFF2-40B4-BE49-F238E27FC236}">
              <a16:creationId xmlns:a16="http://schemas.microsoft.com/office/drawing/2014/main" id="{00000000-0008-0000-0800-0000A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2" name="Text Box 320">
          <a:extLst>
            <a:ext uri="{FF2B5EF4-FFF2-40B4-BE49-F238E27FC236}">
              <a16:creationId xmlns:a16="http://schemas.microsoft.com/office/drawing/2014/main" id="{00000000-0008-0000-0800-0000A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3" name="Text Box 28">
          <a:extLst>
            <a:ext uri="{FF2B5EF4-FFF2-40B4-BE49-F238E27FC236}">
              <a16:creationId xmlns:a16="http://schemas.microsoft.com/office/drawing/2014/main" id="{00000000-0008-0000-0800-0000A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4" name="Text Box 29">
          <a:extLst>
            <a:ext uri="{FF2B5EF4-FFF2-40B4-BE49-F238E27FC236}">
              <a16:creationId xmlns:a16="http://schemas.microsoft.com/office/drawing/2014/main" id="{00000000-0008-0000-0800-0000B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5" name="Text Box 30">
          <a:extLst>
            <a:ext uri="{FF2B5EF4-FFF2-40B4-BE49-F238E27FC236}">
              <a16:creationId xmlns:a16="http://schemas.microsoft.com/office/drawing/2014/main" id="{00000000-0008-0000-0800-0000B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6" name="Text Box 31">
          <a:extLst>
            <a:ext uri="{FF2B5EF4-FFF2-40B4-BE49-F238E27FC236}">
              <a16:creationId xmlns:a16="http://schemas.microsoft.com/office/drawing/2014/main" id="{00000000-0008-0000-0800-0000B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7" name="Text Box 32">
          <a:extLst>
            <a:ext uri="{FF2B5EF4-FFF2-40B4-BE49-F238E27FC236}">
              <a16:creationId xmlns:a16="http://schemas.microsoft.com/office/drawing/2014/main" id="{00000000-0008-0000-0800-0000B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8" name="Text Box 33">
          <a:extLst>
            <a:ext uri="{FF2B5EF4-FFF2-40B4-BE49-F238E27FC236}">
              <a16:creationId xmlns:a16="http://schemas.microsoft.com/office/drawing/2014/main" id="{00000000-0008-0000-0800-0000B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9" name="Text Box 34">
          <a:extLst>
            <a:ext uri="{FF2B5EF4-FFF2-40B4-BE49-F238E27FC236}">
              <a16:creationId xmlns:a16="http://schemas.microsoft.com/office/drawing/2014/main" id="{00000000-0008-0000-0800-0000B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0" name="Text Box 35">
          <a:extLst>
            <a:ext uri="{FF2B5EF4-FFF2-40B4-BE49-F238E27FC236}">
              <a16:creationId xmlns:a16="http://schemas.microsoft.com/office/drawing/2014/main" id="{00000000-0008-0000-0800-0000B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1" name="Text Box 36">
          <a:extLst>
            <a:ext uri="{FF2B5EF4-FFF2-40B4-BE49-F238E27FC236}">
              <a16:creationId xmlns:a16="http://schemas.microsoft.com/office/drawing/2014/main" id="{00000000-0008-0000-0800-0000B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2" name="Text Box 37">
          <a:extLst>
            <a:ext uri="{FF2B5EF4-FFF2-40B4-BE49-F238E27FC236}">
              <a16:creationId xmlns:a16="http://schemas.microsoft.com/office/drawing/2014/main" id="{00000000-0008-0000-0800-0000B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3" name="Text Box 38">
          <a:extLst>
            <a:ext uri="{FF2B5EF4-FFF2-40B4-BE49-F238E27FC236}">
              <a16:creationId xmlns:a16="http://schemas.microsoft.com/office/drawing/2014/main" id="{00000000-0008-0000-0800-0000B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4" name="Text Box 39">
          <a:extLst>
            <a:ext uri="{FF2B5EF4-FFF2-40B4-BE49-F238E27FC236}">
              <a16:creationId xmlns:a16="http://schemas.microsoft.com/office/drawing/2014/main" id="{00000000-0008-0000-0800-0000B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5" name="Text Box 40">
          <a:extLst>
            <a:ext uri="{FF2B5EF4-FFF2-40B4-BE49-F238E27FC236}">
              <a16:creationId xmlns:a16="http://schemas.microsoft.com/office/drawing/2014/main" id="{00000000-0008-0000-0800-0000B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6" name="Text Box 41">
          <a:extLst>
            <a:ext uri="{FF2B5EF4-FFF2-40B4-BE49-F238E27FC236}">
              <a16:creationId xmlns:a16="http://schemas.microsoft.com/office/drawing/2014/main" id="{00000000-0008-0000-0800-0000B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7" name="Text Box 42">
          <a:extLst>
            <a:ext uri="{FF2B5EF4-FFF2-40B4-BE49-F238E27FC236}">
              <a16:creationId xmlns:a16="http://schemas.microsoft.com/office/drawing/2014/main" id="{00000000-0008-0000-0800-0000B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8" name="Text Box 43">
          <a:extLst>
            <a:ext uri="{FF2B5EF4-FFF2-40B4-BE49-F238E27FC236}">
              <a16:creationId xmlns:a16="http://schemas.microsoft.com/office/drawing/2014/main" id="{00000000-0008-0000-0800-0000B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9" name="Text Box 44">
          <a:extLst>
            <a:ext uri="{FF2B5EF4-FFF2-40B4-BE49-F238E27FC236}">
              <a16:creationId xmlns:a16="http://schemas.microsoft.com/office/drawing/2014/main" id="{00000000-0008-0000-0800-0000B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0" name="Text Box 45">
          <a:extLst>
            <a:ext uri="{FF2B5EF4-FFF2-40B4-BE49-F238E27FC236}">
              <a16:creationId xmlns:a16="http://schemas.microsoft.com/office/drawing/2014/main" id="{00000000-0008-0000-0800-0000C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1" name="Text Box 46">
          <a:extLst>
            <a:ext uri="{FF2B5EF4-FFF2-40B4-BE49-F238E27FC236}">
              <a16:creationId xmlns:a16="http://schemas.microsoft.com/office/drawing/2014/main" id="{00000000-0008-0000-0800-0000C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2" name="Text Box 47">
          <a:extLst>
            <a:ext uri="{FF2B5EF4-FFF2-40B4-BE49-F238E27FC236}">
              <a16:creationId xmlns:a16="http://schemas.microsoft.com/office/drawing/2014/main" id="{00000000-0008-0000-0800-0000C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3" name="Text Box 48">
          <a:extLst>
            <a:ext uri="{FF2B5EF4-FFF2-40B4-BE49-F238E27FC236}">
              <a16:creationId xmlns:a16="http://schemas.microsoft.com/office/drawing/2014/main" id="{00000000-0008-0000-0800-0000C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4" name="Text Box 49">
          <a:extLst>
            <a:ext uri="{FF2B5EF4-FFF2-40B4-BE49-F238E27FC236}">
              <a16:creationId xmlns:a16="http://schemas.microsoft.com/office/drawing/2014/main" id="{00000000-0008-0000-0800-0000C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5" name="Text Box 50">
          <a:extLst>
            <a:ext uri="{FF2B5EF4-FFF2-40B4-BE49-F238E27FC236}">
              <a16:creationId xmlns:a16="http://schemas.microsoft.com/office/drawing/2014/main" id="{00000000-0008-0000-0800-0000C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6" name="Text Box 51">
          <a:extLst>
            <a:ext uri="{FF2B5EF4-FFF2-40B4-BE49-F238E27FC236}">
              <a16:creationId xmlns:a16="http://schemas.microsoft.com/office/drawing/2014/main" id="{00000000-0008-0000-0800-0000C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7" name="Text Box 52">
          <a:extLst>
            <a:ext uri="{FF2B5EF4-FFF2-40B4-BE49-F238E27FC236}">
              <a16:creationId xmlns:a16="http://schemas.microsoft.com/office/drawing/2014/main" id="{00000000-0008-0000-0800-0000C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8" name="Text Box 53">
          <a:extLst>
            <a:ext uri="{FF2B5EF4-FFF2-40B4-BE49-F238E27FC236}">
              <a16:creationId xmlns:a16="http://schemas.microsoft.com/office/drawing/2014/main" id="{00000000-0008-0000-0800-0000C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9" name="Text Box 54">
          <a:extLst>
            <a:ext uri="{FF2B5EF4-FFF2-40B4-BE49-F238E27FC236}">
              <a16:creationId xmlns:a16="http://schemas.microsoft.com/office/drawing/2014/main" id="{00000000-0008-0000-0800-0000C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0" name="Text Box 55">
          <a:extLst>
            <a:ext uri="{FF2B5EF4-FFF2-40B4-BE49-F238E27FC236}">
              <a16:creationId xmlns:a16="http://schemas.microsoft.com/office/drawing/2014/main" id="{00000000-0008-0000-0800-0000C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1" name="Text Box 56">
          <a:extLst>
            <a:ext uri="{FF2B5EF4-FFF2-40B4-BE49-F238E27FC236}">
              <a16:creationId xmlns:a16="http://schemas.microsoft.com/office/drawing/2014/main" id="{00000000-0008-0000-0800-0000C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2" name="Text Box 57">
          <a:extLst>
            <a:ext uri="{FF2B5EF4-FFF2-40B4-BE49-F238E27FC236}">
              <a16:creationId xmlns:a16="http://schemas.microsoft.com/office/drawing/2014/main" id="{00000000-0008-0000-0800-0000C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3" name="Text Box 58">
          <a:extLst>
            <a:ext uri="{FF2B5EF4-FFF2-40B4-BE49-F238E27FC236}">
              <a16:creationId xmlns:a16="http://schemas.microsoft.com/office/drawing/2014/main" id="{00000000-0008-0000-0800-0000C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4" name="Text Box 59">
          <a:extLst>
            <a:ext uri="{FF2B5EF4-FFF2-40B4-BE49-F238E27FC236}">
              <a16:creationId xmlns:a16="http://schemas.microsoft.com/office/drawing/2014/main" id="{00000000-0008-0000-0800-0000C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5" name="Text Box 60">
          <a:extLst>
            <a:ext uri="{FF2B5EF4-FFF2-40B4-BE49-F238E27FC236}">
              <a16:creationId xmlns:a16="http://schemas.microsoft.com/office/drawing/2014/main" id="{00000000-0008-0000-0800-0000C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6" name="Text Box 61">
          <a:extLst>
            <a:ext uri="{FF2B5EF4-FFF2-40B4-BE49-F238E27FC236}">
              <a16:creationId xmlns:a16="http://schemas.microsoft.com/office/drawing/2014/main" id="{00000000-0008-0000-0800-0000D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7" name="Text Box 62">
          <a:extLst>
            <a:ext uri="{FF2B5EF4-FFF2-40B4-BE49-F238E27FC236}">
              <a16:creationId xmlns:a16="http://schemas.microsoft.com/office/drawing/2014/main" id="{00000000-0008-0000-0800-0000D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8" name="Text Box 63">
          <a:extLst>
            <a:ext uri="{FF2B5EF4-FFF2-40B4-BE49-F238E27FC236}">
              <a16:creationId xmlns:a16="http://schemas.microsoft.com/office/drawing/2014/main" id="{00000000-0008-0000-0800-0000D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9" name="Text Box 64">
          <a:extLst>
            <a:ext uri="{FF2B5EF4-FFF2-40B4-BE49-F238E27FC236}">
              <a16:creationId xmlns:a16="http://schemas.microsoft.com/office/drawing/2014/main" id="{00000000-0008-0000-0800-0000D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0" name="Text Box 65">
          <a:extLst>
            <a:ext uri="{FF2B5EF4-FFF2-40B4-BE49-F238E27FC236}">
              <a16:creationId xmlns:a16="http://schemas.microsoft.com/office/drawing/2014/main" id="{00000000-0008-0000-0800-0000D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1" name="Text Box 66">
          <a:extLst>
            <a:ext uri="{FF2B5EF4-FFF2-40B4-BE49-F238E27FC236}">
              <a16:creationId xmlns:a16="http://schemas.microsoft.com/office/drawing/2014/main" id="{00000000-0008-0000-0800-0000D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2" name="Text Box 67">
          <a:extLst>
            <a:ext uri="{FF2B5EF4-FFF2-40B4-BE49-F238E27FC236}">
              <a16:creationId xmlns:a16="http://schemas.microsoft.com/office/drawing/2014/main" id="{00000000-0008-0000-0800-0000D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3" name="Text Box 68">
          <a:extLst>
            <a:ext uri="{FF2B5EF4-FFF2-40B4-BE49-F238E27FC236}">
              <a16:creationId xmlns:a16="http://schemas.microsoft.com/office/drawing/2014/main" id="{00000000-0008-0000-0800-0000D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4" name="Text Box 69">
          <a:extLst>
            <a:ext uri="{FF2B5EF4-FFF2-40B4-BE49-F238E27FC236}">
              <a16:creationId xmlns:a16="http://schemas.microsoft.com/office/drawing/2014/main" id="{00000000-0008-0000-0800-0000D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5" name="Text Box 70">
          <a:extLst>
            <a:ext uri="{FF2B5EF4-FFF2-40B4-BE49-F238E27FC236}">
              <a16:creationId xmlns:a16="http://schemas.microsoft.com/office/drawing/2014/main" id="{00000000-0008-0000-0800-0000D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6" name="Text Box 71">
          <a:extLst>
            <a:ext uri="{FF2B5EF4-FFF2-40B4-BE49-F238E27FC236}">
              <a16:creationId xmlns:a16="http://schemas.microsoft.com/office/drawing/2014/main" id="{00000000-0008-0000-0800-0000D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7" name="Text Box 72">
          <a:extLst>
            <a:ext uri="{FF2B5EF4-FFF2-40B4-BE49-F238E27FC236}">
              <a16:creationId xmlns:a16="http://schemas.microsoft.com/office/drawing/2014/main" id="{00000000-0008-0000-0800-0000D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8" name="Text Box 73">
          <a:extLst>
            <a:ext uri="{FF2B5EF4-FFF2-40B4-BE49-F238E27FC236}">
              <a16:creationId xmlns:a16="http://schemas.microsoft.com/office/drawing/2014/main" id="{00000000-0008-0000-0800-0000D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9" name="Text Box 74">
          <a:extLst>
            <a:ext uri="{FF2B5EF4-FFF2-40B4-BE49-F238E27FC236}">
              <a16:creationId xmlns:a16="http://schemas.microsoft.com/office/drawing/2014/main" id="{00000000-0008-0000-0800-0000D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0" name="Text Box 75">
          <a:extLst>
            <a:ext uri="{FF2B5EF4-FFF2-40B4-BE49-F238E27FC236}">
              <a16:creationId xmlns:a16="http://schemas.microsoft.com/office/drawing/2014/main" id="{00000000-0008-0000-0800-0000D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1" name="Text Box 76">
          <a:extLst>
            <a:ext uri="{FF2B5EF4-FFF2-40B4-BE49-F238E27FC236}">
              <a16:creationId xmlns:a16="http://schemas.microsoft.com/office/drawing/2014/main" id="{00000000-0008-0000-0800-0000D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2" name="Text Box 77">
          <a:extLst>
            <a:ext uri="{FF2B5EF4-FFF2-40B4-BE49-F238E27FC236}">
              <a16:creationId xmlns:a16="http://schemas.microsoft.com/office/drawing/2014/main" id="{00000000-0008-0000-0800-0000E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3" name="Text Box 78">
          <a:extLst>
            <a:ext uri="{FF2B5EF4-FFF2-40B4-BE49-F238E27FC236}">
              <a16:creationId xmlns:a16="http://schemas.microsoft.com/office/drawing/2014/main" id="{00000000-0008-0000-0800-0000E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4" name="Text Box 79">
          <a:extLst>
            <a:ext uri="{FF2B5EF4-FFF2-40B4-BE49-F238E27FC236}">
              <a16:creationId xmlns:a16="http://schemas.microsoft.com/office/drawing/2014/main" id="{00000000-0008-0000-0800-0000E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5" name="Text Box 80">
          <a:extLst>
            <a:ext uri="{FF2B5EF4-FFF2-40B4-BE49-F238E27FC236}">
              <a16:creationId xmlns:a16="http://schemas.microsoft.com/office/drawing/2014/main" id="{00000000-0008-0000-0800-0000E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6" name="Text Box 81">
          <a:extLst>
            <a:ext uri="{FF2B5EF4-FFF2-40B4-BE49-F238E27FC236}">
              <a16:creationId xmlns:a16="http://schemas.microsoft.com/office/drawing/2014/main" id="{00000000-0008-0000-0800-0000E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7" name="Text Box 82">
          <a:extLst>
            <a:ext uri="{FF2B5EF4-FFF2-40B4-BE49-F238E27FC236}">
              <a16:creationId xmlns:a16="http://schemas.microsoft.com/office/drawing/2014/main" id="{00000000-0008-0000-0800-0000E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8" name="Text Box 83">
          <a:extLst>
            <a:ext uri="{FF2B5EF4-FFF2-40B4-BE49-F238E27FC236}">
              <a16:creationId xmlns:a16="http://schemas.microsoft.com/office/drawing/2014/main" id="{00000000-0008-0000-0800-0000E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9" name="Text Box 84">
          <a:extLst>
            <a:ext uri="{FF2B5EF4-FFF2-40B4-BE49-F238E27FC236}">
              <a16:creationId xmlns:a16="http://schemas.microsoft.com/office/drawing/2014/main" id="{00000000-0008-0000-0800-0000E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0" name="Text Box 85">
          <a:extLst>
            <a:ext uri="{FF2B5EF4-FFF2-40B4-BE49-F238E27FC236}">
              <a16:creationId xmlns:a16="http://schemas.microsoft.com/office/drawing/2014/main" id="{00000000-0008-0000-0800-0000E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1" name="Text Box 86">
          <a:extLst>
            <a:ext uri="{FF2B5EF4-FFF2-40B4-BE49-F238E27FC236}">
              <a16:creationId xmlns:a16="http://schemas.microsoft.com/office/drawing/2014/main" id="{00000000-0008-0000-0800-0000E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2" name="Text Box 87">
          <a:extLst>
            <a:ext uri="{FF2B5EF4-FFF2-40B4-BE49-F238E27FC236}">
              <a16:creationId xmlns:a16="http://schemas.microsoft.com/office/drawing/2014/main" id="{00000000-0008-0000-0800-0000E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3" name="Text Box 88">
          <a:extLst>
            <a:ext uri="{FF2B5EF4-FFF2-40B4-BE49-F238E27FC236}">
              <a16:creationId xmlns:a16="http://schemas.microsoft.com/office/drawing/2014/main" id="{00000000-0008-0000-0800-0000E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4" name="Text Box 89">
          <a:extLst>
            <a:ext uri="{FF2B5EF4-FFF2-40B4-BE49-F238E27FC236}">
              <a16:creationId xmlns:a16="http://schemas.microsoft.com/office/drawing/2014/main" id="{00000000-0008-0000-0800-0000E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5" name="Text Box 90">
          <a:extLst>
            <a:ext uri="{FF2B5EF4-FFF2-40B4-BE49-F238E27FC236}">
              <a16:creationId xmlns:a16="http://schemas.microsoft.com/office/drawing/2014/main" id="{00000000-0008-0000-0800-0000E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6" name="Text Box 91">
          <a:extLst>
            <a:ext uri="{FF2B5EF4-FFF2-40B4-BE49-F238E27FC236}">
              <a16:creationId xmlns:a16="http://schemas.microsoft.com/office/drawing/2014/main" id="{00000000-0008-0000-0800-0000E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7" name="Text Box 92">
          <a:extLst>
            <a:ext uri="{FF2B5EF4-FFF2-40B4-BE49-F238E27FC236}">
              <a16:creationId xmlns:a16="http://schemas.microsoft.com/office/drawing/2014/main" id="{00000000-0008-0000-0800-0000E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8" name="Text Box 93">
          <a:extLst>
            <a:ext uri="{FF2B5EF4-FFF2-40B4-BE49-F238E27FC236}">
              <a16:creationId xmlns:a16="http://schemas.microsoft.com/office/drawing/2014/main" id="{00000000-0008-0000-0800-0000F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9" name="Text Box 94">
          <a:extLst>
            <a:ext uri="{FF2B5EF4-FFF2-40B4-BE49-F238E27FC236}">
              <a16:creationId xmlns:a16="http://schemas.microsoft.com/office/drawing/2014/main" id="{00000000-0008-0000-0800-0000F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0" name="Text Box 95">
          <a:extLst>
            <a:ext uri="{FF2B5EF4-FFF2-40B4-BE49-F238E27FC236}">
              <a16:creationId xmlns:a16="http://schemas.microsoft.com/office/drawing/2014/main" id="{00000000-0008-0000-0800-0000F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1" name="Text Box 96">
          <a:extLst>
            <a:ext uri="{FF2B5EF4-FFF2-40B4-BE49-F238E27FC236}">
              <a16:creationId xmlns:a16="http://schemas.microsoft.com/office/drawing/2014/main" id="{00000000-0008-0000-0800-0000F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2" name="Text Box 97">
          <a:extLst>
            <a:ext uri="{FF2B5EF4-FFF2-40B4-BE49-F238E27FC236}">
              <a16:creationId xmlns:a16="http://schemas.microsoft.com/office/drawing/2014/main" id="{00000000-0008-0000-0800-0000F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3" name="Text Box 100">
          <a:extLst>
            <a:ext uri="{FF2B5EF4-FFF2-40B4-BE49-F238E27FC236}">
              <a16:creationId xmlns:a16="http://schemas.microsoft.com/office/drawing/2014/main" id="{00000000-0008-0000-0800-0000F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4" name="Text Box 101">
          <a:extLst>
            <a:ext uri="{FF2B5EF4-FFF2-40B4-BE49-F238E27FC236}">
              <a16:creationId xmlns:a16="http://schemas.microsoft.com/office/drawing/2014/main" id="{00000000-0008-0000-0800-0000F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5" name="Text Box 102">
          <a:extLst>
            <a:ext uri="{FF2B5EF4-FFF2-40B4-BE49-F238E27FC236}">
              <a16:creationId xmlns:a16="http://schemas.microsoft.com/office/drawing/2014/main" id="{00000000-0008-0000-0800-0000F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6" name="Text Box 103">
          <a:extLst>
            <a:ext uri="{FF2B5EF4-FFF2-40B4-BE49-F238E27FC236}">
              <a16:creationId xmlns:a16="http://schemas.microsoft.com/office/drawing/2014/main" id="{00000000-0008-0000-0800-0000F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7" name="Text Box 104">
          <a:extLst>
            <a:ext uri="{FF2B5EF4-FFF2-40B4-BE49-F238E27FC236}">
              <a16:creationId xmlns:a16="http://schemas.microsoft.com/office/drawing/2014/main" id="{00000000-0008-0000-0800-0000F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8" name="Text Box 105">
          <a:extLst>
            <a:ext uri="{FF2B5EF4-FFF2-40B4-BE49-F238E27FC236}">
              <a16:creationId xmlns:a16="http://schemas.microsoft.com/office/drawing/2014/main" id="{00000000-0008-0000-0800-0000F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9" name="Text Box 106">
          <a:extLst>
            <a:ext uri="{FF2B5EF4-FFF2-40B4-BE49-F238E27FC236}">
              <a16:creationId xmlns:a16="http://schemas.microsoft.com/office/drawing/2014/main" id="{00000000-0008-0000-0800-0000F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0" name="Text Box 107">
          <a:extLst>
            <a:ext uri="{FF2B5EF4-FFF2-40B4-BE49-F238E27FC236}">
              <a16:creationId xmlns:a16="http://schemas.microsoft.com/office/drawing/2014/main" id="{00000000-0008-0000-0800-0000F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1" name="Text Box 108">
          <a:extLst>
            <a:ext uri="{FF2B5EF4-FFF2-40B4-BE49-F238E27FC236}">
              <a16:creationId xmlns:a16="http://schemas.microsoft.com/office/drawing/2014/main" id="{00000000-0008-0000-0800-0000F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2" name="Text Box 109">
          <a:extLst>
            <a:ext uri="{FF2B5EF4-FFF2-40B4-BE49-F238E27FC236}">
              <a16:creationId xmlns:a16="http://schemas.microsoft.com/office/drawing/2014/main" id="{00000000-0008-0000-0800-0000F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3" name="Text Box 110">
          <a:extLst>
            <a:ext uri="{FF2B5EF4-FFF2-40B4-BE49-F238E27FC236}">
              <a16:creationId xmlns:a16="http://schemas.microsoft.com/office/drawing/2014/main" id="{00000000-0008-0000-0800-0000F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4" name="Text Box 111">
          <a:extLst>
            <a:ext uri="{FF2B5EF4-FFF2-40B4-BE49-F238E27FC236}">
              <a16:creationId xmlns:a16="http://schemas.microsoft.com/office/drawing/2014/main" id="{00000000-0008-0000-0800-00000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5" name="Text Box 119">
          <a:extLst>
            <a:ext uri="{FF2B5EF4-FFF2-40B4-BE49-F238E27FC236}">
              <a16:creationId xmlns:a16="http://schemas.microsoft.com/office/drawing/2014/main" id="{00000000-0008-0000-0800-00000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6" name="Text Box 120">
          <a:extLst>
            <a:ext uri="{FF2B5EF4-FFF2-40B4-BE49-F238E27FC236}">
              <a16:creationId xmlns:a16="http://schemas.microsoft.com/office/drawing/2014/main" id="{00000000-0008-0000-0800-00000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7" name="Text Box 121">
          <a:extLst>
            <a:ext uri="{FF2B5EF4-FFF2-40B4-BE49-F238E27FC236}">
              <a16:creationId xmlns:a16="http://schemas.microsoft.com/office/drawing/2014/main" id="{00000000-0008-0000-0800-00000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8" name="Text Box 122">
          <a:extLst>
            <a:ext uri="{FF2B5EF4-FFF2-40B4-BE49-F238E27FC236}">
              <a16:creationId xmlns:a16="http://schemas.microsoft.com/office/drawing/2014/main" id="{00000000-0008-0000-0800-00000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9" name="Text Box 123">
          <a:extLst>
            <a:ext uri="{FF2B5EF4-FFF2-40B4-BE49-F238E27FC236}">
              <a16:creationId xmlns:a16="http://schemas.microsoft.com/office/drawing/2014/main" id="{00000000-0008-0000-0800-00000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0" name="Text Box 124">
          <a:extLst>
            <a:ext uri="{FF2B5EF4-FFF2-40B4-BE49-F238E27FC236}">
              <a16:creationId xmlns:a16="http://schemas.microsoft.com/office/drawing/2014/main" id="{00000000-0008-0000-0800-00000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1" name="Text Box 125">
          <a:extLst>
            <a:ext uri="{FF2B5EF4-FFF2-40B4-BE49-F238E27FC236}">
              <a16:creationId xmlns:a16="http://schemas.microsoft.com/office/drawing/2014/main" id="{00000000-0008-0000-0800-00000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2" name="Text Box 126">
          <a:extLst>
            <a:ext uri="{FF2B5EF4-FFF2-40B4-BE49-F238E27FC236}">
              <a16:creationId xmlns:a16="http://schemas.microsoft.com/office/drawing/2014/main" id="{00000000-0008-0000-0800-00000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3" name="Text Box 127">
          <a:extLst>
            <a:ext uri="{FF2B5EF4-FFF2-40B4-BE49-F238E27FC236}">
              <a16:creationId xmlns:a16="http://schemas.microsoft.com/office/drawing/2014/main" id="{00000000-0008-0000-0800-00000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4" name="Text Box 128">
          <a:extLst>
            <a:ext uri="{FF2B5EF4-FFF2-40B4-BE49-F238E27FC236}">
              <a16:creationId xmlns:a16="http://schemas.microsoft.com/office/drawing/2014/main" id="{00000000-0008-0000-0800-00000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5" name="Text Box 129">
          <a:extLst>
            <a:ext uri="{FF2B5EF4-FFF2-40B4-BE49-F238E27FC236}">
              <a16:creationId xmlns:a16="http://schemas.microsoft.com/office/drawing/2014/main" id="{00000000-0008-0000-0800-00000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6" name="Text Box 130">
          <a:extLst>
            <a:ext uri="{FF2B5EF4-FFF2-40B4-BE49-F238E27FC236}">
              <a16:creationId xmlns:a16="http://schemas.microsoft.com/office/drawing/2014/main" id="{00000000-0008-0000-0800-00000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7" name="Text Box 133">
          <a:extLst>
            <a:ext uri="{FF2B5EF4-FFF2-40B4-BE49-F238E27FC236}">
              <a16:creationId xmlns:a16="http://schemas.microsoft.com/office/drawing/2014/main" id="{00000000-0008-0000-0800-00000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8" name="Text Box 134">
          <a:extLst>
            <a:ext uri="{FF2B5EF4-FFF2-40B4-BE49-F238E27FC236}">
              <a16:creationId xmlns:a16="http://schemas.microsoft.com/office/drawing/2014/main" id="{00000000-0008-0000-0800-00000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9" name="Text Box 135">
          <a:extLst>
            <a:ext uri="{FF2B5EF4-FFF2-40B4-BE49-F238E27FC236}">
              <a16:creationId xmlns:a16="http://schemas.microsoft.com/office/drawing/2014/main" id="{00000000-0008-0000-0800-00000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0" name="Text Box 136">
          <a:extLst>
            <a:ext uri="{FF2B5EF4-FFF2-40B4-BE49-F238E27FC236}">
              <a16:creationId xmlns:a16="http://schemas.microsoft.com/office/drawing/2014/main" id="{00000000-0008-0000-0800-00001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1" name="Text Box 137">
          <a:extLst>
            <a:ext uri="{FF2B5EF4-FFF2-40B4-BE49-F238E27FC236}">
              <a16:creationId xmlns:a16="http://schemas.microsoft.com/office/drawing/2014/main" id="{00000000-0008-0000-0800-00001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2" name="Text Box 138">
          <a:extLst>
            <a:ext uri="{FF2B5EF4-FFF2-40B4-BE49-F238E27FC236}">
              <a16:creationId xmlns:a16="http://schemas.microsoft.com/office/drawing/2014/main" id="{00000000-0008-0000-0800-00001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3" name="Text Box 139">
          <a:extLst>
            <a:ext uri="{FF2B5EF4-FFF2-40B4-BE49-F238E27FC236}">
              <a16:creationId xmlns:a16="http://schemas.microsoft.com/office/drawing/2014/main" id="{00000000-0008-0000-0800-00001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4" name="Text Box 140">
          <a:extLst>
            <a:ext uri="{FF2B5EF4-FFF2-40B4-BE49-F238E27FC236}">
              <a16:creationId xmlns:a16="http://schemas.microsoft.com/office/drawing/2014/main" id="{00000000-0008-0000-0800-00001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5" name="Text Box 141">
          <a:extLst>
            <a:ext uri="{FF2B5EF4-FFF2-40B4-BE49-F238E27FC236}">
              <a16:creationId xmlns:a16="http://schemas.microsoft.com/office/drawing/2014/main" id="{00000000-0008-0000-0800-00001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6" name="Text Box 142">
          <a:extLst>
            <a:ext uri="{FF2B5EF4-FFF2-40B4-BE49-F238E27FC236}">
              <a16:creationId xmlns:a16="http://schemas.microsoft.com/office/drawing/2014/main" id="{00000000-0008-0000-0800-00001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7" name="Text Box 143">
          <a:extLst>
            <a:ext uri="{FF2B5EF4-FFF2-40B4-BE49-F238E27FC236}">
              <a16:creationId xmlns:a16="http://schemas.microsoft.com/office/drawing/2014/main" id="{00000000-0008-0000-0800-00001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8" name="Text Box 144">
          <a:extLst>
            <a:ext uri="{FF2B5EF4-FFF2-40B4-BE49-F238E27FC236}">
              <a16:creationId xmlns:a16="http://schemas.microsoft.com/office/drawing/2014/main" id="{00000000-0008-0000-0800-00001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9" name="Text Box 145">
          <a:extLst>
            <a:ext uri="{FF2B5EF4-FFF2-40B4-BE49-F238E27FC236}">
              <a16:creationId xmlns:a16="http://schemas.microsoft.com/office/drawing/2014/main" id="{00000000-0008-0000-0800-00001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0" name="Text Box 146">
          <a:extLst>
            <a:ext uri="{FF2B5EF4-FFF2-40B4-BE49-F238E27FC236}">
              <a16:creationId xmlns:a16="http://schemas.microsoft.com/office/drawing/2014/main" id="{00000000-0008-0000-0800-00001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1" name="Text Box 147">
          <a:extLst>
            <a:ext uri="{FF2B5EF4-FFF2-40B4-BE49-F238E27FC236}">
              <a16:creationId xmlns:a16="http://schemas.microsoft.com/office/drawing/2014/main" id="{00000000-0008-0000-0800-00001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2" name="Text Box 148">
          <a:extLst>
            <a:ext uri="{FF2B5EF4-FFF2-40B4-BE49-F238E27FC236}">
              <a16:creationId xmlns:a16="http://schemas.microsoft.com/office/drawing/2014/main" id="{00000000-0008-0000-0800-00001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3" name="Text Box 149">
          <a:extLst>
            <a:ext uri="{FF2B5EF4-FFF2-40B4-BE49-F238E27FC236}">
              <a16:creationId xmlns:a16="http://schemas.microsoft.com/office/drawing/2014/main" id="{00000000-0008-0000-0800-00001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4" name="Text Box 150">
          <a:extLst>
            <a:ext uri="{FF2B5EF4-FFF2-40B4-BE49-F238E27FC236}">
              <a16:creationId xmlns:a16="http://schemas.microsoft.com/office/drawing/2014/main" id="{00000000-0008-0000-0800-00001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5" name="Text Box 151">
          <a:extLst>
            <a:ext uri="{FF2B5EF4-FFF2-40B4-BE49-F238E27FC236}">
              <a16:creationId xmlns:a16="http://schemas.microsoft.com/office/drawing/2014/main" id="{00000000-0008-0000-0800-00001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6" name="Text Box 152">
          <a:extLst>
            <a:ext uri="{FF2B5EF4-FFF2-40B4-BE49-F238E27FC236}">
              <a16:creationId xmlns:a16="http://schemas.microsoft.com/office/drawing/2014/main" id="{00000000-0008-0000-0800-00002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7" name="Text Box 153">
          <a:extLst>
            <a:ext uri="{FF2B5EF4-FFF2-40B4-BE49-F238E27FC236}">
              <a16:creationId xmlns:a16="http://schemas.microsoft.com/office/drawing/2014/main" id="{00000000-0008-0000-0800-00002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8" name="Text Box 154">
          <a:extLst>
            <a:ext uri="{FF2B5EF4-FFF2-40B4-BE49-F238E27FC236}">
              <a16:creationId xmlns:a16="http://schemas.microsoft.com/office/drawing/2014/main" id="{00000000-0008-0000-0800-00002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9" name="Text Box 155">
          <a:extLst>
            <a:ext uri="{FF2B5EF4-FFF2-40B4-BE49-F238E27FC236}">
              <a16:creationId xmlns:a16="http://schemas.microsoft.com/office/drawing/2014/main" id="{00000000-0008-0000-0800-00002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0" name="Text Box 156">
          <a:extLst>
            <a:ext uri="{FF2B5EF4-FFF2-40B4-BE49-F238E27FC236}">
              <a16:creationId xmlns:a16="http://schemas.microsoft.com/office/drawing/2014/main" id="{00000000-0008-0000-0800-00002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1" name="Text Box 157">
          <a:extLst>
            <a:ext uri="{FF2B5EF4-FFF2-40B4-BE49-F238E27FC236}">
              <a16:creationId xmlns:a16="http://schemas.microsoft.com/office/drawing/2014/main" id="{00000000-0008-0000-0800-00002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2" name="Text Box 158">
          <a:extLst>
            <a:ext uri="{FF2B5EF4-FFF2-40B4-BE49-F238E27FC236}">
              <a16:creationId xmlns:a16="http://schemas.microsoft.com/office/drawing/2014/main" id="{00000000-0008-0000-0800-00002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3" name="Text Box 159">
          <a:extLst>
            <a:ext uri="{FF2B5EF4-FFF2-40B4-BE49-F238E27FC236}">
              <a16:creationId xmlns:a16="http://schemas.microsoft.com/office/drawing/2014/main" id="{00000000-0008-0000-0800-00002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4" name="Text Box 160">
          <a:extLst>
            <a:ext uri="{FF2B5EF4-FFF2-40B4-BE49-F238E27FC236}">
              <a16:creationId xmlns:a16="http://schemas.microsoft.com/office/drawing/2014/main" id="{00000000-0008-0000-0800-00002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5" name="Text Box 161">
          <a:extLst>
            <a:ext uri="{FF2B5EF4-FFF2-40B4-BE49-F238E27FC236}">
              <a16:creationId xmlns:a16="http://schemas.microsoft.com/office/drawing/2014/main" id="{00000000-0008-0000-0800-00002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6" name="Text Box 162">
          <a:extLst>
            <a:ext uri="{FF2B5EF4-FFF2-40B4-BE49-F238E27FC236}">
              <a16:creationId xmlns:a16="http://schemas.microsoft.com/office/drawing/2014/main" id="{00000000-0008-0000-0800-00002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7" name="Text Box 163">
          <a:extLst>
            <a:ext uri="{FF2B5EF4-FFF2-40B4-BE49-F238E27FC236}">
              <a16:creationId xmlns:a16="http://schemas.microsoft.com/office/drawing/2014/main" id="{00000000-0008-0000-0800-00002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8" name="Text Box 164">
          <a:extLst>
            <a:ext uri="{FF2B5EF4-FFF2-40B4-BE49-F238E27FC236}">
              <a16:creationId xmlns:a16="http://schemas.microsoft.com/office/drawing/2014/main" id="{00000000-0008-0000-0800-00002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9" name="Text Box 165">
          <a:extLst>
            <a:ext uri="{FF2B5EF4-FFF2-40B4-BE49-F238E27FC236}">
              <a16:creationId xmlns:a16="http://schemas.microsoft.com/office/drawing/2014/main" id="{00000000-0008-0000-0800-00002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0" name="Text Box 166">
          <a:extLst>
            <a:ext uri="{FF2B5EF4-FFF2-40B4-BE49-F238E27FC236}">
              <a16:creationId xmlns:a16="http://schemas.microsoft.com/office/drawing/2014/main" id="{00000000-0008-0000-0800-00002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1" name="Text Box 167">
          <a:extLst>
            <a:ext uri="{FF2B5EF4-FFF2-40B4-BE49-F238E27FC236}">
              <a16:creationId xmlns:a16="http://schemas.microsoft.com/office/drawing/2014/main" id="{00000000-0008-0000-0800-00002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2" name="Text Box 168">
          <a:extLst>
            <a:ext uri="{FF2B5EF4-FFF2-40B4-BE49-F238E27FC236}">
              <a16:creationId xmlns:a16="http://schemas.microsoft.com/office/drawing/2014/main" id="{00000000-0008-0000-0800-00003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3" name="Text Box 169">
          <a:extLst>
            <a:ext uri="{FF2B5EF4-FFF2-40B4-BE49-F238E27FC236}">
              <a16:creationId xmlns:a16="http://schemas.microsoft.com/office/drawing/2014/main" id="{00000000-0008-0000-0800-00003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4" name="Text Box 170">
          <a:extLst>
            <a:ext uri="{FF2B5EF4-FFF2-40B4-BE49-F238E27FC236}">
              <a16:creationId xmlns:a16="http://schemas.microsoft.com/office/drawing/2014/main" id="{00000000-0008-0000-0800-00003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5" name="Text Box 171">
          <a:extLst>
            <a:ext uri="{FF2B5EF4-FFF2-40B4-BE49-F238E27FC236}">
              <a16:creationId xmlns:a16="http://schemas.microsoft.com/office/drawing/2014/main" id="{00000000-0008-0000-0800-00003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6" name="Text Box 172">
          <a:extLst>
            <a:ext uri="{FF2B5EF4-FFF2-40B4-BE49-F238E27FC236}">
              <a16:creationId xmlns:a16="http://schemas.microsoft.com/office/drawing/2014/main" id="{00000000-0008-0000-0800-00003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7" name="Text Box 173">
          <a:extLst>
            <a:ext uri="{FF2B5EF4-FFF2-40B4-BE49-F238E27FC236}">
              <a16:creationId xmlns:a16="http://schemas.microsoft.com/office/drawing/2014/main" id="{00000000-0008-0000-0800-00003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8" name="Text Box 174">
          <a:extLst>
            <a:ext uri="{FF2B5EF4-FFF2-40B4-BE49-F238E27FC236}">
              <a16:creationId xmlns:a16="http://schemas.microsoft.com/office/drawing/2014/main" id="{00000000-0008-0000-0800-00003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9" name="Text Box 175">
          <a:extLst>
            <a:ext uri="{FF2B5EF4-FFF2-40B4-BE49-F238E27FC236}">
              <a16:creationId xmlns:a16="http://schemas.microsoft.com/office/drawing/2014/main" id="{00000000-0008-0000-0800-00003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0" name="Text Box 176">
          <a:extLst>
            <a:ext uri="{FF2B5EF4-FFF2-40B4-BE49-F238E27FC236}">
              <a16:creationId xmlns:a16="http://schemas.microsoft.com/office/drawing/2014/main" id="{00000000-0008-0000-0800-00003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1" name="Text Box 177">
          <a:extLst>
            <a:ext uri="{FF2B5EF4-FFF2-40B4-BE49-F238E27FC236}">
              <a16:creationId xmlns:a16="http://schemas.microsoft.com/office/drawing/2014/main" id="{00000000-0008-0000-0800-00003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2" name="Text Box 178">
          <a:extLst>
            <a:ext uri="{FF2B5EF4-FFF2-40B4-BE49-F238E27FC236}">
              <a16:creationId xmlns:a16="http://schemas.microsoft.com/office/drawing/2014/main" id="{00000000-0008-0000-0800-00003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3" name="Text Box 179">
          <a:extLst>
            <a:ext uri="{FF2B5EF4-FFF2-40B4-BE49-F238E27FC236}">
              <a16:creationId xmlns:a16="http://schemas.microsoft.com/office/drawing/2014/main" id="{00000000-0008-0000-0800-00003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4" name="Text Box 180">
          <a:extLst>
            <a:ext uri="{FF2B5EF4-FFF2-40B4-BE49-F238E27FC236}">
              <a16:creationId xmlns:a16="http://schemas.microsoft.com/office/drawing/2014/main" id="{00000000-0008-0000-0800-00003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5" name="Text Box 181">
          <a:extLst>
            <a:ext uri="{FF2B5EF4-FFF2-40B4-BE49-F238E27FC236}">
              <a16:creationId xmlns:a16="http://schemas.microsoft.com/office/drawing/2014/main" id="{00000000-0008-0000-0800-00003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6" name="Text Box 182">
          <a:extLst>
            <a:ext uri="{FF2B5EF4-FFF2-40B4-BE49-F238E27FC236}">
              <a16:creationId xmlns:a16="http://schemas.microsoft.com/office/drawing/2014/main" id="{00000000-0008-0000-0800-00003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7" name="Text Box 183">
          <a:extLst>
            <a:ext uri="{FF2B5EF4-FFF2-40B4-BE49-F238E27FC236}">
              <a16:creationId xmlns:a16="http://schemas.microsoft.com/office/drawing/2014/main" id="{00000000-0008-0000-0800-00003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8" name="Text Box 184">
          <a:extLst>
            <a:ext uri="{FF2B5EF4-FFF2-40B4-BE49-F238E27FC236}">
              <a16:creationId xmlns:a16="http://schemas.microsoft.com/office/drawing/2014/main" id="{00000000-0008-0000-0800-00004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9" name="Text Box 185">
          <a:extLst>
            <a:ext uri="{FF2B5EF4-FFF2-40B4-BE49-F238E27FC236}">
              <a16:creationId xmlns:a16="http://schemas.microsoft.com/office/drawing/2014/main" id="{00000000-0008-0000-0800-00004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0" name="Text Box 186">
          <a:extLst>
            <a:ext uri="{FF2B5EF4-FFF2-40B4-BE49-F238E27FC236}">
              <a16:creationId xmlns:a16="http://schemas.microsoft.com/office/drawing/2014/main" id="{00000000-0008-0000-0800-00004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1" name="Text Box 187">
          <a:extLst>
            <a:ext uri="{FF2B5EF4-FFF2-40B4-BE49-F238E27FC236}">
              <a16:creationId xmlns:a16="http://schemas.microsoft.com/office/drawing/2014/main" id="{00000000-0008-0000-0800-00004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2" name="Text Box 188">
          <a:extLst>
            <a:ext uri="{FF2B5EF4-FFF2-40B4-BE49-F238E27FC236}">
              <a16:creationId xmlns:a16="http://schemas.microsoft.com/office/drawing/2014/main" id="{00000000-0008-0000-0800-00004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3" name="Text Box 189">
          <a:extLst>
            <a:ext uri="{FF2B5EF4-FFF2-40B4-BE49-F238E27FC236}">
              <a16:creationId xmlns:a16="http://schemas.microsoft.com/office/drawing/2014/main" id="{00000000-0008-0000-0800-00004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4" name="Text Box 190">
          <a:extLst>
            <a:ext uri="{FF2B5EF4-FFF2-40B4-BE49-F238E27FC236}">
              <a16:creationId xmlns:a16="http://schemas.microsoft.com/office/drawing/2014/main" id="{00000000-0008-0000-0800-00004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5" name="Text Box 191">
          <a:extLst>
            <a:ext uri="{FF2B5EF4-FFF2-40B4-BE49-F238E27FC236}">
              <a16:creationId xmlns:a16="http://schemas.microsoft.com/office/drawing/2014/main" id="{00000000-0008-0000-0800-00004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6" name="Text Box 192">
          <a:extLst>
            <a:ext uri="{FF2B5EF4-FFF2-40B4-BE49-F238E27FC236}">
              <a16:creationId xmlns:a16="http://schemas.microsoft.com/office/drawing/2014/main" id="{00000000-0008-0000-0800-00004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7" name="Text Box 193">
          <a:extLst>
            <a:ext uri="{FF2B5EF4-FFF2-40B4-BE49-F238E27FC236}">
              <a16:creationId xmlns:a16="http://schemas.microsoft.com/office/drawing/2014/main" id="{00000000-0008-0000-0800-00004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8" name="Text Box 194">
          <a:extLst>
            <a:ext uri="{FF2B5EF4-FFF2-40B4-BE49-F238E27FC236}">
              <a16:creationId xmlns:a16="http://schemas.microsoft.com/office/drawing/2014/main" id="{00000000-0008-0000-0800-00004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9" name="Text Box 195">
          <a:extLst>
            <a:ext uri="{FF2B5EF4-FFF2-40B4-BE49-F238E27FC236}">
              <a16:creationId xmlns:a16="http://schemas.microsoft.com/office/drawing/2014/main" id="{00000000-0008-0000-0800-00004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0" name="Text Box 196">
          <a:extLst>
            <a:ext uri="{FF2B5EF4-FFF2-40B4-BE49-F238E27FC236}">
              <a16:creationId xmlns:a16="http://schemas.microsoft.com/office/drawing/2014/main" id="{00000000-0008-0000-0800-00004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1" name="Text Box 197">
          <a:extLst>
            <a:ext uri="{FF2B5EF4-FFF2-40B4-BE49-F238E27FC236}">
              <a16:creationId xmlns:a16="http://schemas.microsoft.com/office/drawing/2014/main" id="{00000000-0008-0000-0800-00004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2" name="Text Box 198">
          <a:extLst>
            <a:ext uri="{FF2B5EF4-FFF2-40B4-BE49-F238E27FC236}">
              <a16:creationId xmlns:a16="http://schemas.microsoft.com/office/drawing/2014/main" id="{00000000-0008-0000-0800-00004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3" name="Text Box 199">
          <a:extLst>
            <a:ext uri="{FF2B5EF4-FFF2-40B4-BE49-F238E27FC236}">
              <a16:creationId xmlns:a16="http://schemas.microsoft.com/office/drawing/2014/main" id="{00000000-0008-0000-0800-00004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4" name="Text Box 200">
          <a:extLst>
            <a:ext uri="{FF2B5EF4-FFF2-40B4-BE49-F238E27FC236}">
              <a16:creationId xmlns:a16="http://schemas.microsoft.com/office/drawing/2014/main" id="{00000000-0008-0000-0800-00005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5" name="Text Box 201">
          <a:extLst>
            <a:ext uri="{FF2B5EF4-FFF2-40B4-BE49-F238E27FC236}">
              <a16:creationId xmlns:a16="http://schemas.microsoft.com/office/drawing/2014/main" id="{00000000-0008-0000-0800-00005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6" name="Text Box 202">
          <a:extLst>
            <a:ext uri="{FF2B5EF4-FFF2-40B4-BE49-F238E27FC236}">
              <a16:creationId xmlns:a16="http://schemas.microsoft.com/office/drawing/2014/main" id="{00000000-0008-0000-0800-00005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7" name="Text Box 203">
          <a:extLst>
            <a:ext uri="{FF2B5EF4-FFF2-40B4-BE49-F238E27FC236}">
              <a16:creationId xmlns:a16="http://schemas.microsoft.com/office/drawing/2014/main" id="{00000000-0008-0000-0800-00005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8" name="Text Box 204">
          <a:extLst>
            <a:ext uri="{FF2B5EF4-FFF2-40B4-BE49-F238E27FC236}">
              <a16:creationId xmlns:a16="http://schemas.microsoft.com/office/drawing/2014/main" id="{00000000-0008-0000-0800-00005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9" name="Text Box 205">
          <a:extLst>
            <a:ext uri="{FF2B5EF4-FFF2-40B4-BE49-F238E27FC236}">
              <a16:creationId xmlns:a16="http://schemas.microsoft.com/office/drawing/2014/main" id="{00000000-0008-0000-0800-00005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0" name="Text Box 206">
          <a:extLst>
            <a:ext uri="{FF2B5EF4-FFF2-40B4-BE49-F238E27FC236}">
              <a16:creationId xmlns:a16="http://schemas.microsoft.com/office/drawing/2014/main" id="{00000000-0008-0000-0800-00005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1" name="Text Box 207">
          <a:extLst>
            <a:ext uri="{FF2B5EF4-FFF2-40B4-BE49-F238E27FC236}">
              <a16:creationId xmlns:a16="http://schemas.microsoft.com/office/drawing/2014/main" id="{00000000-0008-0000-0800-00005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2" name="Text Box 208">
          <a:extLst>
            <a:ext uri="{FF2B5EF4-FFF2-40B4-BE49-F238E27FC236}">
              <a16:creationId xmlns:a16="http://schemas.microsoft.com/office/drawing/2014/main" id="{00000000-0008-0000-0800-00005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3" name="Text Box 209">
          <a:extLst>
            <a:ext uri="{FF2B5EF4-FFF2-40B4-BE49-F238E27FC236}">
              <a16:creationId xmlns:a16="http://schemas.microsoft.com/office/drawing/2014/main" id="{00000000-0008-0000-0800-00005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4" name="Text Box 210">
          <a:extLst>
            <a:ext uri="{FF2B5EF4-FFF2-40B4-BE49-F238E27FC236}">
              <a16:creationId xmlns:a16="http://schemas.microsoft.com/office/drawing/2014/main" id="{00000000-0008-0000-0800-00005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5" name="Text Box 211">
          <a:extLst>
            <a:ext uri="{FF2B5EF4-FFF2-40B4-BE49-F238E27FC236}">
              <a16:creationId xmlns:a16="http://schemas.microsoft.com/office/drawing/2014/main" id="{00000000-0008-0000-0800-00005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6" name="Text Box 212">
          <a:extLst>
            <a:ext uri="{FF2B5EF4-FFF2-40B4-BE49-F238E27FC236}">
              <a16:creationId xmlns:a16="http://schemas.microsoft.com/office/drawing/2014/main" id="{00000000-0008-0000-0800-00005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7" name="Text Box 213">
          <a:extLst>
            <a:ext uri="{FF2B5EF4-FFF2-40B4-BE49-F238E27FC236}">
              <a16:creationId xmlns:a16="http://schemas.microsoft.com/office/drawing/2014/main" id="{00000000-0008-0000-0800-00005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8" name="Text Box 214">
          <a:extLst>
            <a:ext uri="{FF2B5EF4-FFF2-40B4-BE49-F238E27FC236}">
              <a16:creationId xmlns:a16="http://schemas.microsoft.com/office/drawing/2014/main" id="{00000000-0008-0000-0800-00005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9" name="Text Box 215">
          <a:extLst>
            <a:ext uri="{FF2B5EF4-FFF2-40B4-BE49-F238E27FC236}">
              <a16:creationId xmlns:a16="http://schemas.microsoft.com/office/drawing/2014/main" id="{00000000-0008-0000-0800-00005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0" name="Text Box 216">
          <a:extLst>
            <a:ext uri="{FF2B5EF4-FFF2-40B4-BE49-F238E27FC236}">
              <a16:creationId xmlns:a16="http://schemas.microsoft.com/office/drawing/2014/main" id="{00000000-0008-0000-0800-00006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1" name="Text Box 217">
          <a:extLst>
            <a:ext uri="{FF2B5EF4-FFF2-40B4-BE49-F238E27FC236}">
              <a16:creationId xmlns:a16="http://schemas.microsoft.com/office/drawing/2014/main" id="{00000000-0008-0000-0800-00006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2" name="Text Box 218">
          <a:extLst>
            <a:ext uri="{FF2B5EF4-FFF2-40B4-BE49-F238E27FC236}">
              <a16:creationId xmlns:a16="http://schemas.microsoft.com/office/drawing/2014/main" id="{00000000-0008-0000-0800-00006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3" name="Text Box 219">
          <a:extLst>
            <a:ext uri="{FF2B5EF4-FFF2-40B4-BE49-F238E27FC236}">
              <a16:creationId xmlns:a16="http://schemas.microsoft.com/office/drawing/2014/main" id="{00000000-0008-0000-0800-00006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4" name="Text Box 220">
          <a:extLst>
            <a:ext uri="{FF2B5EF4-FFF2-40B4-BE49-F238E27FC236}">
              <a16:creationId xmlns:a16="http://schemas.microsoft.com/office/drawing/2014/main" id="{00000000-0008-0000-0800-00006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5" name="Text Box 221">
          <a:extLst>
            <a:ext uri="{FF2B5EF4-FFF2-40B4-BE49-F238E27FC236}">
              <a16:creationId xmlns:a16="http://schemas.microsoft.com/office/drawing/2014/main" id="{00000000-0008-0000-0800-00006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6" name="Text Box 222">
          <a:extLst>
            <a:ext uri="{FF2B5EF4-FFF2-40B4-BE49-F238E27FC236}">
              <a16:creationId xmlns:a16="http://schemas.microsoft.com/office/drawing/2014/main" id="{00000000-0008-0000-0800-00006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7" name="Text Box 223">
          <a:extLst>
            <a:ext uri="{FF2B5EF4-FFF2-40B4-BE49-F238E27FC236}">
              <a16:creationId xmlns:a16="http://schemas.microsoft.com/office/drawing/2014/main" id="{00000000-0008-0000-0800-00006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8" name="Text Box 224">
          <a:extLst>
            <a:ext uri="{FF2B5EF4-FFF2-40B4-BE49-F238E27FC236}">
              <a16:creationId xmlns:a16="http://schemas.microsoft.com/office/drawing/2014/main" id="{00000000-0008-0000-0800-00006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9" name="Text Box 225">
          <a:extLst>
            <a:ext uri="{FF2B5EF4-FFF2-40B4-BE49-F238E27FC236}">
              <a16:creationId xmlns:a16="http://schemas.microsoft.com/office/drawing/2014/main" id="{00000000-0008-0000-0800-00006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70" name="Text Box 226">
          <a:extLst>
            <a:ext uri="{FF2B5EF4-FFF2-40B4-BE49-F238E27FC236}">
              <a16:creationId xmlns:a16="http://schemas.microsoft.com/office/drawing/2014/main" id="{00000000-0008-0000-0800-00006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1" name="Text Box 227">
          <a:extLst>
            <a:ext uri="{FF2B5EF4-FFF2-40B4-BE49-F238E27FC236}">
              <a16:creationId xmlns:a16="http://schemas.microsoft.com/office/drawing/2014/main" id="{00000000-0008-0000-0800-00006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2" name="Text Box 228">
          <a:extLst>
            <a:ext uri="{FF2B5EF4-FFF2-40B4-BE49-F238E27FC236}">
              <a16:creationId xmlns:a16="http://schemas.microsoft.com/office/drawing/2014/main" id="{00000000-0008-0000-0800-00006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3" name="Text Box 229">
          <a:extLst>
            <a:ext uri="{FF2B5EF4-FFF2-40B4-BE49-F238E27FC236}">
              <a16:creationId xmlns:a16="http://schemas.microsoft.com/office/drawing/2014/main" id="{00000000-0008-0000-0800-00006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4" name="Text Box 230">
          <a:extLst>
            <a:ext uri="{FF2B5EF4-FFF2-40B4-BE49-F238E27FC236}">
              <a16:creationId xmlns:a16="http://schemas.microsoft.com/office/drawing/2014/main" id="{00000000-0008-0000-0800-00006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5" name="Text Box 231">
          <a:extLst>
            <a:ext uri="{FF2B5EF4-FFF2-40B4-BE49-F238E27FC236}">
              <a16:creationId xmlns:a16="http://schemas.microsoft.com/office/drawing/2014/main" id="{00000000-0008-0000-0800-00006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6" name="Text Box 232">
          <a:extLst>
            <a:ext uri="{FF2B5EF4-FFF2-40B4-BE49-F238E27FC236}">
              <a16:creationId xmlns:a16="http://schemas.microsoft.com/office/drawing/2014/main" id="{00000000-0008-0000-0800-00007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7" name="Text Box 233">
          <a:extLst>
            <a:ext uri="{FF2B5EF4-FFF2-40B4-BE49-F238E27FC236}">
              <a16:creationId xmlns:a16="http://schemas.microsoft.com/office/drawing/2014/main" id="{00000000-0008-0000-0800-00007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8" name="Text Box 234">
          <a:extLst>
            <a:ext uri="{FF2B5EF4-FFF2-40B4-BE49-F238E27FC236}">
              <a16:creationId xmlns:a16="http://schemas.microsoft.com/office/drawing/2014/main" id="{00000000-0008-0000-0800-00007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9" name="Text Box 235">
          <a:extLst>
            <a:ext uri="{FF2B5EF4-FFF2-40B4-BE49-F238E27FC236}">
              <a16:creationId xmlns:a16="http://schemas.microsoft.com/office/drawing/2014/main" id="{00000000-0008-0000-0800-00007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0" name="Text Box 236">
          <a:extLst>
            <a:ext uri="{FF2B5EF4-FFF2-40B4-BE49-F238E27FC236}">
              <a16:creationId xmlns:a16="http://schemas.microsoft.com/office/drawing/2014/main" id="{00000000-0008-0000-0800-00007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1" name="Text Box 237">
          <a:extLst>
            <a:ext uri="{FF2B5EF4-FFF2-40B4-BE49-F238E27FC236}">
              <a16:creationId xmlns:a16="http://schemas.microsoft.com/office/drawing/2014/main" id="{00000000-0008-0000-0800-00007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2" name="Text Box 238">
          <a:extLst>
            <a:ext uri="{FF2B5EF4-FFF2-40B4-BE49-F238E27FC236}">
              <a16:creationId xmlns:a16="http://schemas.microsoft.com/office/drawing/2014/main" id="{00000000-0008-0000-0800-00007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3" name="Text Box 239">
          <a:extLst>
            <a:ext uri="{FF2B5EF4-FFF2-40B4-BE49-F238E27FC236}">
              <a16:creationId xmlns:a16="http://schemas.microsoft.com/office/drawing/2014/main" id="{00000000-0008-0000-0800-00007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4" name="Text Box 240">
          <a:extLst>
            <a:ext uri="{FF2B5EF4-FFF2-40B4-BE49-F238E27FC236}">
              <a16:creationId xmlns:a16="http://schemas.microsoft.com/office/drawing/2014/main" id="{00000000-0008-0000-0800-00007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5" name="Text Box 241">
          <a:extLst>
            <a:ext uri="{FF2B5EF4-FFF2-40B4-BE49-F238E27FC236}">
              <a16:creationId xmlns:a16="http://schemas.microsoft.com/office/drawing/2014/main" id="{00000000-0008-0000-0800-00007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6" name="Text Box 242">
          <a:extLst>
            <a:ext uri="{FF2B5EF4-FFF2-40B4-BE49-F238E27FC236}">
              <a16:creationId xmlns:a16="http://schemas.microsoft.com/office/drawing/2014/main" id="{00000000-0008-0000-0800-00007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7" name="Text Box 243">
          <a:extLst>
            <a:ext uri="{FF2B5EF4-FFF2-40B4-BE49-F238E27FC236}">
              <a16:creationId xmlns:a16="http://schemas.microsoft.com/office/drawing/2014/main" id="{00000000-0008-0000-0800-00007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8" name="Text Box 244">
          <a:extLst>
            <a:ext uri="{FF2B5EF4-FFF2-40B4-BE49-F238E27FC236}">
              <a16:creationId xmlns:a16="http://schemas.microsoft.com/office/drawing/2014/main" id="{00000000-0008-0000-0800-00007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9" name="Text Box 245">
          <a:extLst>
            <a:ext uri="{FF2B5EF4-FFF2-40B4-BE49-F238E27FC236}">
              <a16:creationId xmlns:a16="http://schemas.microsoft.com/office/drawing/2014/main" id="{00000000-0008-0000-0800-00007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0" name="Text Box 246">
          <a:extLst>
            <a:ext uri="{FF2B5EF4-FFF2-40B4-BE49-F238E27FC236}">
              <a16:creationId xmlns:a16="http://schemas.microsoft.com/office/drawing/2014/main" id="{00000000-0008-0000-0800-00007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1" name="Text Box 247">
          <a:extLst>
            <a:ext uri="{FF2B5EF4-FFF2-40B4-BE49-F238E27FC236}">
              <a16:creationId xmlns:a16="http://schemas.microsoft.com/office/drawing/2014/main" id="{00000000-0008-0000-0800-00007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2" name="Text Box 248">
          <a:extLst>
            <a:ext uri="{FF2B5EF4-FFF2-40B4-BE49-F238E27FC236}">
              <a16:creationId xmlns:a16="http://schemas.microsoft.com/office/drawing/2014/main" id="{00000000-0008-0000-0800-00008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3" name="Text Box 249">
          <a:extLst>
            <a:ext uri="{FF2B5EF4-FFF2-40B4-BE49-F238E27FC236}">
              <a16:creationId xmlns:a16="http://schemas.microsoft.com/office/drawing/2014/main" id="{00000000-0008-0000-0800-00008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4" name="Text Box 250">
          <a:extLst>
            <a:ext uri="{FF2B5EF4-FFF2-40B4-BE49-F238E27FC236}">
              <a16:creationId xmlns:a16="http://schemas.microsoft.com/office/drawing/2014/main" id="{00000000-0008-0000-0800-00008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5" name="Text Box 251">
          <a:extLst>
            <a:ext uri="{FF2B5EF4-FFF2-40B4-BE49-F238E27FC236}">
              <a16:creationId xmlns:a16="http://schemas.microsoft.com/office/drawing/2014/main" id="{00000000-0008-0000-0800-00008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6" name="Text Box 252">
          <a:extLst>
            <a:ext uri="{FF2B5EF4-FFF2-40B4-BE49-F238E27FC236}">
              <a16:creationId xmlns:a16="http://schemas.microsoft.com/office/drawing/2014/main" id="{00000000-0008-0000-0800-00008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7" name="Text Box 253">
          <a:extLst>
            <a:ext uri="{FF2B5EF4-FFF2-40B4-BE49-F238E27FC236}">
              <a16:creationId xmlns:a16="http://schemas.microsoft.com/office/drawing/2014/main" id="{00000000-0008-0000-0800-00008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8" name="Text Box 254">
          <a:extLst>
            <a:ext uri="{FF2B5EF4-FFF2-40B4-BE49-F238E27FC236}">
              <a16:creationId xmlns:a16="http://schemas.microsoft.com/office/drawing/2014/main" id="{00000000-0008-0000-0800-00008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9" name="Text Box 255">
          <a:extLst>
            <a:ext uri="{FF2B5EF4-FFF2-40B4-BE49-F238E27FC236}">
              <a16:creationId xmlns:a16="http://schemas.microsoft.com/office/drawing/2014/main" id="{00000000-0008-0000-0800-00008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0" name="Text Box 256">
          <a:extLst>
            <a:ext uri="{FF2B5EF4-FFF2-40B4-BE49-F238E27FC236}">
              <a16:creationId xmlns:a16="http://schemas.microsoft.com/office/drawing/2014/main" id="{00000000-0008-0000-0800-00008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1" name="Text Box 257">
          <a:extLst>
            <a:ext uri="{FF2B5EF4-FFF2-40B4-BE49-F238E27FC236}">
              <a16:creationId xmlns:a16="http://schemas.microsoft.com/office/drawing/2014/main" id="{00000000-0008-0000-0800-00008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2" name="Text Box 258">
          <a:extLst>
            <a:ext uri="{FF2B5EF4-FFF2-40B4-BE49-F238E27FC236}">
              <a16:creationId xmlns:a16="http://schemas.microsoft.com/office/drawing/2014/main" id="{00000000-0008-0000-0800-00008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3" name="Text Box 259">
          <a:extLst>
            <a:ext uri="{FF2B5EF4-FFF2-40B4-BE49-F238E27FC236}">
              <a16:creationId xmlns:a16="http://schemas.microsoft.com/office/drawing/2014/main" id="{00000000-0008-0000-0800-00008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4" name="Text Box 260">
          <a:extLst>
            <a:ext uri="{FF2B5EF4-FFF2-40B4-BE49-F238E27FC236}">
              <a16:creationId xmlns:a16="http://schemas.microsoft.com/office/drawing/2014/main" id="{00000000-0008-0000-0800-00008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5" name="Text Box 261">
          <a:extLst>
            <a:ext uri="{FF2B5EF4-FFF2-40B4-BE49-F238E27FC236}">
              <a16:creationId xmlns:a16="http://schemas.microsoft.com/office/drawing/2014/main" id="{00000000-0008-0000-0800-00008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6" name="Text Box 262">
          <a:extLst>
            <a:ext uri="{FF2B5EF4-FFF2-40B4-BE49-F238E27FC236}">
              <a16:creationId xmlns:a16="http://schemas.microsoft.com/office/drawing/2014/main" id="{00000000-0008-0000-0800-00008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7" name="Text Box 263">
          <a:extLst>
            <a:ext uri="{FF2B5EF4-FFF2-40B4-BE49-F238E27FC236}">
              <a16:creationId xmlns:a16="http://schemas.microsoft.com/office/drawing/2014/main" id="{00000000-0008-0000-0800-00008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8" name="Text Box 264">
          <a:extLst>
            <a:ext uri="{FF2B5EF4-FFF2-40B4-BE49-F238E27FC236}">
              <a16:creationId xmlns:a16="http://schemas.microsoft.com/office/drawing/2014/main" id="{00000000-0008-0000-0800-00009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9" name="Text Box 265">
          <a:extLst>
            <a:ext uri="{FF2B5EF4-FFF2-40B4-BE49-F238E27FC236}">
              <a16:creationId xmlns:a16="http://schemas.microsoft.com/office/drawing/2014/main" id="{00000000-0008-0000-0800-00009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0" name="Text Box 266">
          <a:extLst>
            <a:ext uri="{FF2B5EF4-FFF2-40B4-BE49-F238E27FC236}">
              <a16:creationId xmlns:a16="http://schemas.microsoft.com/office/drawing/2014/main" id="{00000000-0008-0000-0800-00009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1" name="Text Box 267">
          <a:extLst>
            <a:ext uri="{FF2B5EF4-FFF2-40B4-BE49-F238E27FC236}">
              <a16:creationId xmlns:a16="http://schemas.microsoft.com/office/drawing/2014/main" id="{00000000-0008-0000-0800-00009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2" name="Text Box 268">
          <a:extLst>
            <a:ext uri="{FF2B5EF4-FFF2-40B4-BE49-F238E27FC236}">
              <a16:creationId xmlns:a16="http://schemas.microsoft.com/office/drawing/2014/main" id="{00000000-0008-0000-0800-00009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3" name="Text Box 269">
          <a:extLst>
            <a:ext uri="{FF2B5EF4-FFF2-40B4-BE49-F238E27FC236}">
              <a16:creationId xmlns:a16="http://schemas.microsoft.com/office/drawing/2014/main" id="{00000000-0008-0000-0800-00009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4" name="Text Box 270">
          <a:extLst>
            <a:ext uri="{FF2B5EF4-FFF2-40B4-BE49-F238E27FC236}">
              <a16:creationId xmlns:a16="http://schemas.microsoft.com/office/drawing/2014/main" id="{00000000-0008-0000-0800-00009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5" name="Text Box 271">
          <a:extLst>
            <a:ext uri="{FF2B5EF4-FFF2-40B4-BE49-F238E27FC236}">
              <a16:creationId xmlns:a16="http://schemas.microsoft.com/office/drawing/2014/main" id="{00000000-0008-0000-0800-00009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6" name="Text Box 272">
          <a:extLst>
            <a:ext uri="{FF2B5EF4-FFF2-40B4-BE49-F238E27FC236}">
              <a16:creationId xmlns:a16="http://schemas.microsoft.com/office/drawing/2014/main" id="{00000000-0008-0000-0800-00009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7" name="Text Box 273">
          <a:extLst>
            <a:ext uri="{FF2B5EF4-FFF2-40B4-BE49-F238E27FC236}">
              <a16:creationId xmlns:a16="http://schemas.microsoft.com/office/drawing/2014/main" id="{00000000-0008-0000-0800-00009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8" name="Text Box 274">
          <a:extLst>
            <a:ext uri="{FF2B5EF4-FFF2-40B4-BE49-F238E27FC236}">
              <a16:creationId xmlns:a16="http://schemas.microsoft.com/office/drawing/2014/main" id="{00000000-0008-0000-0800-00009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9" name="Text Box 275">
          <a:extLst>
            <a:ext uri="{FF2B5EF4-FFF2-40B4-BE49-F238E27FC236}">
              <a16:creationId xmlns:a16="http://schemas.microsoft.com/office/drawing/2014/main" id="{00000000-0008-0000-0800-00009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0" name="Text Box 276">
          <a:extLst>
            <a:ext uri="{FF2B5EF4-FFF2-40B4-BE49-F238E27FC236}">
              <a16:creationId xmlns:a16="http://schemas.microsoft.com/office/drawing/2014/main" id="{00000000-0008-0000-0800-00009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1" name="Text Box 277">
          <a:extLst>
            <a:ext uri="{FF2B5EF4-FFF2-40B4-BE49-F238E27FC236}">
              <a16:creationId xmlns:a16="http://schemas.microsoft.com/office/drawing/2014/main" id="{00000000-0008-0000-0800-00009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2" name="Text Box 278">
          <a:extLst>
            <a:ext uri="{FF2B5EF4-FFF2-40B4-BE49-F238E27FC236}">
              <a16:creationId xmlns:a16="http://schemas.microsoft.com/office/drawing/2014/main" id="{00000000-0008-0000-0800-00009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3" name="Text Box 279">
          <a:extLst>
            <a:ext uri="{FF2B5EF4-FFF2-40B4-BE49-F238E27FC236}">
              <a16:creationId xmlns:a16="http://schemas.microsoft.com/office/drawing/2014/main" id="{00000000-0008-0000-0800-00009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4" name="Text Box 280">
          <a:extLst>
            <a:ext uri="{FF2B5EF4-FFF2-40B4-BE49-F238E27FC236}">
              <a16:creationId xmlns:a16="http://schemas.microsoft.com/office/drawing/2014/main" id="{00000000-0008-0000-0800-0000A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5" name="Text Box 281">
          <a:extLst>
            <a:ext uri="{FF2B5EF4-FFF2-40B4-BE49-F238E27FC236}">
              <a16:creationId xmlns:a16="http://schemas.microsoft.com/office/drawing/2014/main" id="{00000000-0008-0000-0800-0000A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6" name="Text Box 282">
          <a:extLst>
            <a:ext uri="{FF2B5EF4-FFF2-40B4-BE49-F238E27FC236}">
              <a16:creationId xmlns:a16="http://schemas.microsoft.com/office/drawing/2014/main" id="{00000000-0008-0000-0800-0000A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7" name="Text Box 283">
          <a:extLst>
            <a:ext uri="{FF2B5EF4-FFF2-40B4-BE49-F238E27FC236}">
              <a16:creationId xmlns:a16="http://schemas.microsoft.com/office/drawing/2014/main" id="{00000000-0008-0000-0800-0000A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8" name="Text Box 284">
          <a:extLst>
            <a:ext uri="{FF2B5EF4-FFF2-40B4-BE49-F238E27FC236}">
              <a16:creationId xmlns:a16="http://schemas.microsoft.com/office/drawing/2014/main" id="{00000000-0008-0000-0800-0000A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9" name="Text Box 285">
          <a:extLst>
            <a:ext uri="{FF2B5EF4-FFF2-40B4-BE49-F238E27FC236}">
              <a16:creationId xmlns:a16="http://schemas.microsoft.com/office/drawing/2014/main" id="{00000000-0008-0000-0800-0000A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0" name="Text Box 286">
          <a:extLst>
            <a:ext uri="{FF2B5EF4-FFF2-40B4-BE49-F238E27FC236}">
              <a16:creationId xmlns:a16="http://schemas.microsoft.com/office/drawing/2014/main" id="{00000000-0008-0000-0800-0000A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1" name="Text Box 287">
          <a:extLst>
            <a:ext uri="{FF2B5EF4-FFF2-40B4-BE49-F238E27FC236}">
              <a16:creationId xmlns:a16="http://schemas.microsoft.com/office/drawing/2014/main" id="{00000000-0008-0000-0800-0000A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2" name="Text Box 288">
          <a:extLst>
            <a:ext uri="{FF2B5EF4-FFF2-40B4-BE49-F238E27FC236}">
              <a16:creationId xmlns:a16="http://schemas.microsoft.com/office/drawing/2014/main" id="{00000000-0008-0000-0800-0000A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3" name="Text Box 289">
          <a:extLst>
            <a:ext uri="{FF2B5EF4-FFF2-40B4-BE49-F238E27FC236}">
              <a16:creationId xmlns:a16="http://schemas.microsoft.com/office/drawing/2014/main" id="{00000000-0008-0000-0800-0000A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4" name="Text Box 290">
          <a:extLst>
            <a:ext uri="{FF2B5EF4-FFF2-40B4-BE49-F238E27FC236}">
              <a16:creationId xmlns:a16="http://schemas.microsoft.com/office/drawing/2014/main" id="{00000000-0008-0000-0800-0000A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5" name="Text Box 291">
          <a:extLst>
            <a:ext uri="{FF2B5EF4-FFF2-40B4-BE49-F238E27FC236}">
              <a16:creationId xmlns:a16="http://schemas.microsoft.com/office/drawing/2014/main" id="{00000000-0008-0000-0800-0000A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6" name="Text Box 292">
          <a:extLst>
            <a:ext uri="{FF2B5EF4-FFF2-40B4-BE49-F238E27FC236}">
              <a16:creationId xmlns:a16="http://schemas.microsoft.com/office/drawing/2014/main" id="{00000000-0008-0000-0800-0000A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7" name="Text Box 293">
          <a:extLst>
            <a:ext uri="{FF2B5EF4-FFF2-40B4-BE49-F238E27FC236}">
              <a16:creationId xmlns:a16="http://schemas.microsoft.com/office/drawing/2014/main" id="{00000000-0008-0000-0800-0000A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8" name="Text Box 294">
          <a:extLst>
            <a:ext uri="{FF2B5EF4-FFF2-40B4-BE49-F238E27FC236}">
              <a16:creationId xmlns:a16="http://schemas.microsoft.com/office/drawing/2014/main" id="{00000000-0008-0000-0800-0000A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9" name="Text Box 295">
          <a:extLst>
            <a:ext uri="{FF2B5EF4-FFF2-40B4-BE49-F238E27FC236}">
              <a16:creationId xmlns:a16="http://schemas.microsoft.com/office/drawing/2014/main" id="{00000000-0008-0000-0800-0000A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40" name="Text Box 296">
          <a:extLst>
            <a:ext uri="{FF2B5EF4-FFF2-40B4-BE49-F238E27FC236}">
              <a16:creationId xmlns:a16="http://schemas.microsoft.com/office/drawing/2014/main" id="{00000000-0008-0000-0800-0000B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1" name="Text Box 297">
          <a:extLst>
            <a:ext uri="{FF2B5EF4-FFF2-40B4-BE49-F238E27FC236}">
              <a16:creationId xmlns:a16="http://schemas.microsoft.com/office/drawing/2014/main" id="{00000000-0008-0000-0800-0000B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2" name="Text Box 298">
          <a:extLst>
            <a:ext uri="{FF2B5EF4-FFF2-40B4-BE49-F238E27FC236}">
              <a16:creationId xmlns:a16="http://schemas.microsoft.com/office/drawing/2014/main" id="{00000000-0008-0000-0800-0000B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3" name="Text Box 299">
          <a:extLst>
            <a:ext uri="{FF2B5EF4-FFF2-40B4-BE49-F238E27FC236}">
              <a16:creationId xmlns:a16="http://schemas.microsoft.com/office/drawing/2014/main" id="{00000000-0008-0000-0800-0000B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4" name="Text Box 300">
          <a:extLst>
            <a:ext uri="{FF2B5EF4-FFF2-40B4-BE49-F238E27FC236}">
              <a16:creationId xmlns:a16="http://schemas.microsoft.com/office/drawing/2014/main" id="{00000000-0008-0000-0800-0000B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5" name="Text Box 301">
          <a:extLst>
            <a:ext uri="{FF2B5EF4-FFF2-40B4-BE49-F238E27FC236}">
              <a16:creationId xmlns:a16="http://schemas.microsoft.com/office/drawing/2014/main" id="{00000000-0008-0000-0800-0000B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6" name="Text Box 302">
          <a:extLst>
            <a:ext uri="{FF2B5EF4-FFF2-40B4-BE49-F238E27FC236}">
              <a16:creationId xmlns:a16="http://schemas.microsoft.com/office/drawing/2014/main" id="{00000000-0008-0000-0800-0000B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7" name="Text Box 303">
          <a:extLst>
            <a:ext uri="{FF2B5EF4-FFF2-40B4-BE49-F238E27FC236}">
              <a16:creationId xmlns:a16="http://schemas.microsoft.com/office/drawing/2014/main" id="{00000000-0008-0000-0800-0000B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8" name="Text Box 304">
          <a:extLst>
            <a:ext uri="{FF2B5EF4-FFF2-40B4-BE49-F238E27FC236}">
              <a16:creationId xmlns:a16="http://schemas.microsoft.com/office/drawing/2014/main" id="{00000000-0008-0000-0800-0000B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9" name="Text Box 305">
          <a:extLst>
            <a:ext uri="{FF2B5EF4-FFF2-40B4-BE49-F238E27FC236}">
              <a16:creationId xmlns:a16="http://schemas.microsoft.com/office/drawing/2014/main" id="{00000000-0008-0000-0800-0000B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0" name="Text Box 306">
          <a:extLst>
            <a:ext uri="{FF2B5EF4-FFF2-40B4-BE49-F238E27FC236}">
              <a16:creationId xmlns:a16="http://schemas.microsoft.com/office/drawing/2014/main" id="{00000000-0008-0000-0800-0000B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1" name="Text Box 307">
          <a:extLst>
            <a:ext uri="{FF2B5EF4-FFF2-40B4-BE49-F238E27FC236}">
              <a16:creationId xmlns:a16="http://schemas.microsoft.com/office/drawing/2014/main" id="{00000000-0008-0000-0800-0000B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2" name="Text Box 308">
          <a:extLst>
            <a:ext uri="{FF2B5EF4-FFF2-40B4-BE49-F238E27FC236}">
              <a16:creationId xmlns:a16="http://schemas.microsoft.com/office/drawing/2014/main" id="{00000000-0008-0000-0800-0000B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3" name="Text Box 309">
          <a:extLst>
            <a:ext uri="{FF2B5EF4-FFF2-40B4-BE49-F238E27FC236}">
              <a16:creationId xmlns:a16="http://schemas.microsoft.com/office/drawing/2014/main" id="{00000000-0008-0000-0800-0000B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4" name="Text Box 310">
          <a:extLst>
            <a:ext uri="{FF2B5EF4-FFF2-40B4-BE49-F238E27FC236}">
              <a16:creationId xmlns:a16="http://schemas.microsoft.com/office/drawing/2014/main" id="{00000000-0008-0000-0800-0000B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5" name="Text Box 311">
          <a:extLst>
            <a:ext uri="{FF2B5EF4-FFF2-40B4-BE49-F238E27FC236}">
              <a16:creationId xmlns:a16="http://schemas.microsoft.com/office/drawing/2014/main" id="{00000000-0008-0000-0800-0000B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6" name="Text Box 312">
          <a:extLst>
            <a:ext uri="{FF2B5EF4-FFF2-40B4-BE49-F238E27FC236}">
              <a16:creationId xmlns:a16="http://schemas.microsoft.com/office/drawing/2014/main" id="{00000000-0008-0000-0800-0000C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7" name="Text Box 313">
          <a:extLst>
            <a:ext uri="{FF2B5EF4-FFF2-40B4-BE49-F238E27FC236}">
              <a16:creationId xmlns:a16="http://schemas.microsoft.com/office/drawing/2014/main" id="{00000000-0008-0000-0800-0000C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8" name="Text Box 314">
          <a:extLst>
            <a:ext uri="{FF2B5EF4-FFF2-40B4-BE49-F238E27FC236}">
              <a16:creationId xmlns:a16="http://schemas.microsoft.com/office/drawing/2014/main" id="{00000000-0008-0000-0800-0000C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9" name="Text Box 315">
          <a:extLst>
            <a:ext uri="{FF2B5EF4-FFF2-40B4-BE49-F238E27FC236}">
              <a16:creationId xmlns:a16="http://schemas.microsoft.com/office/drawing/2014/main" id="{00000000-0008-0000-0800-0000C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0" name="Text Box 316">
          <a:extLst>
            <a:ext uri="{FF2B5EF4-FFF2-40B4-BE49-F238E27FC236}">
              <a16:creationId xmlns:a16="http://schemas.microsoft.com/office/drawing/2014/main" id="{00000000-0008-0000-0800-0000C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1" name="Text Box 317">
          <a:extLst>
            <a:ext uri="{FF2B5EF4-FFF2-40B4-BE49-F238E27FC236}">
              <a16:creationId xmlns:a16="http://schemas.microsoft.com/office/drawing/2014/main" id="{00000000-0008-0000-0800-0000C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2" name="Text Box 318">
          <a:extLst>
            <a:ext uri="{FF2B5EF4-FFF2-40B4-BE49-F238E27FC236}">
              <a16:creationId xmlns:a16="http://schemas.microsoft.com/office/drawing/2014/main" id="{00000000-0008-0000-0800-0000C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3" name="Text Box 319">
          <a:extLst>
            <a:ext uri="{FF2B5EF4-FFF2-40B4-BE49-F238E27FC236}">
              <a16:creationId xmlns:a16="http://schemas.microsoft.com/office/drawing/2014/main" id="{00000000-0008-0000-0800-0000C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4" name="Text Box 320">
          <a:extLst>
            <a:ext uri="{FF2B5EF4-FFF2-40B4-BE49-F238E27FC236}">
              <a16:creationId xmlns:a16="http://schemas.microsoft.com/office/drawing/2014/main" id="{00000000-0008-0000-0800-0000C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5" name="Text Box 28">
          <a:extLst>
            <a:ext uri="{FF2B5EF4-FFF2-40B4-BE49-F238E27FC236}">
              <a16:creationId xmlns:a16="http://schemas.microsoft.com/office/drawing/2014/main" id="{00000000-0008-0000-0800-0000C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6" name="Text Box 29">
          <a:extLst>
            <a:ext uri="{FF2B5EF4-FFF2-40B4-BE49-F238E27FC236}">
              <a16:creationId xmlns:a16="http://schemas.microsoft.com/office/drawing/2014/main" id="{00000000-0008-0000-0800-0000C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7" name="Text Box 30">
          <a:extLst>
            <a:ext uri="{FF2B5EF4-FFF2-40B4-BE49-F238E27FC236}">
              <a16:creationId xmlns:a16="http://schemas.microsoft.com/office/drawing/2014/main" id="{00000000-0008-0000-0800-0000C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8" name="Text Box 31">
          <a:extLst>
            <a:ext uri="{FF2B5EF4-FFF2-40B4-BE49-F238E27FC236}">
              <a16:creationId xmlns:a16="http://schemas.microsoft.com/office/drawing/2014/main" id="{00000000-0008-0000-0800-0000C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9" name="Text Box 32">
          <a:extLst>
            <a:ext uri="{FF2B5EF4-FFF2-40B4-BE49-F238E27FC236}">
              <a16:creationId xmlns:a16="http://schemas.microsoft.com/office/drawing/2014/main" id="{00000000-0008-0000-0800-0000C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0" name="Text Box 33">
          <a:extLst>
            <a:ext uri="{FF2B5EF4-FFF2-40B4-BE49-F238E27FC236}">
              <a16:creationId xmlns:a16="http://schemas.microsoft.com/office/drawing/2014/main" id="{00000000-0008-0000-0800-0000C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1" name="Text Box 34">
          <a:extLst>
            <a:ext uri="{FF2B5EF4-FFF2-40B4-BE49-F238E27FC236}">
              <a16:creationId xmlns:a16="http://schemas.microsoft.com/office/drawing/2014/main" id="{00000000-0008-0000-0800-0000C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2" name="Text Box 35">
          <a:extLst>
            <a:ext uri="{FF2B5EF4-FFF2-40B4-BE49-F238E27FC236}">
              <a16:creationId xmlns:a16="http://schemas.microsoft.com/office/drawing/2014/main" id="{00000000-0008-0000-0800-0000D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3" name="Text Box 36">
          <a:extLst>
            <a:ext uri="{FF2B5EF4-FFF2-40B4-BE49-F238E27FC236}">
              <a16:creationId xmlns:a16="http://schemas.microsoft.com/office/drawing/2014/main" id="{00000000-0008-0000-0800-0000D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4" name="Text Box 37">
          <a:extLst>
            <a:ext uri="{FF2B5EF4-FFF2-40B4-BE49-F238E27FC236}">
              <a16:creationId xmlns:a16="http://schemas.microsoft.com/office/drawing/2014/main" id="{00000000-0008-0000-0800-0000D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5" name="Text Box 38">
          <a:extLst>
            <a:ext uri="{FF2B5EF4-FFF2-40B4-BE49-F238E27FC236}">
              <a16:creationId xmlns:a16="http://schemas.microsoft.com/office/drawing/2014/main" id="{00000000-0008-0000-0800-0000D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6" name="Text Box 39">
          <a:extLst>
            <a:ext uri="{FF2B5EF4-FFF2-40B4-BE49-F238E27FC236}">
              <a16:creationId xmlns:a16="http://schemas.microsoft.com/office/drawing/2014/main" id="{00000000-0008-0000-0800-0000D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7" name="Text Box 40">
          <a:extLst>
            <a:ext uri="{FF2B5EF4-FFF2-40B4-BE49-F238E27FC236}">
              <a16:creationId xmlns:a16="http://schemas.microsoft.com/office/drawing/2014/main" id="{00000000-0008-0000-0800-0000D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8" name="Text Box 41">
          <a:extLst>
            <a:ext uri="{FF2B5EF4-FFF2-40B4-BE49-F238E27FC236}">
              <a16:creationId xmlns:a16="http://schemas.microsoft.com/office/drawing/2014/main" id="{00000000-0008-0000-0800-0000D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9" name="Text Box 42">
          <a:extLst>
            <a:ext uri="{FF2B5EF4-FFF2-40B4-BE49-F238E27FC236}">
              <a16:creationId xmlns:a16="http://schemas.microsoft.com/office/drawing/2014/main" id="{00000000-0008-0000-0800-0000D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0" name="Text Box 43">
          <a:extLst>
            <a:ext uri="{FF2B5EF4-FFF2-40B4-BE49-F238E27FC236}">
              <a16:creationId xmlns:a16="http://schemas.microsoft.com/office/drawing/2014/main" id="{00000000-0008-0000-0800-0000D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1" name="Text Box 44">
          <a:extLst>
            <a:ext uri="{FF2B5EF4-FFF2-40B4-BE49-F238E27FC236}">
              <a16:creationId xmlns:a16="http://schemas.microsoft.com/office/drawing/2014/main" id="{00000000-0008-0000-0800-0000D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2" name="Text Box 45">
          <a:extLst>
            <a:ext uri="{FF2B5EF4-FFF2-40B4-BE49-F238E27FC236}">
              <a16:creationId xmlns:a16="http://schemas.microsoft.com/office/drawing/2014/main" id="{00000000-0008-0000-0800-0000D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3" name="Text Box 46">
          <a:extLst>
            <a:ext uri="{FF2B5EF4-FFF2-40B4-BE49-F238E27FC236}">
              <a16:creationId xmlns:a16="http://schemas.microsoft.com/office/drawing/2014/main" id="{00000000-0008-0000-0800-0000D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4" name="Text Box 47">
          <a:extLst>
            <a:ext uri="{FF2B5EF4-FFF2-40B4-BE49-F238E27FC236}">
              <a16:creationId xmlns:a16="http://schemas.microsoft.com/office/drawing/2014/main" id="{00000000-0008-0000-0800-0000D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5" name="Text Box 48">
          <a:extLst>
            <a:ext uri="{FF2B5EF4-FFF2-40B4-BE49-F238E27FC236}">
              <a16:creationId xmlns:a16="http://schemas.microsoft.com/office/drawing/2014/main" id="{00000000-0008-0000-0800-0000D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6" name="Text Box 49">
          <a:extLst>
            <a:ext uri="{FF2B5EF4-FFF2-40B4-BE49-F238E27FC236}">
              <a16:creationId xmlns:a16="http://schemas.microsoft.com/office/drawing/2014/main" id="{00000000-0008-0000-0800-0000D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7" name="Text Box 50">
          <a:extLst>
            <a:ext uri="{FF2B5EF4-FFF2-40B4-BE49-F238E27FC236}">
              <a16:creationId xmlns:a16="http://schemas.microsoft.com/office/drawing/2014/main" id="{00000000-0008-0000-0800-0000D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8" name="Text Box 51">
          <a:extLst>
            <a:ext uri="{FF2B5EF4-FFF2-40B4-BE49-F238E27FC236}">
              <a16:creationId xmlns:a16="http://schemas.microsoft.com/office/drawing/2014/main" id="{00000000-0008-0000-0800-0000E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9" name="Text Box 52">
          <a:extLst>
            <a:ext uri="{FF2B5EF4-FFF2-40B4-BE49-F238E27FC236}">
              <a16:creationId xmlns:a16="http://schemas.microsoft.com/office/drawing/2014/main" id="{00000000-0008-0000-0800-0000E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0" name="Text Box 53">
          <a:extLst>
            <a:ext uri="{FF2B5EF4-FFF2-40B4-BE49-F238E27FC236}">
              <a16:creationId xmlns:a16="http://schemas.microsoft.com/office/drawing/2014/main" id="{00000000-0008-0000-0800-0000E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1" name="Text Box 54">
          <a:extLst>
            <a:ext uri="{FF2B5EF4-FFF2-40B4-BE49-F238E27FC236}">
              <a16:creationId xmlns:a16="http://schemas.microsoft.com/office/drawing/2014/main" id="{00000000-0008-0000-0800-0000E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2" name="Text Box 55">
          <a:extLst>
            <a:ext uri="{FF2B5EF4-FFF2-40B4-BE49-F238E27FC236}">
              <a16:creationId xmlns:a16="http://schemas.microsoft.com/office/drawing/2014/main" id="{00000000-0008-0000-0800-0000E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3" name="Text Box 56">
          <a:extLst>
            <a:ext uri="{FF2B5EF4-FFF2-40B4-BE49-F238E27FC236}">
              <a16:creationId xmlns:a16="http://schemas.microsoft.com/office/drawing/2014/main" id="{00000000-0008-0000-0800-0000E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4" name="Text Box 57">
          <a:extLst>
            <a:ext uri="{FF2B5EF4-FFF2-40B4-BE49-F238E27FC236}">
              <a16:creationId xmlns:a16="http://schemas.microsoft.com/office/drawing/2014/main" id="{00000000-0008-0000-0800-0000E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5" name="Text Box 58">
          <a:extLst>
            <a:ext uri="{FF2B5EF4-FFF2-40B4-BE49-F238E27FC236}">
              <a16:creationId xmlns:a16="http://schemas.microsoft.com/office/drawing/2014/main" id="{00000000-0008-0000-0800-0000E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6" name="Text Box 59">
          <a:extLst>
            <a:ext uri="{FF2B5EF4-FFF2-40B4-BE49-F238E27FC236}">
              <a16:creationId xmlns:a16="http://schemas.microsoft.com/office/drawing/2014/main" id="{00000000-0008-0000-0800-0000E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7" name="Text Box 60">
          <a:extLst>
            <a:ext uri="{FF2B5EF4-FFF2-40B4-BE49-F238E27FC236}">
              <a16:creationId xmlns:a16="http://schemas.microsoft.com/office/drawing/2014/main" id="{00000000-0008-0000-0800-0000E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8" name="Text Box 61">
          <a:extLst>
            <a:ext uri="{FF2B5EF4-FFF2-40B4-BE49-F238E27FC236}">
              <a16:creationId xmlns:a16="http://schemas.microsoft.com/office/drawing/2014/main" id="{00000000-0008-0000-0800-0000E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9" name="Text Box 62">
          <a:extLst>
            <a:ext uri="{FF2B5EF4-FFF2-40B4-BE49-F238E27FC236}">
              <a16:creationId xmlns:a16="http://schemas.microsoft.com/office/drawing/2014/main" id="{00000000-0008-0000-0800-0000E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0" name="Text Box 63">
          <a:extLst>
            <a:ext uri="{FF2B5EF4-FFF2-40B4-BE49-F238E27FC236}">
              <a16:creationId xmlns:a16="http://schemas.microsoft.com/office/drawing/2014/main" id="{00000000-0008-0000-0800-0000E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1" name="Text Box 64">
          <a:extLst>
            <a:ext uri="{FF2B5EF4-FFF2-40B4-BE49-F238E27FC236}">
              <a16:creationId xmlns:a16="http://schemas.microsoft.com/office/drawing/2014/main" id="{00000000-0008-0000-0800-0000E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2" name="Text Box 65">
          <a:extLst>
            <a:ext uri="{FF2B5EF4-FFF2-40B4-BE49-F238E27FC236}">
              <a16:creationId xmlns:a16="http://schemas.microsoft.com/office/drawing/2014/main" id="{00000000-0008-0000-0800-0000E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3" name="Text Box 66">
          <a:extLst>
            <a:ext uri="{FF2B5EF4-FFF2-40B4-BE49-F238E27FC236}">
              <a16:creationId xmlns:a16="http://schemas.microsoft.com/office/drawing/2014/main" id="{00000000-0008-0000-0800-0000E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4" name="Text Box 67">
          <a:extLst>
            <a:ext uri="{FF2B5EF4-FFF2-40B4-BE49-F238E27FC236}">
              <a16:creationId xmlns:a16="http://schemas.microsoft.com/office/drawing/2014/main" id="{00000000-0008-0000-0800-0000F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5" name="Text Box 68">
          <a:extLst>
            <a:ext uri="{FF2B5EF4-FFF2-40B4-BE49-F238E27FC236}">
              <a16:creationId xmlns:a16="http://schemas.microsoft.com/office/drawing/2014/main" id="{00000000-0008-0000-0800-0000F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6" name="Text Box 69">
          <a:extLst>
            <a:ext uri="{FF2B5EF4-FFF2-40B4-BE49-F238E27FC236}">
              <a16:creationId xmlns:a16="http://schemas.microsoft.com/office/drawing/2014/main" id="{00000000-0008-0000-0800-0000F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7" name="Text Box 70">
          <a:extLst>
            <a:ext uri="{FF2B5EF4-FFF2-40B4-BE49-F238E27FC236}">
              <a16:creationId xmlns:a16="http://schemas.microsoft.com/office/drawing/2014/main" id="{00000000-0008-0000-0800-0000F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8" name="Text Box 71">
          <a:extLst>
            <a:ext uri="{FF2B5EF4-FFF2-40B4-BE49-F238E27FC236}">
              <a16:creationId xmlns:a16="http://schemas.microsoft.com/office/drawing/2014/main" id="{00000000-0008-0000-0800-0000F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9" name="Text Box 72">
          <a:extLst>
            <a:ext uri="{FF2B5EF4-FFF2-40B4-BE49-F238E27FC236}">
              <a16:creationId xmlns:a16="http://schemas.microsoft.com/office/drawing/2014/main" id="{00000000-0008-0000-0800-0000F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0" name="Text Box 73">
          <a:extLst>
            <a:ext uri="{FF2B5EF4-FFF2-40B4-BE49-F238E27FC236}">
              <a16:creationId xmlns:a16="http://schemas.microsoft.com/office/drawing/2014/main" id="{00000000-0008-0000-0800-0000F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1" name="Text Box 74">
          <a:extLst>
            <a:ext uri="{FF2B5EF4-FFF2-40B4-BE49-F238E27FC236}">
              <a16:creationId xmlns:a16="http://schemas.microsoft.com/office/drawing/2014/main" id="{00000000-0008-0000-0800-0000F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2" name="Text Box 75">
          <a:extLst>
            <a:ext uri="{FF2B5EF4-FFF2-40B4-BE49-F238E27FC236}">
              <a16:creationId xmlns:a16="http://schemas.microsoft.com/office/drawing/2014/main" id="{00000000-0008-0000-0800-0000F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3" name="Text Box 76">
          <a:extLst>
            <a:ext uri="{FF2B5EF4-FFF2-40B4-BE49-F238E27FC236}">
              <a16:creationId xmlns:a16="http://schemas.microsoft.com/office/drawing/2014/main" id="{00000000-0008-0000-0800-0000F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4" name="Text Box 77">
          <a:extLst>
            <a:ext uri="{FF2B5EF4-FFF2-40B4-BE49-F238E27FC236}">
              <a16:creationId xmlns:a16="http://schemas.microsoft.com/office/drawing/2014/main" id="{00000000-0008-0000-0800-0000F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5" name="Text Box 78">
          <a:extLst>
            <a:ext uri="{FF2B5EF4-FFF2-40B4-BE49-F238E27FC236}">
              <a16:creationId xmlns:a16="http://schemas.microsoft.com/office/drawing/2014/main" id="{00000000-0008-0000-0800-0000F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6" name="Text Box 79">
          <a:extLst>
            <a:ext uri="{FF2B5EF4-FFF2-40B4-BE49-F238E27FC236}">
              <a16:creationId xmlns:a16="http://schemas.microsoft.com/office/drawing/2014/main" id="{00000000-0008-0000-0800-0000F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7" name="Text Box 80">
          <a:extLst>
            <a:ext uri="{FF2B5EF4-FFF2-40B4-BE49-F238E27FC236}">
              <a16:creationId xmlns:a16="http://schemas.microsoft.com/office/drawing/2014/main" id="{00000000-0008-0000-0800-0000F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8" name="Text Box 81">
          <a:extLst>
            <a:ext uri="{FF2B5EF4-FFF2-40B4-BE49-F238E27FC236}">
              <a16:creationId xmlns:a16="http://schemas.microsoft.com/office/drawing/2014/main" id="{00000000-0008-0000-0800-0000F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9" name="Text Box 82">
          <a:extLst>
            <a:ext uri="{FF2B5EF4-FFF2-40B4-BE49-F238E27FC236}">
              <a16:creationId xmlns:a16="http://schemas.microsoft.com/office/drawing/2014/main" id="{00000000-0008-0000-0800-0000F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0" name="Text Box 83">
          <a:extLst>
            <a:ext uri="{FF2B5EF4-FFF2-40B4-BE49-F238E27FC236}">
              <a16:creationId xmlns:a16="http://schemas.microsoft.com/office/drawing/2014/main" id="{00000000-0008-0000-0800-00000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1" name="Text Box 84">
          <a:extLst>
            <a:ext uri="{FF2B5EF4-FFF2-40B4-BE49-F238E27FC236}">
              <a16:creationId xmlns:a16="http://schemas.microsoft.com/office/drawing/2014/main" id="{00000000-0008-0000-0800-00000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2" name="Text Box 85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3" name="Text Box 86">
          <a:extLst>
            <a:ext uri="{FF2B5EF4-FFF2-40B4-BE49-F238E27FC236}">
              <a16:creationId xmlns:a16="http://schemas.microsoft.com/office/drawing/2014/main" id="{00000000-0008-0000-0800-00000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4" name="Text Box 87">
          <a:extLst>
            <a:ext uri="{FF2B5EF4-FFF2-40B4-BE49-F238E27FC236}">
              <a16:creationId xmlns:a16="http://schemas.microsoft.com/office/drawing/2014/main" id="{00000000-0008-0000-0800-00000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5" name="Text Box 88">
          <a:extLst>
            <a:ext uri="{FF2B5EF4-FFF2-40B4-BE49-F238E27FC236}">
              <a16:creationId xmlns:a16="http://schemas.microsoft.com/office/drawing/2014/main" id="{00000000-0008-0000-0800-00000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6" name="Text Box 89">
          <a:extLst>
            <a:ext uri="{FF2B5EF4-FFF2-40B4-BE49-F238E27FC236}">
              <a16:creationId xmlns:a16="http://schemas.microsoft.com/office/drawing/2014/main" id="{00000000-0008-0000-0800-00000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7" name="Text Box 90">
          <a:extLst>
            <a:ext uri="{FF2B5EF4-FFF2-40B4-BE49-F238E27FC236}">
              <a16:creationId xmlns:a16="http://schemas.microsoft.com/office/drawing/2014/main" id="{00000000-0008-0000-0800-00000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8" name="Text Box 91">
          <a:extLst>
            <a:ext uri="{FF2B5EF4-FFF2-40B4-BE49-F238E27FC236}">
              <a16:creationId xmlns:a16="http://schemas.microsoft.com/office/drawing/2014/main" id="{00000000-0008-0000-0800-00000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9" name="Text Box 92">
          <a:extLst>
            <a:ext uri="{FF2B5EF4-FFF2-40B4-BE49-F238E27FC236}">
              <a16:creationId xmlns:a16="http://schemas.microsoft.com/office/drawing/2014/main" id="{00000000-0008-0000-0800-00000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0" name="Text Box 93">
          <a:extLst>
            <a:ext uri="{FF2B5EF4-FFF2-40B4-BE49-F238E27FC236}">
              <a16:creationId xmlns:a16="http://schemas.microsoft.com/office/drawing/2014/main" id="{00000000-0008-0000-0800-00000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1" name="Text Box 94">
          <a:extLst>
            <a:ext uri="{FF2B5EF4-FFF2-40B4-BE49-F238E27FC236}">
              <a16:creationId xmlns:a16="http://schemas.microsoft.com/office/drawing/2014/main" id="{00000000-0008-0000-0800-00000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2" name="Text Box 95">
          <a:extLst>
            <a:ext uri="{FF2B5EF4-FFF2-40B4-BE49-F238E27FC236}">
              <a16:creationId xmlns:a16="http://schemas.microsoft.com/office/drawing/2014/main" id="{00000000-0008-0000-0800-00000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3" name="Text Box 96">
          <a:extLst>
            <a:ext uri="{FF2B5EF4-FFF2-40B4-BE49-F238E27FC236}">
              <a16:creationId xmlns:a16="http://schemas.microsoft.com/office/drawing/2014/main" id="{00000000-0008-0000-0800-00000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4" name="Text Box 97">
          <a:extLst>
            <a:ext uri="{FF2B5EF4-FFF2-40B4-BE49-F238E27FC236}">
              <a16:creationId xmlns:a16="http://schemas.microsoft.com/office/drawing/2014/main" id="{00000000-0008-0000-0800-00000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5" name="Text Box 100">
          <a:extLst>
            <a:ext uri="{FF2B5EF4-FFF2-40B4-BE49-F238E27FC236}">
              <a16:creationId xmlns:a16="http://schemas.microsoft.com/office/drawing/2014/main" id="{00000000-0008-0000-0800-00000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6" name="Text Box 101">
          <a:extLst>
            <a:ext uri="{FF2B5EF4-FFF2-40B4-BE49-F238E27FC236}">
              <a16:creationId xmlns:a16="http://schemas.microsoft.com/office/drawing/2014/main" id="{00000000-0008-0000-0800-00001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7" name="Text Box 102">
          <a:extLst>
            <a:ext uri="{FF2B5EF4-FFF2-40B4-BE49-F238E27FC236}">
              <a16:creationId xmlns:a16="http://schemas.microsoft.com/office/drawing/2014/main" id="{00000000-0008-0000-0800-00001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8" name="Text Box 103">
          <a:extLst>
            <a:ext uri="{FF2B5EF4-FFF2-40B4-BE49-F238E27FC236}">
              <a16:creationId xmlns:a16="http://schemas.microsoft.com/office/drawing/2014/main" id="{00000000-0008-0000-0800-00001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9" name="Text Box 104">
          <a:extLst>
            <a:ext uri="{FF2B5EF4-FFF2-40B4-BE49-F238E27FC236}">
              <a16:creationId xmlns:a16="http://schemas.microsoft.com/office/drawing/2014/main" id="{00000000-0008-0000-0800-00001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0" name="Text Box 105">
          <a:extLst>
            <a:ext uri="{FF2B5EF4-FFF2-40B4-BE49-F238E27FC236}">
              <a16:creationId xmlns:a16="http://schemas.microsoft.com/office/drawing/2014/main" id="{00000000-0008-0000-0800-00001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1" name="Text Box 106">
          <a:extLst>
            <a:ext uri="{FF2B5EF4-FFF2-40B4-BE49-F238E27FC236}">
              <a16:creationId xmlns:a16="http://schemas.microsoft.com/office/drawing/2014/main" id="{00000000-0008-0000-0800-00001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2" name="Text Box 107">
          <a:extLst>
            <a:ext uri="{FF2B5EF4-FFF2-40B4-BE49-F238E27FC236}">
              <a16:creationId xmlns:a16="http://schemas.microsoft.com/office/drawing/2014/main" id="{00000000-0008-0000-0800-00001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3" name="Text Box 108">
          <a:extLst>
            <a:ext uri="{FF2B5EF4-FFF2-40B4-BE49-F238E27FC236}">
              <a16:creationId xmlns:a16="http://schemas.microsoft.com/office/drawing/2014/main" id="{00000000-0008-0000-0800-00001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4" name="Text Box 109">
          <a:extLst>
            <a:ext uri="{FF2B5EF4-FFF2-40B4-BE49-F238E27FC236}">
              <a16:creationId xmlns:a16="http://schemas.microsoft.com/office/drawing/2014/main" id="{00000000-0008-0000-0800-00001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5" name="Text Box 110">
          <a:extLst>
            <a:ext uri="{FF2B5EF4-FFF2-40B4-BE49-F238E27FC236}">
              <a16:creationId xmlns:a16="http://schemas.microsoft.com/office/drawing/2014/main" id="{00000000-0008-0000-0800-00001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6" name="Text Box 111">
          <a:extLst>
            <a:ext uri="{FF2B5EF4-FFF2-40B4-BE49-F238E27FC236}">
              <a16:creationId xmlns:a16="http://schemas.microsoft.com/office/drawing/2014/main" id="{00000000-0008-0000-0800-00001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7" name="Text Box 119">
          <a:extLst>
            <a:ext uri="{FF2B5EF4-FFF2-40B4-BE49-F238E27FC236}">
              <a16:creationId xmlns:a16="http://schemas.microsoft.com/office/drawing/2014/main" id="{00000000-0008-0000-0800-00001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8" name="Text Box 120">
          <a:extLst>
            <a:ext uri="{FF2B5EF4-FFF2-40B4-BE49-F238E27FC236}">
              <a16:creationId xmlns:a16="http://schemas.microsoft.com/office/drawing/2014/main" id="{00000000-0008-0000-0800-00001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9" name="Text Box 121">
          <a:extLst>
            <a:ext uri="{FF2B5EF4-FFF2-40B4-BE49-F238E27FC236}">
              <a16:creationId xmlns:a16="http://schemas.microsoft.com/office/drawing/2014/main" id="{00000000-0008-0000-0800-00001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0" name="Text Box 122">
          <a:extLst>
            <a:ext uri="{FF2B5EF4-FFF2-40B4-BE49-F238E27FC236}">
              <a16:creationId xmlns:a16="http://schemas.microsoft.com/office/drawing/2014/main" id="{00000000-0008-0000-0800-00001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1" name="Text Box 123">
          <a:extLst>
            <a:ext uri="{FF2B5EF4-FFF2-40B4-BE49-F238E27FC236}">
              <a16:creationId xmlns:a16="http://schemas.microsoft.com/office/drawing/2014/main" id="{00000000-0008-0000-0800-00001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2" name="Text Box 124">
          <a:extLst>
            <a:ext uri="{FF2B5EF4-FFF2-40B4-BE49-F238E27FC236}">
              <a16:creationId xmlns:a16="http://schemas.microsoft.com/office/drawing/2014/main" id="{00000000-0008-0000-0800-00002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3" name="Text Box 125">
          <a:extLst>
            <a:ext uri="{FF2B5EF4-FFF2-40B4-BE49-F238E27FC236}">
              <a16:creationId xmlns:a16="http://schemas.microsoft.com/office/drawing/2014/main" id="{00000000-0008-0000-0800-00002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4" name="Text Box 126">
          <a:extLst>
            <a:ext uri="{FF2B5EF4-FFF2-40B4-BE49-F238E27FC236}">
              <a16:creationId xmlns:a16="http://schemas.microsoft.com/office/drawing/2014/main" id="{00000000-0008-0000-0800-00002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5" name="Text Box 127">
          <a:extLst>
            <a:ext uri="{FF2B5EF4-FFF2-40B4-BE49-F238E27FC236}">
              <a16:creationId xmlns:a16="http://schemas.microsoft.com/office/drawing/2014/main" id="{00000000-0008-0000-0800-00002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6" name="Text Box 128">
          <a:extLst>
            <a:ext uri="{FF2B5EF4-FFF2-40B4-BE49-F238E27FC236}">
              <a16:creationId xmlns:a16="http://schemas.microsoft.com/office/drawing/2014/main" id="{00000000-0008-0000-0800-00002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7" name="Text Box 129">
          <a:extLst>
            <a:ext uri="{FF2B5EF4-FFF2-40B4-BE49-F238E27FC236}">
              <a16:creationId xmlns:a16="http://schemas.microsoft.com/office/drawing/2014/main" id="{00000000-0008-0000-0800-00002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8" name="Text Box 130">
          <a:extLst>
            <a:ext uri="{FF2B5EF4-FFF2-40B4-BE49-F238E27FC236}">
              <a16:creationId xmlns:a16="http://schemas.microsoft.com/office/drawing/2014/main" id="{00000000-0008-0000-0800-00002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59" name="Text Box 133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0" name="Text Box 134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1" name="Text Box 135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2" name="Text Box 136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3" name="Text Box 137">
          <a:extLst>
            <a:ext uri="{FF2B5EF4-FFF2-40B4-BE49-F238E27FC236}">
              <a16:creationId xmlns:a16="http://schemas.microsoft.com/office/drawing/2014/main" id="{00000000-0008-0000-0800-00002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4" name="Text Box 138">
          <a:extLst>
            <a:ext uri="{FF2B5EF4-FFF2-40B4-BE49-F238E27FC236}">
              <a16:creationId xmlns:a16="http://schemas.microsoft.com/office/drawing/2014/main" id="{00000000-0008-0000-0800-00002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5" name="Text Box 139">
          <a:extLst>
            <a:ext uri="{FF2B5EF4-FFF2-40B4-BE49-F238E27FC236}">
              <a16:creationId xmlns:a16="http://schemas.microsoft.com/office/drawing/2014/main" id="{00000000-0008-0000-0800-00002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6" name="Text Box 140">
          <a:extLst>
            <a:ext uri="{FF2B5EF4-FFF2-40B4-BE49-F238E27FC236}">
              <a16:creationId xmlns:a16="http://schemas.microsoft.com/office/drawing/2014/main" id="{00000000-0008-0000-0800-00002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7" name="Text Box 141">
          <a:extLst>
            <a:ext uri="{FF2B5EF4-FFF2-40B4-BE49-F238E27FC236}">
              <a16:creationId xmlns:a16="http://schemas.microsoft.com/office/drawing/2014/main" id="{00000000-0008-0000-0800-00002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8" name="Text Box 142">
          <a:extLst>
            <a:ext uri="{FF2B5EF4-FFF2-40B4-BE49-F238E27FC236}">
              <a16:creationId xmlns:a16="http://schemas.microsoft.com/office/drawing/2014/main" id="{00000000-0008-0000-0800-00003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9" name="Text Box 143">
          <a:extLst>
            <a:ext uri="{FF2B5EF4-FFF2-40B4-BE49-F238E27FC236}">
              <a16:creationId xmlns:a16="http://schemas.microsoft.com/office/drawing/2014/main" id="{00000000-0008-0000-0800-00003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0" name="Text Box 144">
          <a:extLst>
            <a:ext uri="{FF2B5EF4-FFF2-40B4-BE49-F238E27FC236}">
              <a16:creationId xmlns:a16="http://schemas.microsoft.com/office/drawing/2014/main" id="{00000000-0008-0000-0800-00003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1" name="Text Box 145">
          <a:extLst>
            <a:ext uri="{FF2B5EF4-FFF2-40B4-BE49-F238E27FC236}">
              <a16:creationId xmlns:a16="http://schemas.microsoft.com/office/drawing/2014/main" id="{00000000-0008-0000-0800-00003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2" name="Text Box 146">
          <a:extLst>
            <a:ext uri="{FF2B5EF4-FFF2-40B4-BE49-F238E27FC236}">
              <a16:creationId xmlns:a16="http://schemas.microsoft.com/office/drawing/2014/main" id="{00000000-0008-0000-0800-00003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3" name="Text Box 147">
          <a:extLst>
            <a:ext uri="{FF2B5EF4-FFF2-40B4-BE49-F238E27FC236}">
              <a16:creationId xmlns:a16="http://schemas.microsoft.com/office/drawing/2014/main" id="{00000000-0008-0000-0800-00003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4" name="Text Box 148">
          <a:extLst>
            <a:ext uri="{FF2B5EF4-FFF2-40B4-BE49-F238E27FC236}">
              <a16:creationId xmlns:a16="http://schemas.microsoft.com/office/drawing/2014/main" id="{00000000-0008-0000-0800-00003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5" name="Text Box 149">
          <a:extLst>
            <a:ext uri="{FF2B5EF4-FFF2-40B4-BE49-F238E27FC236}">
              <a16:creationId xmlns:a16="http://schemas.microsoft.com/office/drawing/2014/main" id="{00000000-0008-0000-0800-00003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6" name="Text Box 150">
          <a:extLst>
            <a:ext uri="{FF2B5EF4-FFF2-40B4-BE49-F238E27FC236}">
              <a16:creationId xmlns:a16="http://schemas.microsoft.com/office/drawing/2014/main" id="{00000000-0008-0000-0800-00003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7" name="Text Box 151">
          <a:extLst>
            <a:ext uri="{FF2B5EF4-FFF2-40B4-BE49-F238E27FC236}">
              <a16:creationId xmlns:a16="http://schemas.microsoft.com/office/drawing/2014/main" id="{00000000-0008-0000-0800-00003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8" name="Text Box 152">
          <a:extLst>
            <a:ext uri="{FF2B5EF4-FFF2-40B4-BE49-F238E27FC236}">
              <a16:creationId xmlns:a16="http://schemas.microsoft.com/office/drawing/2014/main" id="{00000000-0008-0000-0800-00003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9" name="Text Box 153">
          <a:extLst>
            <a:ext uri="{FF2B5EF4-FFF2-40B4-BE49-F238E27FC236}">
              <a16:creationId xmlns:a16="http://schemas.microsoft.com/office/drawing/2014/main" id="{00000000-0008-0000-0800-00003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0" name="Text Box 154">
          <a:extLst>
            <a:ext uri="{FF2B5EF4-FFF2-40B4-BE49-F238E27FC236}">
              <a16:creationId xmlns:a16="http://schemas.microsoft.com/office/drawing/2014/main" id="{00000000-0008-0000-0800-00003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1" name="Text Box 155">
          <a:extLst>
            <a:ext uri="{FF2B5EF4-FFF2-40B4-BE49-F238E27FC236}">
              <a16:creationId xmlns:a16="http://schemas.microsoft.com/office/drawing/2014/main" id="{00000000-0008-0000-0800-00003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2" name="Text Box 156">
          <a:extLst>
            <a:ext uri="{FF2B5EF4-FFF2-40B4-BE49-F238E27FC236}">
              <a16:creationId xmlns:a16="http://schemas.microsoft.com/office/drawing/2014/main" id="{00000000-0008-0000-0800-00003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3" name="Text Box 157">
          <a:extLst>
            <a:ext uri="{FF2B5EF4-FFF2-40B4-BE49-F238E27FC236}">
              <a16:creationId xmlns:a16="http://schemas.microsoft.com/office/drawing/2014/main" id="{00000000-0008-0000-0800-00003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4" name="Text Box 158">
          <a:extLst>
            <a:ext uri="{FF2B5EF4-FFF2-40B4-BE49-F238E27FC236}">
              <a16:creationId xmlns:a16="http://schemas.microsoft.com/office/drawing/2014/main" id="{00000000-0008-0000-0800-00004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5" name="Text Box 159">
          <a:extLst>
            <a:ext uri="{FF2B5EF4-FFF2-40B4-BE49-F238E27FC236}">
              <a16:creationId xmlns:a16="http://schemas.microsoft.com/office/drawing/2014/main" id="{00000000-0008-0000-0800-00004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6" name="Text Box 160">
          <a:extLst>
            <a:ext uri="{FF2B5EF4-FFF2-40B4-BE49-F238E27FC236}">
              <a16:creationId xmlns:a16="http://schemas.microsoft.com/office/drawing/2014/main" id="{00000000-0008-0000-0800-00004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7" name="Text Box 161">
          <a:extLst>
            <a:ext uri="{FF2B5EF4-FFF2-40B4-BE49-F238E27FC236}">
              <a16:creationId xmlns:a16="http://schemas.microsoft.com/office/drawing/2014/main" id="{00000000-0008-0000-0800-00004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8" name="Text Box 162">
          <a:extLst>
            <a:ext uri="{FF2B5EF4-FFF2-40B4-BE49-F238E27FC236}">
              <a16:creationId xmlns:a16="http://schemas.microsoft.com/office/drawing/2014/main" id="{00000000-0008-0000-0800-00004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9" name="Text Box 163">
          <a:extLst>
            <a:ext uri="{FF2B5EF4-FFF2-40B4-BE49-F238E27FC236}">
              <a16:creationId xmlns:a16="http://schemas.microsoft.com/office/drawing/2014/main" id="{00000000-0008-0000-0800-00004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0" name="Text Box 164">
          <a:extLst>
            <a:ext uri="{FF2B5EF4-FFF2-40B4-BE49-F238E27FC236}">
              <a16:creationId xmlns:a16="http://schemas.microsoft.com/office/drawing/2014/main" id="{00000000-0008-0000-0800-00004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1" name="Text Box 165">
          <a:extLst>
            <a:ext uri="{FF2B5EF4-FFF2-40B4-BE49-F238E27FC236}">
              <a16:creationId xmlns:a16="http://schemas.microsoft.com/office/drawing/2014/main" id="{00000000-0008-0000-0800-00004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2" name="Text Box 166">
          <a:extLst>
            <a:ext uri="{FF2B5EF4-FFF2-40B4-BE49-F238E27FC236}">
              <a16:creationId xmlns:a16="http://schemas.microsoft.com/office/drawing/2014/main" id="{00000000-0008-0000-0800-00004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3" name="Text Box 167">
          <a:extLst>
            <a:ext uri="{FF2B5EF4-FFF2-40B4-BE49-F238E27FC236}">
              <a16:creationId xmlns:a16="http://schemas.microsoft.com/office/drawing/2014/main" id="{00000000-0008-0000-0800-00004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4" name="Text Box 168">
          <a:extLst>
            <a:ext uri="{FF2B5EF4-FFF2-40B4-BE49-F238E27FC236}">
              <a16:creationId xmlns:a16="http://schemas.microsoft.com/office/drawing/2014/main" id="{00000000-0008-0000-0800-00004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5" name="Text Box 169">
          <a:extLst>
            <a:ext uri="{FF2B5EF4-FFF2-40B4-BE49-F238E27FC236}">
              <a16:creationId xmlns:a16="http://schemas.microsoft.com/office/drawing/2014/main" id="{00000000-0008-0000-0800-00004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6" name="Text Box 170">
          <a:extLst>
            <a:ext uri="{FF2B5EF4-FFF2-40B4-BE49-F238E27FC236}">
              <a16:creationId xmlns:a16="http://schemas.microsoft.com/office/drawing/2014/main" id="{00000000-0008-0000-0800-00004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7" name="Text Box 171">
          <a:extLst>
            <a:ext uri="{FF2B5EF4-FFF2-40B4-BE49-F238E27FC236}">
              <a16:creationId xmlns:a16="http://schemas.microsoft.com/office/drawing/2014/main" id="{00000000-0008-0000-0800-00004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8" name="Text Box 172">
          <a:extLst>
            <a:ext uri="{FF2B5EF4-FFF2-40B4-BE49-F238E27FC236}">
              <a16:creationId xmlns:a16="http://schemas.microsoft.com/office/drawing/2014/main" id="{00000000-0008-0000-0800-00004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9" name="Text Box 173">
          <a:extLst>
            <a:ext uri="{FF2B5EF4-FFF2-40B4-BE49-F238E27FC236}">
              <a16:creationId xmlns:a16="http://schemas.microsoft.com/office/drawing/2014/main" id="{00000000-0008-0000-0800-00004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0" name="Text Box 174">
          <a:extLst>
            <a:ext uri="{FF2B5EF4-FFF2-40B4-BE49-F238E27FC236}">
              <a16:creationId xmlns:a16="http://schemas.microsoft.com/office/drawing/2014/main" id="{00000000-0008-0000-0800-00005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1" name="Text Box 175">
          <a:extLst>
            <a:ext uri="{FF2B5EF4-FFF2-40B4-BE49-F238E27FC236}">
              <a16:creationId xmlns:a16="http://schemas.microsoft.com/office/drawing/2014/main" id="{00000000-0008-0000-0800-00005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2" name="Text Box 176">
          <a:extLst>
            <a:ext uri="{FF2B5EF4-FFF2-40B4-BE49-F238E27FC236}">
              <a16:creationId xmlns:a16="http://schemas.microsoft.com/office/drawing/2014/main" id="{00000000-0008-0000-0800-00005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3" name="Text Box 177">
          <a:extLst>
            <a:ext uri="{FF2B5EF4-FFF2-40B4-BE49-F238E27FC236}">
              <a16:creationId xmlns:a16="http://schemas.microsoft.com/office/drawing/2014/main" id="{00000000-0008-0000-0800-00005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4" name="Text Box 178">
          <a:extLst>
            <a:ext uri="{FF2B5EF4-FFF2-40B4-BE49-F238E27FC236}">
              <a16:creationId xmlns:a16="http://schemas.microsoft.com/office/drawing/2014/main" id="{00000000-0008-0000-0800-00005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5" name="Text Box 179">
          <a:extLst>
            <a:ext uri="{FF2B5EF4-FFF2-40B4-BE49-F238E27FC236}">
              <a16:creationId xmlns:a16="http://schemas.microsoft.com/office/drawing/2014/main" id="{00000000-0008-0000-0800-00005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6" name="Text Box 180">
          <a:extLst>
            <a:ext uri="{FF2B5EF4-FFF2-40B4-BE49-F238E27FC236}">
              <a16:creationId xmlns:a16="http://schemas.microsoft.com/office/drawing/2014/main" id="{00000000-0008-0000-0800-00005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7" name="Text Box 181">
          <a:extLst>
            <a:ext uri="{FF2B5EF4-FFF2-40B4-BE49-F238E27FC236}">
              <a16:creationId xmlns:a16="http://schemas.microsoft.com/office/drawing/2014/main" id="{00000000-0008-0000-0800-00005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8" name="Text Box 182">
          <a:extLst>
            <a:ext uri="{FF2B5EF4-FFF2-40B4-BE49-F238E27FC236}">
              <a16:creationId xmlns:a16="http://schemas.microsoft.com/office/drawing/2014/main" id="{00000000-0008-0000-0800-00005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9" name="Text Box 183">
          <a:extLst>
            <a:ext uri="{FF2B5EF4-FFF2-40B4-BE49-F238E27FC236}">
              <a16:creationId xmlns:a16="http://schemas.microsoft.com/office/drawing/2014/main" id="{00000000-0008-0000-0800-00005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0" name="Text Box 184">
          <a:extLst>
            <a:ext uri="{FF2B5EF4-FFF2-40B4-BE49-F238E27FC236}">
              <a16:creationId xmlns:a16="http://schemas.microsoft.com/office/drawing/2014/main" id="{00000000-0008-0000-0800-00005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1" name="Text Box 185">
          <a:extLst>
            <a:ext uri="{FF2B5EF4-FFF2-40B4-BE49-F238E27FC236}">
              <a16:creationId xmlns:a16="http://schemas.microsoft.com/office/drawing/2014/main" id="{00000000-0008-0000-0800-00005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2" name="Text Box 186">
          <a:extLst>
            <a:ext uri="{FF2B5EF4-FFF2-40B4-BE49-F238E27FC236}">
              <a16:creationId xmlns:a16="http://schemas.microsoft.com/office/drawing/2014/main" id="{00000000-0008-0000-0800-00005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3" name="Text Box 187">
          <a:extLst>
            <a:ext uri="{FF2B5EF4-FFF2-40B4-BE49-F238E27FC236}">
              <a16:creationId xmlns:a16="http://schemas.microsoft.com/office/drawing/2014/main" id="{00000000-0008-0000-0800-00005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4" name="Text Box 188">
          <a:extLst>
            <a:ext uri="{FF2B5EF4-FFF2-40B4-BE49-F238E27FC236}">
              <a16:creationId xmlns:a16="http://schemas.microsoft.com/office/drawing/2014/main" id="{00000000-0008-0000-0800-00005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5" name="Text Box 189">
          <a:extLst>
            <a:ext uri="{FF2B5EF4-FFF2-40B4-BE49-F238E27FC236}">
              <a16:creationId xmlns:a16="http://schemas.microsoft.com/office/drawing/2014/main" id="{00000000-0008-0000-0800-00005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6" name="Text Box 190">
          <a:extLst>
            <a:ext uri="{FF2B5EF4-FFF2-40B4-BE49-F238E27FC236}">
              <a16:creationId xmlns:a16="http://schemas.microsoft.com/office/drawing/2014/main" id="{00000000-0008-0000-0800-00006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7" name="Text Box 191">
          <a:extLst>
            <a:ext uri="{FF2B5EF4-FFF2-40B4-BE49-F238E27FC236}">
              <a16:creationId xmlns:a16="http://schemas.microsoft.com/office/drawing/2014/main" id="{00000000-0008-0000-0800-00006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8" name="Text Box 192">
          <a:extLst>
            <a:ext uri="{FF2B5EF4-FFF2-40B4-BE49-F238E27FC236}">
              <a16:creationId xmlns:a16="http://schemas.microsoft.com/office/drawing/2014/main" id="{00000000-0008-0000-0800-00006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9" name="Text Box 193">
          <a:extLst>
            <a:ext uri="{FF2B5EF4-FFF2-40B4-BE49-F238E27FC236}">
              <a16:creationId xmlns:a16="http://schemas.microsoft.com/office/drawing/2014/main" id="{00000000-0008-0000-0800-00006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0" name="Text Box 194">
          <a:extLst>
            <a:ext uri="{FF2B5EF4-FFF2-40B4-BE49-F238E27FC236}">
              <a16:creationId xmlns:a16="http://schemas.microsoft.com/office/drawing/2014/main" id="{00000000-0008-0000-0800-00006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1" name="Text Box 195">
          <a:extLst>
            <a:ext uri="{FF2B5EF4-FFF2-40B4-BE49-F238E27FC236}">
              <a16:creationId xmlns:a16="http://schemas.microsoft.com/office/drawing/2014/main" id="{00000000-0008-0000-0800-00006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2" name="Text Box 196">
          <a:extLst>
            <a:ext uri="{FF2B5EF4-FFF2-40B4-BE49-F238E27FC236}">
              <a16:creationId xmlns:a16="http://schemas.microsoft.com/office/drawing/2014/main" id="{00000000-0008-0000-0800-00006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3" name="Text Box 197">
          <a:extLst>
            <a:ext uri="{FF2B5EF4-FFF2-40B4-BE49-F238E27FC236}">
              <a16:creationId xmlns:a16="http://schemas.microsoft.com/office/drawing/2014/main" id="{00000000-0008-0000-0800-00006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4" name="Text Box 198">
          <a:extLst>
            <a:ext uri="{FF2B5EF4-FFF2-40B4-BE49-F238E27FC236}">
              <a16:creationId xmlns:a16="http://schemas.microsoft.com/office/drawing/2014/main" id="{00000000-0008-0000-0800-00006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5" name="Text Box 199">
          <a:extLst>
            <a:ext uri="{FF2B5EF4-FFF2-40B4-BE49-F238E27FC236}">
              <a16:creationId xmlns:a16="http://schemas.microsoft.com/office/drawing/2014/main" id="{00000000-0008-0000-0800-00006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6" name="Text Box 200">
          <a:extLst>
            <a:ext uri="{FF2B5EF4-FFF2-40B4-BE49-F238E27FC236}">
              <a16:creationId xmlns:a16="http://schemas.microsoft.com/office/drawing/2014/main" id="{00000000-0008-0000-0800-00006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7" name="Text Box 201">
          <a:extLst>
            <a:ext uri="{FF2B5EF4-FFF2-40B4-BE49-F238E27FC236}">
              <a16:creationId xmlns:a16="http://schemas.microsoft.com/office/drawing/2014/main" id="{00000000-0008-0000-0800-00006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8" name="Text Box 202">
          <a:extLst>
            <a:ext uri="{FF2B5EF4-FFF2-40B4-BE49-F238E27FC236}">
              <a16:creationId xmlns:a16="http://schemas.microsoft.com/office/drawing/2014/main" id="{00000000-0008-0000-0800-00006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29" name="Text Box 203">
          <a:extLst>
            <a:ext uri="{FF2B5EF4-FFF2-40B4-BE49-F238E27FC236}">
              <a16:creationId xmlns:a16="http://schemas.microsoft.com/office/drawing/2014/main" id="{00000000-0008-0000-0800-00006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0" name="Text Box 204">
          <a:extLst>
            <a:ext uri="{FF2B5EF4-FFF2-40B4-BE49-F238E27FC236}">
              <a16:creationId xmlns:a16="http://schemas.microsoft.com/office/drawing/2014/main" id="{00000000-0008-0000-0800-00006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1" name="Text Box 205">
          <a:extLst>
            <a:ext uri="{FF2B5EF4-FFF2-40B4-BE49-F238E27FC236}">
              <a16:creationId xmlns:a16="http://schemas.microsoft.com/office/drawing/2014/main" id="{00000000-0008-0000-0800-00006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2" name="Text Box 206">
          <a:extLst>
            <a:ext uri="{FF2B5EF4-FFF2-40B4-BE49-F238E27FC236}">
              <a16:creationId xmlns:a16="http://schemas.microsoft.com/office/drawing/2014/main" id="{00000000-0008-0000-0800-00007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3" name="Text Box 207">
          <a:extLst>
            <a:ext uri="{FF2B5EF4-FFF2-40B4-BE49-F238E27FC236}">
              <a16:creationId xmlns:a16="http://schemas.microsoft.com/office/drawing/2014/main" id="{00000000-0008-0000-0800-00007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4" name="Text Box 208">
          <a:extLst>
            <a:ext uri="{FF2B5EF4-FFF2-40B4-BE49-F238E27FC236}">
              <a16:creationId xmlns:a16="http://schemas.microsoft.com/office/drawing/2014/main" id="{00000000-0008-0000-0800-00007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5" name="Text Box 209">
          <a:extLst>
            <a:ext uri="{FF2B5EF4-FFF2-40B4-BE49-F238E27FC236}">
              <a16:creationId xmlns:a16="http://schemas.microsoft.com/office/drawing/2014/main" id="{00000000-0008-0000-0800-00007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6" name="Text Box 210">
          <a:extLst>
            <a:ext uri="{FF2B5EF4-FFF2-40B4-BE49-F238E27FC236}">
              <a16:creationId xmlns:a16="http://schemas.microsoft.com/office/drawing/2014/main" id="{00000000-0008-0000-0800-00007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7" name="Text Box 211">
          <a:extLst>
            <a:ext uri="{FF2B5EF4-FFF2-40B4-BE49-F238E27FC236}">
              <a16:creationId xmlns:a16="http://schemas.microsoft.com/office/drawing/2014/main" id="{00000000-0008-0000-0800-00007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8" name="Text Box 212">
          <a:extLst>
            <a:ext uri="{FF2B5EF4-FFF2-40B4-BE49-F238E27FC236}">
              <a16:creationId xmlns:a16="http://schemas.microsoft.com/office/drawing/2014/main" id="{00000000-0008-0000-0800-00007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9" name="Text Box 213">
          <a:extLst>
            <a:ext uri="{FF2B5EF4-FFF2-40B4-BE49-F238E27FC236}">
              <a16:creationId xmlns:a16="http://schemas.microsoft.com/office/drawing/2014/main" id="{00000000-0008-0000-0800-00007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0" name="Text Box 214">
          <a:extLst>
            <a:ext uri="{FF2B5EF4-FFF2-40B4-BE49-F238E27FC236}">
              <a16:creationId xmlns:a16="http://schemas.microsoft.com/office/drawing/2014/main" id="{00000000-0008-0000-0800-00007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1" name="Text Box 215">
          <a:extLst>
            <a:ext uri="{FF2B5EF4-FFF2-40B4-BE49-F238E27FC236}">
              <a16:creationId xmlns:a16="http://schemas.microsoft.com/office/drawing/2014/main" id="{00000000-0008-0000-0800-00007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2" name="Text Box 216">
          <a:extLst>
            <a:ext uri="{FF2B5EF4-FFF2-40B4-BE49-F238E27FC236}">
              <a16:creationId xmlns:a16="http://schemas.microsoft.com/office/drawing/2014/main" id="{00000000-0008-0000-0800-00007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3" name="Text Box 217">
          <a:extLst>
            <a:ext uri="{FF2B5EF4-FFF2-40B4-BE49-F238E27FC236}">
              <a16:creationId xmlns:a16="http://schemas.microsoft.com/office/drawing/2014/main" id="{00000000-0008-0000-0800-00007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4" name="Text Box 218">
          <a:extLst>
            <a:ext uri="{FF2B5EF4-FFF2-40B4-BE49-F238E27FC236}">
              <a16:creationId xmlns:a16="http://schemas.microsoft.com/office/drawing/2014/main" id="{00000000-0008-0000-0800-00007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5" name="Text Box 219">
          <a:extLst>
            <a:ext uri="{FF2B5EF4-FFF2-40B4-BE49-F238E27FC236}">
              <a16:creationId xmlns:a16="http://schemas.microsoft.com/office/drawing/2014/main" id="{00000000-0008-0000-0800-00007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6" name="Text Box 220">
          <a:extLst>
            <a:ext uri="{FF2B5EF4-FFF2-40B4-BE49-F238E27FC236}">
              <a16:creationId xmlns:a16="http://schemas.microsoft.com/office/drawing/2014/main" id="{00000000-0008-0000-0800-00007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7" name="Text Box 221">
          <a:extLst>
            <a:ext uri="{FF2B5EF4-FFF2-40B4-BE49-F238E27FC236}">
              <a16:creationId xmlns:a16="http://schemas.microsoft.com/office/drawing/2014/main" id="{00000000-0008-0000-0800-00007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8" name="Text Box 222">
          <a:extLst>
            <a:ext uri="{FF2B5EF4-FFF2-40B4-BE49-F238E27FC236}">
              <a16:creationId xmlns:a16="http://schemas.microsoft.com/office/drawing/2014/main" id="{00000000-0008-0000-0800-00008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9" name="Text Box 223">
          <a:extLst>
            <a:ext uri="{FF2B5EF4-FFF2-40B4-BE49-F238E27FC236}">
              <a16:creationId xmlns:a16="http://schemas.microsoft.com/office/drawing/2014/main" id="{00000000-0008-0000-0800-00008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0" name="Text Box 224">
          <a:extLst>
            <a:ext uri="{FF2B5EF4-FFF2-40B4-BE49-F238E27FC236}">
              <a16:creationId xmlns:a16="http://schemas.microsoft.com/office/drawing/2014/main" id="{00000000-0008-0000-0800-00008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1" name="Text Box 225">
          <a:extLst>
            <a:ext uri="{FF2B5EF4-FFF2-40B4-BE49-F238E27FC236}">
              <a16:creationId xmlns:a16="http://schemas.microsoft.com/office/drawing/2014/main" id="{00000000-0008-0000-0800-00008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2" name="Text Box 226">
          <a:extLst>
            <a:ext uri="{FF2B5EF4-FFF2-40B4-BE49-F238E27FC236}">
              <a16:creationId xmlns:a16="http://schemas.microsoft.com/office/drawing/2014/main" id="{00000000-0008-0000-0800-00008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3" name="Text Box 227">
          <a:extLst>
            <a:ext uri="{FF2B5EF4-FFF2-40B4-BE49-F238E27FC236}">
              <a16:creationId xmlns:a16="http://schemas.microsoft.com/office/drawing/2014/main" id="{00000000-0008-0000-0800-00008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4" name="Text Box 228">
          <a:extLst>
            <a:ext uri="{FF2B5EF4-FFF2-40B4-BE49-F238E27FC236}">
              <a16:creationId xmlns:a16="http://schemas.microsoft.com/office/drawing/2014/main" id="{00000000-0008-0000-0800-00008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5" name="Text Box 229">
          <a:extLst>
            <a:ext uri="{FF2B5EF4-FFF2-40B4-BE49-F238E27FC236}">
              <a16:creationId xmlns:a16="http://schemas.microsoft.com/office/drawing/2014/main" id="{00000000-0008-0000-0800-00008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6" name="Text Box 230">
          <a:extLst>
            <a:ext uri="{FF2B5EF4-FFF2-40B4-BE49-F238E27FC236}">
              <a16:creationId xmlns:a16="http://schemas.microsoft.com/office/drawing/2014/main" id="{00000000-0008-0000-0800-00008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7" name="Text Box 231">
          <a:extLst>
            <a:ext uri="{FF2B5EF4-FFF2-40B4-BE49-F238E27FC236}">
              <a16:creationId xmlns:a16="http://schemas.microsoft.com/office/drawing/2014/main" id="{00000000-0008-0000-0800-00008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8" name="Text Box 232">
          <a:extLst>
            <a:ext uri="{FF2B5EF4-FFF2-40B4-BE49-F238E27FC236}">
              <a16:creationId xmlns:a16="http://schemas.microsoft.com/office/drawing/2014/main" id="{00000000-0008-0000-0800-00008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9" name="Text Box 233">
          <a:extLst>
            <a:ext uri="{FF2B5EF4-FFF2-40B4-BE49-F238E27FC236}">
              <a16:creationId xmlns:a16="http://schemas.microsoft.com/office/drawing/2014/main" id="{00000000-0008-0000-0800-00008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0" name="Text Box 234">
          <a:extLst>
            <a:ext uri="{FF2B5EF4-FFF2-40B4-BE49-F238E27FC236}">
              <a16:creationId xmlns:a16="http://schemas.microsoft.com/office/drawing/2014/main" id="{00000000-0008-0000-0800-00008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1" name="Text Box 235">
          <a:extLst>
            <a:ext uri="{FF2B5EF4-FFF2-40B4-BE49-F238E27FC236}">
              <a16:creationId xmlns:a16="http://schemas.microsoft.com/office/drawing/2014/main" id="{00000000-0008-0000-0800-00008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2" name="Text Box 236">
          <a:extLst>
            <a:ext uri="{FF2B5EF4-FFF2-40B4-BE49-F238E27FC236}">
              <a16:creationId xmlns:a16="http://schemas.microsoft.com/office/drawing/2014/main" id="{00000000-0008-0000-0800-00008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3" name="Text Box 237">
          <a:extLst>
            <a:ext uri="{FF2B5EF4-FFF2-40B4-BE49-F238E27FC236}">
              <a16:creationId xmlns:a16="http://schemas.microsoft.com/office/drawing/2014/main" id="{00000000-0008-0000-0800-00008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4" name="Text Box 238">
          <a:extLst>
            <a:ext uri="{FF2B5EF4-FFF2-40B4-BE49-F238E27FC236}">
              <a16:creationId xmlns:a16="http://schemas.microsoft.com/office/drawing/2014/main" id="{00000000-0008-0000-0800-00009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5" name="Text Box 239">
          <a:extLst>
            <a:ext uri="{FF2B5EF4-FFF2-40B4-BE49-F238E27FC236}">
              <a16:creationId xmlns:a16="http://schemas.microsoft.com/office/drawing/2014/main" id="{00000000-0008-0000-0800-00009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6" name="Text Box 240">
          <a:extLst>
            <a:ext uri="{FF2B5EF4-FFF2-40B4-BE49-F238E27FC236}">
              <a16:creationId xmlns:a16="http://schemas.microsoft.com/office/drawing/2014/main" id="{00000000-0008-0000-0800-00009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7" name="Text Box 241">
          <a:extLst>
            <a:ext uri="{FF2B5EF4-FFF2-40B4-BE49-F238E27FC236}">
              <a16:creationId xmlns:a16="http://schemas.microsoft.com/office/drawing/2014/main" id="{00000000-0008-0000-0800-00009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8" name="Text Box 242">
          <a:extLst>
            <a:ext uri="{FF2B5EF4-FFF2-40B4-BE49-F238E27FC236}">
              <a16:creationId xmlns:a16="http://schemas.microsoft.com/office/drawing/2014/main" id="{00000000-0008-0000-0800-00009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9" name="Text Box 243">
          <a:extLst>
            <a:ext uri="{FF2B5EF4-FFF2-40B4-BE49-F238E27FC236}">
              <a16:creationId xmlns:a16="http://schemas.microsoft.com/office/drawing/2014/main" id="{00000000-0008-0000-0800-00009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0" name="Text Box 244">
          <a:extLst>
            <a:ext uri="{FF2B5EF4-FFF2-40B4-BE49-F238E27FC236}">
              <a16:creationId xmlns:a16="http://schemas.microsoft.com/office/drawing/2014/main" id="{00000000-0008-0000-0800-00009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1" name="Text Box 245">
          <a:extLst>
            <a:ext uri="{FF2B5EF4-FFF2-40B4-BE49-F238E27FC236}">
              <a16:creationId xmlns:a16="http://schemas.microsoft.com/office/drawing/2014/main" id="{00000000-0008-0000-0800-00009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2" name="Text Box 246">
          <a:extLst>
            <a:ext uri="{FF2B5EF4-FFF2-40B4-BE49-F238E27FC236}">
              <a16:creationId xmlns:a16="http://schemas.microsoft.com/office/drawing/2014/main" id="{00000000-0008-0000-0800-00009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3" name="Text Box 247">
          <a:extLst>
            <a:ext uri="{FF2B5EF4-FFF2-40B4-BE49-F238E27FC236}">
              <a16:creationId xmlns:a16="http://schemas.microsoft.com/office/drawing/2014/main" id="{00000000-0008-0000-0800-00009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4" name="Text Box 248">
          <a:extLst>
            <a:ext uri="{FF2B5EF4-FFF2-40B4-BE49-F238E27FC236}">
              <a16:creationId xmlns:a16="http://schemas.microsoft.com/office/drawing/2014/main" id="{00000000-0008-0000-0800-00009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5" name="Text Box 249">
          <a:extLst>
            <a:ext uri="{FF2B5EF4-FFF2-40B4-BE49-F238E27FC236}">
              <a16:creationId xmlns:a16="http://schemas.microsoft.com/office/drawing/2014/main" id="{00000000-0008-0000-0800-00009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6" name="Text Box 250">
          <a:extLst>
            <a:ext uri="{FF2B5EF4-FFF2-40B4-BE49-F238E27FC236}">
              <a16:creationId xmlns:a16="http://schemas.microsoft.com/office/drawing/2014/main" id="{00000000-0008-0000-0800-00009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7" name="Text Box 251">
          <a:extLst>
            <a:ext uri="{FF2B5EF4-FFF2-40B4-BE49-F238E27FC236}">
              <a16:creationId xmlns:a16="http://schemas.microsoft.com/office/drawing/2014/main" id="{00000000-0008-0000-0800-00009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8" name="Text Box 252">
          <a:extLst>
            <a:ext uri="{FF2B5EF4-FFF2-40B4-BE49-F238E27FC236}">
              <a16:creationId xmlns:a16="http://schemas.microsoft.com/office/drawing/2014/main" id="{00000000-0008-0000-0800-00009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9" name="Text Box 253">
          <a:extLst>
            <a:ext uri="{FF2B5EF4-FFF2-40B4-BE49-F238E27FC236}">
              <a16:creationId xmlns:a16="http://schemas.microsoft.com/office/drawing/2014/main" id="{00000000-0008-0000-0800-00009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0" name="Text Box 254">
          <a:extLst>
            <a:ext uri="{FF2B5EF4-FFF2-40B4-BE49-F238E27FC236}">
              <a16:creationId xmlns:a16="http://schemas.microsoft.com/office/drawing/2014/main" id="{00000000-0008-0000-0800-0000A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1" name="Text Box 255">
          <a:extLst>
            <a:ext uri="{FF2B5EF4-FFF2-40B4-BE49-F238E27FC236}">
              <a16:creationId xmlns:a16="http://schemas.microsoft.com/office/drawing/2014/main" id="{00000000-0008-0000-0800-0000A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2" name="Text Box 256">
          <a:extLst>
            <a:ext uri="{FF2B5EF4-FFF2-40B4-BE49-F238E27FC236}">
              <a16:creationId xmlns:a16="http://schemas.microsoft.com/office/drawing/2014/main" id="{00000000-0008-0000-0800-0000A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3" name="Text Box 257">
          <a:extLst>
            <a:ext uri="{FF2B5EF4-FFF2-40B4-BE49-F238E27FC236}">
              <a16:creationId xmlns:a16="http://schemas.microsoft.com/office/drawing/2014/main" id="{00000000-0008-0000-0800-0000A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4" name="Text Box 258">
          <a:extLst>
            <a:ext uri="{FF2B5EF4-FFF2-40B4-BE49-F238E27FC236}">
              <a16:creationId xmlns:a16="http://schemas.microsoft.com/office/drawing/2014/main" id="{00000000-0008-0000-0800-0000A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5" name="Text Box 259">
          <a:extLst>
            <a:ext uri="{FF2B5EF4-FFF2-40B4-BE49-F238E27FC236}">
              <a16:creationId xmlns:a16="http://schemas.microsoft.com/office/drawing/2014/main" id="{00000000-0008-0000-0800-0000A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6" name="Text Box 260">
          <a:extLst>
            <a:ext uri="{FF2B5EF4-FFF2-40B4-BE49-F238E27FC236}">
              <a16:creationId xmlns:a16="http://schemas.microsoft.com/office/drawing/2014/main" id="{00000000-0008-0000-0800-0000A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7" name="Text Box 261">
          <a:extLst>
            <a:ext uri="{FF2B5EF4-FFF2-40B4-BE49-F238E27FC236}">
              <a16:creationId xmlns:a16="http://schemas.microsoft.com/office/drawing/2014/main" id="{00000000-0008-0000-0800-0000A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8" name="Text Box 262">
          <a:extLst>
            <a:ext uri="{FF2B5EF4-FFF2-40B4-BE49-F238E27FC236}">
              <a16:creationId xmlns:a16="http://schemas.microsoft.com/office/drawing/2014/main" id="{00000000-0008-0000-0800-0000A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9" name="Text Box 263">
          <a:extLst>
            <a:ext uri="{FF2B5EF4-FFF2-40B4-BE49-F238E27FC236}">
              <a16:creationId xmlns:a16="http://schemas.microsoft.com/office/drawing/2014/main" id="{00000000-0008-0000-0800-0000A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0" name="Text Box 264">
          <a:extLst>
            <a:ext uri="{FF2B5EF4-FFF2-40B4-BE49-F238E27FC236}">
              <a16:creationId xmlns:a16="http://schemas.microsoft.com/office/drawing/2014/main" id="{00000000-0008-0000-0800-0000A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1" name="Text Box 265">
          <a:extLst>
            <a:ext uri="{FF2B5EF4-FFF2-40B4-BE49-F238E27FC236}">
              <a16:creationId xmlns:a16="http://schemas.microsoft.com/office/drawing/2014/main" id="{00000000-0008-0000-0800-0000A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2" name="Text Box 266">
          <a:extLst>
            <a:ext uri="{FF2B5EF4-FFF2-40B4-BE49-F238E27FC236}">
              <a16:creationId xmlns:a16="http://schemas.microsoft.com/office/drawing/2014/main" id="{00000000-0008-0000-0800-0000A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3" name="Text Box 267">
          <a:extLst>
            <a:ext uri="{FF2B5EF4-FFF2-40B4-BE49-F238E27FC236}">
              <a16:creationId xmlns:a16="http://schemas.microsoft.com/office/drawing/2014/main" id="{00000000-0008-0000-0800-0000A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4" name="Text Box 268">
          <a:extLst>
            <a:ext uri="{FF2B5EF4-FFF2-40B4-BE49-F238E27FC236}">
              <a16:creationId xmlns:a16="http://schemas.microsoft.com/office/drawing/2014/main" id="{00000000-0008-0000-0800-0000A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5" name="Text Box 269">
          <a:extLst>
            <a:ext uri="{FF2B5EF4-FFF2-40B4-BE49-F238E27FC236}">
              <a16:creationId xmlns:a16="http://schemas.microsoft.com/office/drawing/2014/main" id="{00000000-0008-0000-0800-0000A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6" name="Text Box 270">
          <a:extLst>
            <a:ext uri="{FF2B5EF4-FFF2-40B4-BE49-F238E27FC236}">
              <a16:creationId xmlns:a16="http://schemas.microsoft.com/office/drawing/2014/main" id="{00000000-0008-0000-0800-0000B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7" name="Text Box 271">
          <a:extLst>
            <a:ext uri="{FF2B5EF4-FFF2-40B4-BE49-F238E27FC236}">
              <a16:creationId xmlns:a16="http://schemas.microsoft.com/office/drawing/2014/main" id="{00000000-0008-0000-0800-0000B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8" name="Text Box 272">
          <a:extLst>
            <a:ext uri="{FF2B5EF4-FFF2-40B4-BE49-F238E27FC236}">
              <a16:creationId xmlns:a16="http://schemas.microsoft.com/office/drawing/2014/main" id="{00000000-0008-0000-0800-0000B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9" name="Text Box 273">
          <a:extLst>
            <a:ext uri="{FF2B5EF4-FFF2-40B4-BE49-F238E27FC236}">
              <a16:creationId xmlns:a16="http://schemas.microsoft.com/office/drawing/2014/main" id="{00000000-0008-0000-0800-0000B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0" name="Text Box 274">
          <a:extLst>
            <a:ext uri="{FF2B5EF4-FFF2-40B4-BE49-F238E27FC236}">
              <a16:creationId xmlns:a16="http://schemas.microsoft.com/office/drawing/2014/main" id="{00000000-0008-0000-0800-0000B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1" name="Text Box 275">
          <a:extLst>
            <a:ext uri="{FF2B5EF4-FFF2-40B4-BE49-F238E27FC236}">
              <a16:creationId xmlns:a16="http://schemas.microsoft.com/office/drawing/2014/main" id="{00000000-0008-0000-0800-0000B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2" name="Text Box 276">
          <a:extLst>
            <a:ext uri="{FF2B5EF4-FFF2-40B4-BE49-F238E27FC236}">
              <a16:creationId xmlns:a16="http://schemas.microsoft.com/office/drawing/2014/main" id="{00000000-0008-0000-0800-0000B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3" name="Text Box 277">
          <a:extLst>
            <a:ext uri="{FF2B5EF4-FFF2-40B4-BE49-F238E27FC236}">
              <a16:creationId xmlns:a16="http://schemas.microsoft.com/office/drawing/2014/main" id="{00000000-0008-0000-0800-0000B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4" name="Text Box 278">
          <a:extLst>
            <a:ext uri="{FF2B5EF4-FFF2-40B4-BE49-F238E27FC236}">
              <a16:creationId xmlns:a16="http://schemas.microsoft.com/office/drawing/2014/main" id="{00000000-0008-0000-0800-0000B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5" name="Text Box 279">
          <a:extLst>
            <a:ext uri="{FF2B5EF4-FFF2-40B4-BE49-F238E27FC236}">
              <a16:creationId xmlns:a16="http://schemas.microsoft.com/office/drawing/2014/main" id="{00000000-0008-0000-0800-0000B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6" name="Text Box 280">
          <a:extLst>
            <a:ext uri="{FF2B5EF4-FFF2-40B4-BE49-F238E27FC236}">
              <a16:creationId xmlns:a16="http://schemas.microsoft.com/office/drawing/2014/main" id="{00000000-0008-0000-0800-0000B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7" name="Text Box 281">
          <a:extLst>
            <a:ext uri="{FF2B5EF4-FFF2-40B4-BE49-F238E27FC236}">
              <a16:creationId xmlns:a16="http://schemas.microsoft.com/office/drawing/2014/main" id="{00000000-0008-0000-0800-0000B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8" name="Text Box 282">
          <a:extLst>
            <a:ext uri="{FF2B5EF4-FFF2-40B4-BE49-F238E27FC236}">
              <a16:creationId xmlns:a16="http://schemas.microsoft.com/office/drawing/2014/main" id="{00000000-0008-0000-0800-0000B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9" name="Text Box 283">
          <a:extLst>
            <a:ext uri="{FF2B5EF4-FFF2-40B4-BE49-F238E27FC236}">
              <a16:creationId xmlns:a16="http://schemas.microsoft.com/office/drawing/2014/main" id="{00000000-0008-0000-0800-0000B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0" name="Text Box 284">
          <a:extLst>
            <a:ext uri="{FF2B5EF4-FFF2-40B4-BE49-F238E27FC236}">
              <a16:creationId xmlns:a16="http://schemas.microsoft.com/office/drawing/2014/main" id="{00000000-0008-0000-0800-0000B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1" name="Text Box 285">
          <a:extLst>
            <a:ext uri="{FF2B5EF4-FFF2-40B4-BE49-F238E27FC236}">
              <a16:creationId xmlns:a16="http://schemas.microsoft.com/office/drawing/2014/main" id="{00000000-0008-0000-0800-0000B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2" name="Text Box 286">
          <a:extLst>
            <a:ext uri="{FF2B5EF4-FFF2-40B4-BE49-F238E27FC236}">
              <a16:creationId xmlns:a16="http://schemas.microsoft.com/office/drawing/2014/main" id="{00000000-0008-0000-0800-0000C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3" name="Text Box 287">
          <a:extLst>
            <a:ext uri="{FF2B5EF4-FFF2-40B4-BE49-F238E27FC236}">
              <a16:creationId xmlns:a16="http://schemas.microsoft.com/office/drawing/2014/main" id="{00000000-0008-0000-0800-0000C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4" name="Text Box 288">
          <a:extLst>
            <a:ext uri="{FF2B5EF4-FFF2-40B4-BE49-F238E27FC236}">
              <a16:creationId xmlns:a16="http://schemas.microsoft.com/office/drawing/2014/main" id="{00000000-0008-0000-0800-0000C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5" name="Text Box 289">
          <a:extLst>
            <a:ext uri="{FF2B5EF4-FFF2-40B4-BE49-F238E27FC236}">
              <a16:creationId xmlns:a16="http://schemas.microsoft.com/office/drawing/2014/main" id="{00000000-0008-0000-0800-0000C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6" name="Text Box 290">
          <a:extLst>
            <a:ext uri="{FF2B5EF4-FFF2-40B4-BE49-F238E27FC236}">
              <a16:creationId xmlns:a16="http://schemas.microsoft.com/office/drawing/2014/main" id="{00000000-0008-0000-0800-0000C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7" name="Text Box 291">
          <a:extLst>
            <a:ext uri="{FF2B5EF4-FFF2-40B4-BE49-F238E27FC236}">
              <a16:creationId xmlns:a16="http://schemas.microsoft.com/office/drawing/2014/main" id="{00000000-0008-0000-0800-0000C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8" name="Text Box 292">
          <a:extLst>
            <a:ext uri="{FF2B5EF4-FFF2-40B4-BE49-F238E27FC236}">
              <a16:creationId xmlns:a16="http://schemas.microsoft.com/office/drawing/2014/main" id="{00000000-0008-0000-0800-0000C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9" name="Text Box 293">
          <a:extLst>
            <a:ext uri="{FF2B5EF4-FFF2-40B4-BE49-F238E27FC236}">
              <a16:creationId xmlns:a16="http://schemas.microsoft.com/office/drawing/2014/main" id="{00000000-0008-0000-0800-0000C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0" name="Text Box 294">
          <a:extLst>
            <a:ext uri="{FF2B5EF4-FFF2-40B4-BE49-F238E27FC236}">
              <a16:creationId xmlns:a16="http://schemas.microsoft.com/office/drawing/2014/main" id="{00000000-0008-0000-0800-0000C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1" name="Text Box 295">
          <a:extLst>
            <a:ext uri="{FF2B5EF4-FFF2-40B4-BE49-F238E27FC236}">
              <a16:creationId xmlns:a16="http://schemas.microsoft.com/office/drawing/2014/main" id="{00000000-0008-0000-0800-0000C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2" name="Text Box 296">
          <a:extLst>
            <a:ext uri="{FF2B5EF4-FFF2-40B4-BE49-F238E27FC236}">
              <a16:creationId xmlns:a16="http://schemas.microsoft.com/office/drawing/2014/main" id="{00000000-0008-0000-0800-0000C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3" name="Text Box 297">
          <a:extLst>
            <a:ext uri="{FF2B5EF4-FFF2-40B4-BE49-F238E27FC236}">
              <a16:creationId xmlns:a16="http://schemas.microsoft.com/office/drawing/2014/main" id="{00000000-0008-0000-0800-0000C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4" name="Text Box 298">
          <a:extLst>
            <a:ext uri="{FF2B5EF4-FFF2-40B4-BE49-F238E27FC236}">
              <a16:creationId xmlns:a16="http://schemas.microsoft.com/office/drawing/2014/main" id="{00000000-0008-0000-0800-0000C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5" name="Text Box 299">
          <a:extLst>
            <a:ext uri="{FF2B5EF4-FFF2-40B4-BE49-F238E27FC236}">
              <a16:creationId xmlns:a16="http://schemas.microsoft.com/office/drawing/2014/main" id="{00000000-0008-0000-0800-0000C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6" name="Text Box 300">
          <a:extLst>
            <a:ext uri="{FF2B5EF4-FFF2-40B4-BE49-F238E27FC236}">
              <a16:creationId xmlns:a16="http://schemas.microsoft.com/office/drawing/2014/main" id="{00000000-0008-0000-0800-0000C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7" name="Text Box 301">
          <a:extLst>
            <a:ext uri="{FF2B5EF4-FFF2-40B4-BE49-F238E27FC236}">
              <a16:creationId xmlns:a16="http://schemas.microsoft.com/office/drawing/2014/main" id="{00000000-0008-0000-0800-0000C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8" name="Text Box 302">
          <a:extLst>
            <a:ext uri="{FF2B5EF4-FFF2-40B4-BE49-F238E27FC236}">
              <a16:creationId xmlns:a16="http://schemas.microsoft.com/office/drawing/2014/main" id="{00000000-0008-0000-0800-0000D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9" name="Text Box 303">
          <a:extLst>
            <a:ext uri="{FF2B5EF4-FFF2-40B4-BE49-F238E27FC236}">
              <a16:creationId xmlns:a16="http://schemas.microsoft.com/office/drawing/2014/main" id="{00000000-0008-0000-0800-0000D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0" name="Text Box 304">
          <a:extLst>
            <a:ext uri="{FF2B5EF4-FFF2-40B4-BE49-F238E27FC236}">
              <a16:creationId xmlns:a16="http://schemas.microsoft.com/office/drawing/2014/main" id="{00000000-0008-0000-0800-0000D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1" name="Text Box 305">
          <a:extLst>
            <a:ext uri="{FF2B5EF4-FFF2-40B4-BE49-F238E27FC236}">
              <a16:creationId xmlns:a16="http://schemas.microsoft.com/office/drawing/2014/main" id="{00000000-0008-0000-0800-0000D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2" name="Text Box 306">
          <a:extLst>
            <a:ext uri="{FF2B5EF4-FFF2-40B4-BE49-F238E27FC236}">
              <a16:creationId xmlns:a16="http://schemas.microsoft.com/office/drawing/2014/main" id="{00000000-0008-0000-0800-0000D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3" name="Text Box 307">
          <a:extLst>
            <a:ext uri="{FF2B5EF4-FFF2-40B4-BE49-F238E27FC236}">
              <a16:creationId xmlns:a16="http://schemas.microsoft.com/office/drawing/2014/main" id="{00000000-0008-0000-0800-0000D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4" name="Text Box 308">
          <a:extLst>
            <a:ext uri="{FF2B5EF4-FFF2-40B4-BE49-F238E27FC236}">
              <a16:creationId xmlns:a16="http://schemas.microsoft.com/office/drawing/2014/main" id="{00000000-0008-0000-0800-0000D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5" name="Text Box 309">
          <a:extLst>
            <a:ext uri="{FF2B5EF4-FFF2-40B4-BE49-F238E27FC236}">
              <a16:creationId xmlns:a16="http://schemas.microsoft.com/office/drawing/2014/main" id="{00000000-0008-0000-0800-0000D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6" name="Text Box 310">
          <a:extLst>
            <a:ext uri="{FF2B5EF4-FFF2-40B4-BE49-F238E27FC236}">
              <a16:creationId xmlns:a16="http://schemas.microsoft.com/office/drawing/2014/main" id="{00000000-0008-0000-0800-0000D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7" name="Text Box 311">
          <a:extLst>
            <a:ext uri="{FF2B5EF4-FFF2-40B4-BE49-F238E27FC236}">
              <a16:creationId xmlns:a16="http://schemas.microsoft.com/office/drawing/2014/main" id="{00000000-0008-0000-0800-0000D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8" name="Text Box 312">
          <a:extLst>
            <a:ext uri="{FF2B5EF4-FFF2-40B4-BE49-F238E27FC236}">
              <a16:creationId xmlns:a16="http://schemas.microsoft.com/office/drawing/2014/main" id="{00000000-0008-0000-0800-0000D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9" name="Text Box 313">
          <a:extLst>
            <a:ext uri="{FF2B5EF4-FFF2-40B4-BE49-F238E27FC236}">
              <a16:creationId xmlns:a16="http://schemas.microsoft.com/office/drawing/2014/main" id="{00000000-0008-0000-0800-0000D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0" name="Text Box 314">
          <a:extLst>
            <a:ext uri="{FF2B5EF4-FFF2-40B4-BE49-F238E27FC236}">
              <a16:creationId xmlns:a16="http://schemas.microsoft.com/office/drawing/2014/main" id="{00000000-0008-0000-0800-0000D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1" name="Text Box 315">
          <a:extLst>
            <a:ext uri="{FF2B5EF4-FFF2-40B4-BE49-F238E27FC236}">
              <a16:creationId xmlns:a16="http://schemas.microsoft.com/office/drawing/2014/main" id="{00000000-0008-0000-0800-0000D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2" name="Text Box 316">
          <a:extLst>
            <a:ext uri="{FF2B5EF4-FFF2-40B4-BE49-F238E27FC236}">
              <a16:creationId xmlns:a16="http://schemas.microsoft.com/office/drawing/2014/main" id="{00000000-0008-0000-0800-0000D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3" name="Text Box 317">
          <a:extLst>
            <a:ext uri="{FF2B5EF4-FFF2-40B4-BE49-F238E27FC236}">
              <a16:creationId xmlns:a16="http://schemas.microsoft.com/office/drawing/2014/main" id="{00000000-0008-0000-0800-0000D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4" name="Text Box 318">
          <a:extLst>
            <a:ext uri="{FF2B5EF4-FFF2-40B4-BE49-F238E27FC236}">
              <a16:creationId xmlns:a16="http://schemas.microsoft.com/office/drawing/2014/main" id="{00000000-0008-0000-0800-0000E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5" name="Text Box 319">
          <a:extLst>
            <a:ext uri="{FF2B5EF4-FFF2-40B4-BE49-F238E27FC236}">
              <a16:creationId xmlns:a16="http://schemas.microsoft.com/office/drawing/2014/main" id="{00000000-0008-0000-0800-0000E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6" name="Text Box 320">
          <a:extLst>
            <a:ext uri="{FF2B5EF4-FFF2-40B4-BE49-F238E27FC236}">
              <a16:creationId xmlns:a16="http://schemas.microsoft.com/office/drawing/2014/main" id="{00000000-0008-0000-0800-0000E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7" name="Text Box 28">
          <a:extLst>
            <a:ext uri="{FF2B5EF4-FFF2-40B4-BE49-F238E27FC236}">
              <a16:creationId xmlns:a16="http://schemas.microsoft.com/office/drawing/2014/main" id="{00000000-0008-0000-0800-0000E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8" name="Text Box 29">
          <a:extLst>
            <a:ext uri="{FF2B5EF4-FFF2-40B4-BE49-F238E27FC236}">
              <a16:creationId xmlns:a16="http://schemas.microsoft.com/office/drawing/2014/main" id="{00000000-0008-0000-0800-0000E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9" name="Text Box 30">
          <a:extLst>
            <a:ext uri="{FF2B5EF4-FFF2-40B4-BE49-F238E27FC236}">
              <a16:creationId xmlns:a16="http://schemas.microsoft.com/office/drawing/2014/main" id="{00000000-0008-0000-0800-0000E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0" name="Text Box 31">
          <a:extLst>
            <a:ext uri="{FF2B5EF4-FFF2-40B4-BE49-F238E27FC236}">
              <a16:creationId xmlns:a16="http://schemas.microsoft.com/office/drawing/2014/main" id="{00000000-0008-0000-0800-0000E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1" name="Text Box 32">
          <a:extLst>
            <a:ext uri="{FF2B5EF4-FFF2-40B4-BE49-F238E27FC236}">
              <a16:creationId xmlns:a16="http://schemas.microsoft.com/office/drawing/2014/main" id="{00000000-0008-0000-0800-0000E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2" name="Text Box 33">
          <a:extLst>
            <a:ext uri="{FF2B5EF4-FFF2-40B4-BE49-F238E27FC236}">
              <a16:creationId xmlns:a16="http://schemas.microsoft.com/office/drawing/2014/main" id="{00000000-0008-0000-0800-0000E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3" name="Text Box 34">
          <a:extLst>
            <a:ext uri="{FF2B5EF4-FFF2-40B4-BE49-F238E27FC236}">
              <a16:creationId xmlns:a16="http://schemas.microsoft.com/office/drawing/2014/main" id="{00000000-0008-0000-0800-0000E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4" name="Text Box 35">
          <a:extLst>
            <a:ext uri="{FF2B5EF4-FFF2-40B4-BE49-F238E27FC236}">
              <a16:creationId xmlns:a16="http://schemas.microsoft.com/office/drawing/2014/main" id="{00000000-0008-0000-0800-0000E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5" name="Text Box 36">
          <a:extLst>
            <a:ext uri="{FF2B5EF4-FFF2-40B4-BE49-F238E27FC236}">
              <a16:creationId xmlns:a16="http://schemas.microsoft.com/office/drawing/2014/main" id="{00000000-0008-0000-0800-0000E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6" name="Text Box 37">
          <a:extLst>
            <a:ext uri="{FF2B5EF4-FFF2-40B4-BE49-F238E27FC236}">
              <a16:creationId xmlns:a16="http://schemas.microsoft.com/office/drawing/2014/main" id="{00000000-0008-0000-0800-0000E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7" name="Text Box 38">
          <a:extLst>
            <a:ext uri="{FF2B5EF4-FFF2-40B4-BE49-F238E27FC236}">
              <a16:creationId xmlns:a16="http://schemas.microsoft.com/office/drawing/2014/main" id="{00000000-0008-0000-0800-0000E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8" name="Text Box 39">
          <a:extLst>
            <a:ext uri="{FF2B5EF4-FFF2-40B4-BE49-F238E27FC236}">
              <a16:creationId xmlns:a16="http://schemas.microsoft.com/office/drawing/2014/main" id="{00000000-0008-0000-0800-0000E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9" name="Text Box 40">
          <a:extLst>
            <a:ext uri="{FF2B5EF4-FFF2-40B4-BE49-F238E27FC236}">
              <a16:creationId xmlns:a16="http://schemas.microsoft.com/office/drawing/2014/main" id="{00000000-0008-0000-0800-0000E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0" name="Text Box 41">
          <a:extLst>
            <a:ext uri="{FF2B5EF4-FFF2-40B4-BE49-F238E27FC236}">
              <a16:creationId xmlns:a16="http://schemas.microsoft.com/office/drawing/2014/main" id="{00000000-0008-0000-0800-0000F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1" name="Text Box 42">
          <a:extLst>
            <a:ext uri="{FF2B5EF4-FFF2-40B4-BE49-F238E27FC236}">
              <a16:creationId xmlns:a16="http://schemas.microsoft.com/office/drawing/2014/main" id="{00000000-0008-0000-0800-0000F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2" name="Text Box 43">
          <a:extLst>
            <a:ext uri="{FF2B5EF4-FFF2-40B4-BE49-F238E27FC236}">
              <a16:creationId xmlns:a16="http://schemas.microsoft.com/office/drawing/2014/main" id="{00000000-0008-0000-0800-0000F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3" name="Text Box 44">
          <a:extLst>
            <a:ext uri="{FF2B5EF4-FFF2-40B4-BE49-F238E27FC236}">
              <a16:creationId xmlns:a16="http://schemas.microsoft.com/office/drawing/2014/main" id="{00000000-0008-0000-0800-0000F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4" name="Text Box 45">
          <a:extLst>
            <a:ext uri="{FF2B5EF4-FFF2-40B4-BE49-F238E27FC236}">
              <a16:creationId xmlns:a16="http://schemas.microsoft.com/office/drawing/2014/main" id="{00000000-0008-0000-0800-0000F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5" name="Text Box 46">
          <a:extLst>
            <a:ext uri="{FF2B5EF4-FFF2-40B4-BE49-F238E27FC236}">
              <a16:creationId xmlns:a16="http://schemas.microsoft.com/office/drawing/2014/main" id="{00000000-0008-0000-0800-0000F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6" name="Text Box 47">
          <a:extLst>
            <a:ext uri="{FF2B5EF4-FFF2-40B4-BE49-F238E27FC236}">
              <a16:creationId xmlns:a16="http://schemas.microsoft.com/office/drawing/2014/main" id="{00000000-0008-0000-0800-0000F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7" name="Text Box 48">
          <a:extLst>
            <a:ext uri="{FF2B5EF4-FFF2-40B4-BE49-F238E27FC236}">
              <a16:creationId xmlns:a16="http://schemas.microsoft.com/office/drawing/2014/main" id="{00000000-0008-0000-0800-0000F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8" name="Text Box 49">
          <a:extLst>
            <a:ext uri="{FF2B5EF4-FFF2-40B4-BE49-F238E27FC236}">
              <a16:creationId xmlns:a16="http://schemas.microsoft.com/office/drawing/2014/main" id="{00000000-0008-0000-0800-0000F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9" name="Text Box 50">
          <a:extLst>
            <a:ext uri="{FF2B5EF4-FFF2-40B4-BE49-F238E27FC236}">
              <a16:creationId xmlns:a16="http://schemas.microsoft.com/office/drawing/2014/main" id="{00000000-0008-0000-0800-0000F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0" name="Text Box 51">
          <a:extLst>
            <a:ext uri="{FF2B5EF4-FFF2-40B4-BE49-F238E27FC236}">
              <a16:creationId xmlns:a16="http://schemas.microsoft.com/office/drawing/2014/main" id="{00000000-0008-0000-0800-0000F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1" name="Text Box 52">
          <a:extLst>
            <a:ext uri="{FF2B5EF4-FFF2-40B4-BE49-F238E27FC236}">
              <a16:creationId xmlns:a16="http://schemas.microsoft.com/office/drawing/2014/main" id="{00000000-0008-0000-0800-0000F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2" name="Text Box 53">
          <a:extLst>
            <a:ext uri="{FF2B5EF4-FFF2-40B4-BE49-F238E27FC236}">
              <a16:creationId xmlns:a16="http://schemas.microsoft.com/office/drawing/2014/main" id="{00000000-0008-0000-0800-0000F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3" name="Text Box 54">
          <a:extLst>
            <a:ext uri="{FF2B5EF4-FFF2-40B4-BE49-F238E27FC236}">
              <a16:creationId xmlns:a16="http://schemas.microsoft.com/office/drawing/2014/main" id="{00000000-0008-0000-0800-0000F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4" name="Text Box 55">
          <a:extLst>
            <a:ext uri="{FF2B5EF4-FFF2-40B4-BE49-F238E27FC236}">
              <a16:creationId xmlns:a16="http://schemas.microsoft.com/office/drawing/2014/main" id="{00000000-0008-0000-0800-0000F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5" name="Text Box 56">
          <a:extLst>
            <a:ext uri="{FF2B5EF4-FFF2-40B4-BE49-F238E27FC236}">
              <a16:creationId xmlns:a16="http://schemas.microsoft.com/office/drawing/2014/main" id="{00000000-0008-0000-0800-0000F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6" name="Text Box 57">
          <a:extLst>
            <a:ext uri="{FF2B5EF4-FFF2-40B4-BE49-F238E27FC236}">
              <a16:creationId xmlns:a16="http://schemas.microsoft.com/office/drawing/2014/main" id="{00000000-0008-0000-0800-00000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7" name="Text Box 58">
          <a:extLst>
            <a:ext uri="{FF2B5EF4-FFF2-40B4-BE49-F238E27FC236}">
              <a16:creationId xmlns:a16="http://schemas.microsoft.com/office/drawing/2014/main" id="{00000000-0008-0000-0800-00000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8" name="Text Box 59">
          <a:extLst>
            <a:ext uri="{FF2B5EF4-FFF2-40B4-BE49-F238E27FC236}">
              <a16:creationId xmlns:a16="http://schemas.microsoft.com/office/drawing/2014/main" id="{00000000-0008-0000-0800-00000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9" name="Text Box 60">
          <a:extLst>
            <a:ext uri="{FF2B5EF4-FFF2-40B4-BE49-F238E27FC236}">
              <a16:creationId xmlns:a16="http://schemas.microsoft.com/office/drawing/2014/main" id="{00000000-0008-0000-0800-00000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0" name="Text Box 61">
          <a:extLst>
            <a:ext uri="{FF2B5EF4-FFF2-40B4-BE49-F238E27FC236}">
              <a16:creationId xmlns:a16="http://schemas.microsoft.com/office/drawing/2014/main" id="{00000000-0008-0000-0800-00000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1" name="Text Box 62">
          <a:extLst>
            <a:ext uri="{FF2B5EF4-FFF2-40B4-BE49-F238E27FC236}">
              <a16:creationId xmlns:a16="http://schemas.microsoft.com/office/drawing/2014/main" id="{00000000-0008-0000-0800-00000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2" name="Text Box 63">
          <a:extLst>
            <a:ext uri="{FF2B5EF4-FFF2-40B4-BE49-F238E27FC236}">
              <a16:creationId xmlns:a16="http://schemas.microsoft.com/office/drawing/2014/main" id="{00000000-0008-0000-0800-00000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3" name="Text Box 64">
          <a:extLst>
            <a:ext uri="{FF2B5EF4-FFF2-40B4-BE49-F238E27FC236}">
              <a16:creationId xmlns:a16="http://schemas.microsoft.com/office/drawing/2014/main" id="{00000000-0008-0000-0800-00000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4" name="Text Box 65">
          <a:extLst>
            <a:ext uri="{FF2B5EF4-FFF2-40B4-BE49-F238E27FC236}">
              <a16:creationId xmlns:a16="http://schemas.microsoft.com/office/drawing/2014/main" id="{00000000-0008-0000-0800-00000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5" name="Text Box 66">
          <a:extLst>
            <a:ext uri="{FF2B5EF4-FFF2-40B4-BE49-F238E27FC236}">
              <a16:creationId xmlns:a16="http://schemas.microsoft.com/office/drawing/2014/main" id="{00000000-0008-0000-0800-00000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6" name="Text Box 67">
          <a:extLst>
            <a:ext uri="{FF2B5EF4-FFF2-40B4-BE49-F238E27FC236}">
              <a16:creationId xmlns:a16="http://schemas.microsoft.com/office/drawing/2014/main" id="{00000000-0008-0000-0800-00000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7" name="Text Box 68">
          <a:extLst>
            <a:ext uri="{FF2B5EF4-FFF2-40B4-BE49-F238E27FC236}">
              <a16:creationId xmlns:a16="http://schemas.microsoft.com/office/drawing/2014/main" id="{00000000-0008-0000-0800-00000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8" name="Text Box 69">
          <a:extLst>
            <a:ext uri="{FF2B5EF4-FFF2-40B4-BE49-F238E27FC236}">
              <a16:creationId xmlns:a16="http://schemas.microsoft.com/office/drawing/2014/main" id="{00000000-0008-0000-0800-00000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9" name="Text Box 70">
          <a:extLst>
            <a:ext uri="{FF2B5EF4-FFF2-40B4-BE49-F238E27FC236}">
              <a16:creationId xmlns:a16="http://schemas.microsoft.com/office/drawing/2014/main" id="{00000000-0008-0000-0800-00000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0" name="Text Box 71">
          <a:extLst>
            <a:ext uri="{FF2B5EF4-FFF2-40B4-BE49-F238E27FC236}">
              <a16:creationId xmlns:a16="http://schemas.microsoft.com/office/drawing/2014/main" id="{00000000-0008-0000-0800-00000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1" name="Text Box 72">
          <a:extLst>
            <a:ext uri="{FF2B5EF4-FFF2-40B4-BE49-F238E27FC236}">
              <a16:creationId xmlns:a16="http://schemas.microsoft.com/office/drawing/2014/main" id="{00000000-0008-0000-0800-00000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2" name="Text Box 73">
          <a:extLst>
            <a:ext uri="{FF2B5EF4-FFF2-40B4-BE49-F238E27FC236}">
              <a16:creationId xmlns:a16="http://schemas.microsoft.com/office/drawing/2014/main" id="{00000000-0008-0000-0800-00001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3" name="Text Box 74">
          <a:extLst>
            <a:ext uri="{FF2B5EF4-FFF2-40B4-BE49-F238E27FC236}">
              <a16:creationId xmlns:a16="http://schemas.microsoft.com/office/drawing/2014/main" id="{00000000-0008-0000-0800-00001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4" name="Text Box 75">
          <a:extLst>
            <a:ext uri="{FF2B5EF4-FFF2-40B4-BE49-F238E27FC236}">
              <a16:creationId xmlns:a16="http://schemas.microsoft.com/office/drawing/2014/main" id="{00000000-0008-0000-0800-00001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5" name="Text Box 76">
          <a:extLst>
            <a:ext uri="{FF2B5EF4-FFF2-40B4-BE49-F238E27FC236}">
              <a16:creationId xmlns:a16="http://schemas.microsoft.com/office/drawing/2014/main" id="{00000000-0008-0000-0800-00001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6" name="Text Box 77">
          <a:extLst>
            <a:ext uri="{FF2B5EF4-FFF2-40B4-BE49-F238E27FC236}">
              <a16:creationId xmlns:a16="http://schemas.microsoft.com/office/drawing/2014/main" id="{00000000-0008-0000-0800-00001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7" name="Text Box 78">
          <a:extLst>
            <a:ext uri="{FF2B5EF4-FFF2-40B4-BE49-F238E27FC236}">
              <a16:creationId xmlns:a16="http://schemas.microsoft.com/office/drawing/2014/main" id="{00000000-0008-0000-0800-00001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8" name="Text Box 79">
          <a:extLst>
            <a:ext uri="{FF2B5EF4-FFF2-40B4-BE49-F238E27FC236}">
              <a16:creationId xmlns:a16="http://schemas.microsoft.com/office/drawing/2014/main" id="{00000000-0008-0000-0800-00001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9" name="Text Box 80">
          <a:extLst>
            <a:ext uri="{FF2B5EF4-FFF2-40B4-BE49-F238E27FC236}">
              <a16:creationId xmlns:a16="http://schemas.microsoft.com/office/drawing/2014/main" id="{00000000-0008-0000-0800-00001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0" name="Text Box 81">
          <a:extLst>
            <a:ext uri="{FF2B5EF4-FFF2-40B4-BE49-F238E27FC236}">
              <a16:creationId xmlns:a16="http://schemas.microsoft.com/office/drawing/2014/main" id="{00000000-0008-0000-0800-00001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1" name="Text Box 82">
          <a:extLst>
            <a:ext uri="{FF2B5EF4-FFF2-40B4-BE49-F238E27FC236}">
              <a16:creationId xmlns:a16="http://schemas.microsoft.com/office/drawing/2014/main" id="{00000000-0008-0000-0800-00001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2" name="Text Box 83">
          <a:extLst>
            <a:ext uri="{FF2B5EF4-FFF2-40B4-BE49-F238E27FC236}">
              <a16:creationId xmlns:a16="http://schemas.microsoft.com/office/drawing/2014/main" id="{00000000-0008-0000-0800-00001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3" name="Text Box 84">
          <a:extLst>
            <a:ext uri="{FF2B5EF4-FFF2-40B4-BE49-F238E27FC236}">
              <a16:creationId xmlns:a16="http://schemas.microsoft.com/office/drawing/2014/main" id="{00000000-0008-0000-0800-00001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4" name="Text Box 85">
          <a:extLst>
            <a:ext uri="{FF2B5EF4-FFF2-40B4-BE49-F238E27FC236}">
              <a16:creationId xmlns:a16="http://schemas.microsoft.com/office/drawing/2014/main" id="{00000000-0008-0000-0800-00001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5" name="Text Box 86">
          <a:extLst>
            <a:ext uri="{FF2B5EF4-FFF2-40B4-BE49-F238E27FC236}">
              <a16:creationId xmlns:a16="http://schemas.microsoft.com/office/drawing/2014/main" id="{00000000-0008-0000-0800-00001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6" name="Text Box 87">
          <a:extLst>
            <a:ext uri="{FF2B5EF4-FFF2-40B4-BE49-F238E27FC236}">
              <a16:creationId xmlns:a16="http://schemas.microsoft.com/office/drawing/2014/main" id="{00000000-0008-0000-0800-00001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7" name="Text Box 88">
          <a:extLst>
            <a:ext uri="{FF2B5EF4-FFF2-40B4-BE49-F238E27FC236}">
              <a16:creationId xmlns:a16="http://schemas.microsoft.com/office/drawing/2014/main" id="{00000000-0008-0000-0800-00001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8" name="Text Box 89">
          <a:extLst>
            <a:ext uri="{FF2B5EF4-FFF2-40B4-BE49-F238E27FC236}">
              <a16:creationId xmlns:a16="http://schemas.microsoft.com/office/drawing/2014/main" id="{00000000-0008-0000-0800-00002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9" name="Text Box 90">
          <a:extLst>
            <a:ext uri="{FF2B5EF4-FFF2-40B4-BE49-F238E27FC236}">
              <a16:creationId xmlns:a16="http://schemas.microsoft.com/office/drawing/2014/main" id="{00000000-0008-0000-0800-00002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0" name="Text Box 91">
          <a:extLst>
            <a:ext uri="{FF2B5EF4-FFF2-40B4-BE49-F238E27FC236}">
              <a16:creationId xmlns:a16="http://schemas.microsoft.com/office/drawing/2014/main" id="{00000000-0008-0000-0800-00002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1" name="Text Box 92">
          <a:extLst>
            <a:ext uri="{FF2B5EF4-FFF2-40B4-BE49-F238E27FC236}">
              <a16:creationId xmlns:a16="http://schemas.microsoft.com/office/drawing/2014/main" id="{00000000-0008-0000-0800-00002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2" name="Text Box 93">
          <a:extLst>
            <a:ext uri="{FF2B5EF4-FFF2-40B4-BE49-F238E27FC236}">
              <a16:creationId xmlns:a16="http://schemas.microsoft.com/office/drawing/2014/main" id="{00000000-0008-0000-0800-00002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3" name="Text Box 94">
          <a:extLst>
            <a:ext uri="{FF2B5EF4-FFF2-40B4-BE49-F238E27FC236}">
              <a16:creationId xmlns:a16="http://schemas.microsoft.com/office/drawing/2014/main" id="{00000000-0008-0000-0800-00002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4" name="Text Box 95">
          <a:extLst>
            <a:ext uri="{FF2B5EF4-FFF2-40B4-BE49-F238E27FC236}">
              <a16:creationId xmlns:a16="http://schemas.microsoft.com/office/drawing/2014/main" id="{00000000-0008-0000-0800-00002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5" name="Text Box 96">
          <a:extLst>
            <a:ext uri="{FF2B5EF4-FFF2-40B4-BE49-F238E27FC236}">
              <a16:creationId xmlns:a16="http://schemas.microsoft.com/office/drawing/2014/main" id="{00000000-0008-0000-0800-00002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6" name="Text Box 97">
          <a:extLst>
            <a:ext uri="{FF2B5EF4-FFF2-40B4-BE49-F238E27FC236}">
              <a16:creationId xmlns:a16="http://schemas.microsoft.com/office/drawing/2014/main" id="{00000000-0008-0000-0800-00002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7" name="Text Box 100">
          <a:extLst>
            <a:ext uri="{FF2B5EF4-FFF2-40B4-BE49-F238E27FC236}">
              <a16:creationId xmlns:a16="http://schemas.microsoft.com/office/drawing/2014/main" id="{00000000-0008-0000-0800-00002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8" name="Text Box 101">
          <a:extLst>
            <a:ext uri="{FF2B5EF4-FFF2-40B4-BE49-F238E27FC236}">
              <a16:creationId xmlns:a16="http://schemas.microsoft.com/office/drawing/2014/main" id="{00000000-0008-0000-0800-00002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9" name="Text Box 102">
          <a:extLst>
            <a:ext uri="{FF2B5EF4-FFF2-40B4-BE49-F238E27FC236}">
              <a16:creationId xmlns:a16="http://schemas.microsoft.com/office/drawing/2014/main" id="{00000000-0008-0000-0800-00002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0" name="Text Box 103">
          <a:extLst>
            <a:ext uri="{FF2B5EF4-FFF2-40B4-BE49-F238E27FC236}">
              <a16:creationId xmlns:a16="http://schemas.microsoft.com/office/drawing/2014/main" id="{00000000-0008-0000-0800-00002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1" name="Text Box 104">
          <a:extLst>
            <a:ext uri="{FF2B5EF4-FFF2-40B4-BE49-F238E27FC236}">
              <a16:creationId xmlns:a16="http://schemas.microsoft.com/office/drawing/2014/main" id="{00000000-0008-0000-0800-00002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2" name="Text Box 105">
          <a:extLst>
            <a:ext uri="{FF2B5EF4-FFF2-40B4-BE49-F238E27FC236}">
              <a16:creationId xmlns:a16="http://schemas.microsoft.com/office/drawing/2014/main" id="{00000000-0008-0000-0800-00002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3" name="Text Box 106">
          <a:extLst>
            <a:ext uri="{FF2B5EF4-FFF2-40B4-BE49-F238E27FC236}">
              <a16:creationId xmlns:a16="http://schemas.microsoft.com/office/drawing/2014/main" id="{00000000-0008-0000-0800-00002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4" name="Text Box 107">
          <a:extLst>
            <a:ext uri="{FF2B5EF4-FFF2-40B4-BE49-F238E27FC236}">
              <a16:creationId xmlns:a16="http://schemas.microsoft.com/office/drawing/2014/main" id="{00000000-0008-0000-0800-00003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5" name="Text Box 108">
          <a:extLst>
            <a:ext uri="{FF2B5EF4-FFF2-40B4-BE49-F238E27FC236}">
              <a16:creationId xmlns:a16="http://schemas.microsoft.com/office/drawing/2014/main" id="{00000000-0008-0000-0800-00003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6" name="Text Box 109">
          <a:extLst>
            <a:ext uri="{FF2B5EF4-FFF2-40B4-BE49-F238E27FC236}">
              <a16:creationId xmlns:a16="http://schemas.microsoft.com/office/drawing/2014/main" id="{00000000-0008-0000-0800-00003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7" name="Text Box 110">
          <a:extLst>
            <a:ext uri="{FF2B5EF4-FFF2-40B4-BE49-F238E27FC236}">
              <a16:creationId xmlns:a16="http://schemas.microsoft.com/office/drawing/2014/main" id="{00000000-0008-0000-0800-00003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8" name="Text Box 111">
          <a:extLst>
            <a:ext uri="{FF2B5EF4-FFF2-40B4-BE49-F238E27FC236}">
              <a16:creationId xmlns:a16="http://schemas.microsoft.com/office/drawing/2014/main" id="{00000000-0008-0000-0800-00003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9" name="Text Box 119">
          <a:extLst>
            <a:ext uri="{FF2B5EF4-FFF2-40B4-BE49-F238E27FC236}">
              <a16:creationId xmlns:a16="http://schemas.microsoft.com/office/drawing/2014/main" id="{00000000-0008-0000-0800-00003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0" name="Text Box 120">
          <a:extLst>
            <a:ext uri="{FF2B5EF4-FFF2-40B4-BE49-F238E27FC236}">
              <a16:creationId xmlns:a16="http://schemas.microsoft.com/office/drawing/2014/main" id="{00000000-0008-0000-0800-00003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1" name="Text Box 121">
          <a:extLst>
            <a:ext uri="{FF2B5EF4-FFF2-40B4-BE49-F238E27FC236}">
              <a16:creationId xmlns:a16="http://schemas.microsoft.com/office/drawing/2014/main" id="{00000000-0008-0000-0800-00003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2" name="Text Box 122">
          <a:extLst>
            <a:ext uri="{FF2B5EF4-FFF2-40B4-BE49-F238E27FC236}">
              <a16:creationId xmlns:a16="http://schemas.microsoft.com/office/drawing/2014/main" id="{00000000-0008-0000-0800-00003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3" name="Text Box 123">
          <a:extLst>
            <a:ext uri="{FF2B5EF4-FFF2-40B4-BE49-F238E27FC236}">
              <a16:creationId xmlns:a16="http://schemas.microsoft.com/office/drawing/2014/main" id="{00000000-0008-0000-0800-00003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4" name="Text Box 124">
          <a:extLst>
            <a:ext uri="{FF2B5EF4-FFF2-40B4-BE49-F238E27FC236}">
              <a16:creationId xmlns:a16="http://schemas.microsoft.com/office/drawing/2014/main" id="{00000000-0008-0000-0800-00003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5" name="Text Box 125">
          <a:extLst>
            <a:ext uri="{FF2B5EF4-FFF2-40B4-BE49-F238E27FC236}">
              <a16:creationId xmlns:a16="http://schemas.microsoft.com/office/drawing/2014/main" id="{00000000-0008-0000-0800-00003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6" name="Text Box 126">
          <a:extLst>
            <a:ext uri="{FF2B5EF4-FFF2-40B4-BE49-F238E27FC236}">
              <a16:creationId xmlns:a16="http://schemas.microsoft.com/office/drawing/2014/main" id="{00000000-0008-0000-0800-00003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7" name="Text Box 127">
          <a:extLst>
            <a:ext uri="{FF2B5EF4-FFF2-40B4-BE49-F238E27FC236}">
              <a16:creationId xmlns:a16="http://schemas.microsoft.com/office/drawing/2014/main" id="{00000000-0008-0000-0800-00003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8" name="Text Box 128">
          <a:extLst>
            <a:ext uri="{FF2B5EF4-FFF2-40B4-BE49-F238E27FC236}">
              <a16:creationId xmlns:a16="http://schemas.microsoft.com/office/drawing/2014/main" id="{00000000-0008-0000-0800-00003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9" name="Text Box 129">
          <a:extLst>
            <a:ext uri="{FF2B5EF4-FFF2-40B4-BE49-F238E27FC236}">
              <a16:creationId xmlns:a16="http://schemas.microsoft.com/office/drawing/2014/main" id="{00000000-0008-0000-0800-00003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40" name="Text Box 130">
          <a:extLst>
            <a:ext uri="{FF2B5EF4-FFF2-40B4-BE49-F238E27FC236}">
              <a16:creationId xmlns:a16="http://schemas.microsoft.com/office/drawing/2014/main" id="{00000000-0008-0000-0800-00004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1" name="Text Box 133">
          <a:extLst>
            <a:ext uri="{FF2B5EF4-FFF2-40B4-BE49-F238E27FC236}">
              <a16:creationId xmlns:a16="http://schemas.microsoft.com/office/drawing/2014/main" id="{00000000-0008-0000-0800-00004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2" name="Text Box 134">
          <a:extLst>
            <a:ext uri="{FF2B5EF4-FFF2-40B4-BE49-F238E27FC236}">
              <a16:creationId xmlns:a16="http://schemas.microsoft.com/office/drawing/2014/main" id="{00000000-0008-0000-0800-00004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3" name="Text Box 135">
          <a:extLst>
            <a:ext uri="{FF2B5EF4-FFF2-40B4-BE49-F238E27FC236}">
              <a16:creationId xmlns:a16="http://schemas.microsoft.com/office/drawing/2014/main" id="{00000000-0008-0000-0800-00004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4" name="Text Box 136">
          <a:extLst>
            <a:ext uri="{FF2B5EF4-FFF2-40B4-BE49-F238E27FC236}">
              <a16:creationId xmlns:a16="http://schemas.microsoft.com/office/drawing/2014/main" id="{00000000-0008-0000-0800-00004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5" name="Text Box 137">
          <a:extLst>
            <a:ext uri="{FF2B5EF4-FFF2-40B4-BE49-F238E27FC236}">
              <a16:creationId xmlns:a16="http://schemas.microsoft.com/office/drawing/2014/main" id="{00000000-0008-0000-0800-00004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6" name="Text Box 138">
          <a:extLst>
            <a:ext uri="{FF2B5EF4-FFF2-40B4-BE49-F238E27FC236}">
              <a16:creationId xmlns:a16="http://schemas.microsoft.com/office/drawing/2014/main" id="{00000000-0008-0000-0800-00004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7" name="Text Box 139">
          <a:extLst>
            <a:ext uri="{FF2B5EF4-FFF2-40B4-BE49-F238E27FC236}">
              <a16:creationId xmlns:a16="http://schemas.microsoft.com/office/drawing/2014/main" id="{00000000-0008-0000-0800-00004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8" name="Text Box 140">
          <a:extLst>
            <a:ext uri="{FF2B5EF4-FFF2-40B4-BE49-F238E27FC236}">
              <a16:creationId xmlns:a16="http://schemas.microsoft.com/office/drawing/2014/main" id="{00000000-0008-0000-0800-00004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9" name="Text Box 141">
          <a:extLst>
            <a:ext uri="{FF2B5EF4-FFF2-40B4-BE49-F238E27FC236}">
              <a16:creationId xmlns:a16="http://schemas.microsoft.com/office/drawing/2014/main" id="{00000000-0008-0000-0800-00004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0" name="Text Box 142">
          <a:extLst>
            <a:ext uri="{FF2B5EF4-FFF2-40B4-BE49-F238E27FC236}">
              <a16:creationId xmlns:a16="http://schemas.microsoft.com/office/drawing/2014/main" id="{00000000-0008-0000-0800-00004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1" name="Text Box 143">
          <a:extLst>
            <a:ext uri="{FF2B5EF4-FFF2-40B4-BE49-F238E27FC236}">
              <a16:creationId xmlns:a16="http://schemas.microsoft.com/office/drawing/2014/main" id="{00000000-0008-0000-0800-00004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2" name="Text Box 144">
          <a:extLst>
            <a:ext uri="{FF2B5EF4-FFF2-40B4-BE49-F238E27FC236}">
              <a16:creationId xmlns:a16="http://schemas.microsoft.com/office/drawing/2014/main" id="{00000000-0008-0000-0800-00004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3" name="Text Box 145">
          <a:extLst>
            <a:ext uri="{FF2B5EF4-FFF2-40B4-BE49-F238E27FC236}">
              <a16:creationId xmlns:a16="http://schemas.microsoft.com/office/drawing/2014/main" id="{00000000-0008-0000-0800-00004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4" name="Text Box 146">
          <a:extLst>
            <a:ext uri="{FF2B5EF4-FFF2-40B4-BE49-F238E27FC236}">
              <a16:creationId xmlns:a16="http://schemas.microsoft.com/office/drawing/2014/main" id="{00000000-0008-0000-0800-00004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5" name="Text Box 147">
          <a:extLst>
            <a:ext uri="{FF2B5EF4-FFF2-40B4-BE49-F238E27FC236}">
              <a16:creationId xmlns:a16="http://schemas.microsoft.com/office/drawing/2014/main" id="{00000000-0008-0000-0800-00004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6" name="Text Box 148">
          <a:extLst>
            <a:ext uri="{FF2B5EF4-FFF2-40B4-BE49-F238E27FC236}">
              <a16:creationId xmlns:a16="http://schemas.microsoft.com/office/drawing/2014/main" id="{00000000-0008-0000-0800-00005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7" name="Text Box 149">
          <a:extLst>
            <a:ext uri="{FF2B5EF4-FFF2-40B4-BE49-F238E27FC236}">
              <a16:creationId xmlns:a16="http://schemas.microsoft.com/office/drawing/2014/main" id="{00000000-0008-0000-0800-00005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8" name="Text Box 150">
          <a:extLst>
            <a:ext uri="{FF2B5EF4-FFF2-40B4-BE49-F238E27FC236}">
              <a16:creationId xmlns:a16="http://schemas.microsoft.com/office/drawing/2014/main" id="{00000000-0008-0000-0800-00005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9" name="Text Box 151">
          <a:extLst>
            <a:ext uri="{FF2B5EF4-FFF2-40B4-BE49-F238E27FC236}">
              <a16:creationId xmlns:a16="http://schemas.microsoft.com/office/drawing/2014/main" id="{00000000-0008-0000-0800-00005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0" name="Text Box 152">
          <a:extLst>
            <a:ext uri="{FF2B5EF4-FFF2-40B4-BE49-F238E27FC236}">
              <a16:creationId xmlns:a16="http://schemas.microsoft.com/office/drawing/2014/main" id="{00000000-0008-0000-0800-00005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1" name="Text Box 153">
          <a:extLst>
            <a:ext uri="{FF2B5EF4-FFF2-40B4-BE49-F238E27FC236}">
              <a16:creationId xmlns:a16="http://schemas.microsoft.com/office/drawing/2014/main" id="{00000000-0008-0000-0800-00005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2" name="Text Box 154">
          <a:extLst>
            <a:ext uri="{FF2B5EF4-FFF2-40B4-BE49-F238E27FC236}">
              <a16:creationId xmlns:a16="http://schemas.microsoft.com/office/drawing/2014/main" id="{00000000-0008-0000-0800-00005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3" name="Text Box 155">
          <a:extLst>
            <a:ext uri="{FF2B5EF4-FFF2-40B4-BE49-F238E27FC236}">
              <a16:creationId xmlns:a16="http://schemas.microsoft.com/office/drawing/2014/main" id="{00000000-0008-0000-0800-00005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4" name="Text Box 156">
          <a:extLst>
            <a:ext uri="{FF2B5EF4-FFF2-40B4-BE49-F238E27FC236}">
              <a16:creationId xmlns:a16="http://schemas.microsoft.com/office/drawing/2014/main" id="{00000000-0008-0000-0800-00005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5" name="Text Box 157">
          <a:extLst>
            <a:ext uri="{FF2B5EF4-FFF2-40B4-BE49-F238E27FC236}">
              <a16:creationId xmlns:a16="http://schemas.microsoft.com/office/drawing/2014/main" id="{00000000-0008-0000-0800-00005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6" name="Text Box 158">
          <a:extLst>
            <a:ext uri="{FF2B5EF4-FFF2-40B4-BE49-F238E27FC236}">
              <a16:creationId xmlns:a16="http://schemas.microsoft.com/office/drawing/2014/main" id="{00000000-0008-0000-0800-00005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7" name="Text Box 159">
          <a:extLst>
            <a:ext uri="{FF2B5EF4-FFF2-40B4-BE49-F238E27FC236}">
              <a16:creationId xmlns:a16="http://schemas.microsoft.com/office/drawing/2014/main" id="{00000000-0008-0000-0800-00005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8" name="Text Box 160">
          <a:extLst>
            <a:ext uri="{FF2B5EF4-FFF2-40B4-BE49-F238E27FC236}">
              <a16:creationId xmlns:a16="http://schemas.microsoft.com/office/drawing/2014/main" id="{00000000-0008-0000-0800-00005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9" name="Text Box 161">
          <a:extLst>
            <a:ext uri="{FF2B5EF4-FFF2-40B4-BE49-F238E27FC236}">
              <a16:creationId xmlns:a16="http://schemas.microsoft.com/office/drawing/2014/main" id="{00000000-0008-0000-0800-00005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0" name="Text Box 162">
          <a:extLst>
            <a:ext uri="{FF2B5EF4-FFF2-40B4-BE49-F238E27FC236}">
              <a16:creationId xmlns:a16="http://schemas.microsoft.com/office/drawing/2014/main" id="{00000000-0008-0000-0800-00005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1" name="Text Box 163">
          <a:extLst>
            <a:ext uri="{FF2B5EF4-FFF2-40B4-BE49-F238E27FC236}">
              <a16:creationId xmlns:a16="http://schemas.microsoft.com/office/drawing/2014/main" id="{00000000-0008-0000-0800-00005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2" name="Text Box 164">
          <a:extLst>
            <a:ext uri="{FF2B5EF4-FFF2-40B4-BE49-F238E27FC236}">
              <a16:creationId xmlns:a16="http://schemas.microsoft.com/office/drawing/2014/main" id="{00000000-0008-0000-0800-00006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3" name="Text Box 165">
          <a:extLst>
            <a:ext uri="{FF2B5EF4-FFF2-40B4-BE49-F238E27FC236}">
              <a16:creationId xmlns:a16="http://schemas.microsoft.com/office/drawing/2014/main" id="{00000000-0008-0000-0800-00006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4" name="Text Box 166">
          <a:extLst>
            <a:ext uri="{FF2B5EF4-FFF2-40B4-BE49-F238E27FC236}">
              <a16:creationId xmlns:a16="http://schemas.microsoft.com/office/drawing/2014/main" id="{00000000-0008-0000-0800-00006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5" name="Text Box 167">
          <a:extLst>
            <a:ext uri="{FF2B5EF4-FFF2-40B4-BE49-F238E27FC236}">
              <a16:creationId xmlns:a16="http://schemas.microsoft.com/office/drawing/2014/main" id="{00000000-0008-0000-0800-00006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6" name="Text Box 168">
          <a:extLst>
            <a:ext uri="{FF2B5EF4-FFF2-40B4-BE49-F238E27FC236}">
              <a16:creationId xmlns:a16="http://schemas.microsoft.com/office/drawing/2014/main" id="{00000000-0008-0000-0800-00006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7" name="Text Box 169">
          <a:extLst>
            <a:ext uri="{FF2B5EF4-FFF2-40B4-BE49-F238E27FC236}">
              <a16:creationId xmlns:a16="http://schemas.microsoft.com/office/drawing/2014/main" id="{00000000-0008-0000-0800-00006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8" name="Text Box 170">
          <a:extLst>
            <a:ext uri="{FF2B5EF4-FFF2-40B4-BE49-F238E27FC236}">
              <a16:creationId xmlns:a16="http://schemas.microsoft.com/office/drawing/2014/main" id="{00000000-0008-0000-0800-00006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9" name="Text Box 171">
          <a:extLst>
            <a:ext uri="{FF2B5EF4-FFF2-40B4-BE49-F238E27FC236}">
              <a16:creationId xmlns:a16="http://schemas.microsoft.com/office/drawing/2014/main" id="{00000000-0008-0000-0800-00006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0" name="Text Box 172">
          <a:extLst>
            <a:ext uri="{FF2B5EF4-FFF2-40B4-BE49-F238E27FC236}">
              <a16:creationId xmlns:a16="http://schemas.microsoft.com/office/drawing/2014/main" id="{00000000-0008-0000-0800-00006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1" name="Text Box 173">
          <a:extLst>
            <a:ext uri="{FF2B5EF4-FFF2-40B4-BE49-F238E27FC236}">
              <a16:creationId xmlns:a16="http://schemas.microsoft.com/office/drawing/2014/main" id="{00000000-0008-0000-0800-00006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2" name="Text Box 174">
          <a:extLst>
            <a:ext uri="{FF2B5EF4-FFF2-40B4-BE49-F238E27FC236}">
              <a16:creationId xmlns:a16="http://schemas.microsoft.com/office/drawing/2014/main" id="{00000000-0008-0000-0800-00006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3" name="Text Box 175">
          <a:extLst>
            <a:ext uri="{FF2B5EF4-FFF2-40B4-BE49-F238E27FC236}">
              <a16:creationId xmlns:a16="http://schemas.microsoft.com/office/drawing/2014/main" id="{00000000-0008-0000-0800-00006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4" name="Text Box 176">
          <a:extLst>
            <a:ext uri="{FF2B5EF4-FFF2-40B4-BE49-F238E27FC236}">
              <a16:creationId xmlns:a16="http://schemas.microsoft.com/office/drawing/2014/main" id="{00000000-0008-0000-0800-00006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5" name="Text Box 177">
          <a:extLst>
            <a:ext uri="{FF2B5EF4-FFF2-40B4-BE49-F238E27FC236}">
              <a16:creationId xmlns:a16="http://schemas.microsoft.com/office/drawing/2014/main" id="{00000000-0008-0000-0800-00006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6" name="Text Box 178">
          <a:extLst>
            <a:ext uri="{FF2B5EF4-FFF2-40B4-BE49-F238E27FC236}">
              <a16:creationId xmlns:a16="http://schemas.microsoft.com/office/drawing/2014/main" id="{00000000-0008-0000-0800-00006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7" name="Text Box 179">
          <a:extLst>
            <a:ext uri="{FF2B5EF4-FFF2-40B4-BE49-F238E27FC236}">
              <a16:creationId xmlns:a16="http://schemas.microsoft.com/office/drawing/2014/main" id="{00000000-0008-0000-0800-00006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8" name="Text Box 180">
          <a:extLst>
            <a:ext uri="{FF2B5EF4-FFF2-40B4-BE49-F238E27FC236}">
              <a16:creationId xmlns:a16="http://schemas.microsoft.com/office/drawing/2014/main" id="{00000000-0008-0000-0800-00007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9" name="Text Box 181">
          <a:extLst>
            <a:ext uri="{FF2B5EF4-FFF2-40B4-BE49-F238E27FC236}">
              <a16:creationId xmlns:a16="http://schemas.microsoft.com/office/drawing/2014/main" id="{00000000-0008-0000-0800-00007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0" name="Text Box 182">
          <a:extLst>
            <a:ext uri="{FF2B5EF4-FFF2-40B4-BE49-F238E27FC236}">
              <a16:creationId xmlns:a16="http://schemas.microsoft.com/office/drawing/2014/main" id="{00000000-0008-0000-0800-00007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1" name="Text Box 183">
          <a:extLst>
            <a:ext uri="{FF2B5EF4-FFF2-40B4-BE49-F238E27FC236}">
              <a16:creationId xmlns:a16="http://schemas.microsoft.com/office/drawing/2014/main" id="{00000000-0008-0000-0800-00007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2" name="Text Box 184">
          <a:extLst>
            <a:ext uri="{FF2B5EF4-FFF2-40B4-BE49-F238E27FC236}">
              <a16:creationId xmlns:a16="http://schemas.microsoft.com/office/drawing/2014/main" id="{00000000-0008-0000-0800-00007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3" name="Text Box 185">
          <a:extLst>
            <a:ext uri="{FF2B5EF4-FFF2-40B4-BE49-F238E27FC236}">
              <a16:creationId xmlns:a16="http://schemas.microsoft.com/office/drawing/2014/main" id="{00000000-0008-0000-0800-00007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4" name="Text Box 186">
          <a:extLst>
            <a:ext uri="{FF2B5EF4-FFF2-40B4-BE49-F238E27FC236}">
              <a16:creationId xmlns:a16="http://schemas.microsoft.com/office/drawing/2014/main" id="{00000000-0008-0000-0800-00007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5" name="Text Box 187">
          <a:extLst>
            <a:ext uri="{FF2B5EF4-FFF2-40B4-BE49-F238E27FC236}">
              <a16:creationId xmlns:a16="http://schemas.microsoft.com/office/drawing/2014/main" id="{00000000-0008-0000-0800-00007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6" name="Text Box 188">
          <a:extLst>
            <a:ext uri="{FF2B5EF4-FFF2-40B4-BE49-F238E27FC236}">
              <a16:creationId xmlns:a16="http://schemas.microsoft.com/office/drawing/2014/main" id="{00000000-0008-0000-0800-00007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7" name="Text Box 189">
          <a:extLst>
            <a:ext uri="{FF2B5EF4-FFF2-40B4-BE49-F238E27FC236}">
              <a16:creationId xmlns:a16="http://schemas.microsoft.com/office/drawing/2014/main" id="{00000000-0008-0000-0800-00007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8" name="Text Box 190">
          <a:extLst>
            <a:ext uri="{FF2B5EF4-FFF2-40B4-BE49-F238E27FC236}">
              <a16:creationId xmlns:a16="http://schemas.microsoft.com/office/drawing/2014/main" id="{00000000-0008-0000-0800-00007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9" name="Text Box 191">
          <a:extLst>
            <a:ext uri="{FF2B5EF4-FFF2-40B4-BE49-F238E27FC236}">
              <a16:creationId xmlns:a16="http://schemas.microsoft.com/office/drawing/2014/main" id="{00000000-0008-0000-0800-00007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0" name="Text Box 192">
          <a:extLst>
            <a:ext uri="{FF2B5EF4-FFF2-40B4-BE49-F238E27FC236}">
              <a16:creationId xmlns:a16="http://schemas.microsoft.com/office/drawing/2014/main" id="{00000000-0008-0000-0800-00007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1" name="Text Box 193">
          <a:extLst>
            <a:ext uri="{FF2B5EF4-FFF2-40B4-BE49-F238E27FC236}">
              <a16:creationId xmlns:a16="http://schemas.microsoft.com/office/drawing/2014/main" id="{00000000-0008-0000-0800-00007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2" name="Text Box 194">
          <a:extLst>
            <a:ext uri="{FF2B5EF4-FFF2-40B4-BE49-F238E27FC236}">
              <a16:creationId xmlns:a16="http://schemas.microsoft.com/office/drawing/2014/main" id="{00000000-0008-0000-0800-00007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3" name="Text Box 195">
          <a:extLst>
            <a:ext uri="{FF2B5EF4-FFF2-40B4-BE49-F238E27FC236}">
              <a16:creationId xmlns:a16="http://schemas.microsoft.com/office/drawing/2014/main" id="{00000000-0008-0000-0800-00007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4" name="Text Box 196">
          <a:extLst>
            <a:ext uri="{FF2B5EF4-FFF2-40B4-BE49-F238E27FC236}">
              <a16:creationId xmlns:a16="http://schemas.microsoft.com/office/drawing/2014/main" id="{00000000-0008-0000-0800-00008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5" name="Text Box 197">
          <a:extLst>
            <a:ext uri="{FF2B5EF4-FFF2-40B4-BE49-F238E27FC236}">
              <a16:creationId xmlns:a16="http://schemas.microsoft.com/office/drawing/2014/main" id="{00000000-0008-0000-0800-00008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6" name="Text Box 198">
          <a:extLst>
            <a:ext uri="{FF2B5EF4-FFF2-40B4-BE49-F238E27FC236}">
              <a16:creationId xmlns:a16="http://schemas.microsoft.com/office/drawing/2014/main" id="{00000000-0008-0000-0800-00008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7" name="Text Box 199">
          <a:extLst>
            <a:ext uri="{FF2B5EF4-FFF2-40B4-BE49-F238E27FC236}">
              <a16:creationId xmlns:a16="http://schemas.microsoft.com/office/drawing/2014/main" id="{00000000-0008-0000-0800-00008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8" name="Text Box 200">
          <a:extLst>
            <a:ext uri="{FF2B5EF4-FFF2-40B4-BE49-F238E27FC236}">
              <a16:creationId xmlns:a16="http://schemas.microsoft.com/office/drawing/2014/main" id="{00000000-0008-0000-0800-00008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9" name="Text Box 201">
          <a:extLst>
            <a:ext uri="{FF2B5EF4-FFF2-40B4-BE49-F238E27FC236}">
              <a16:creationId xmlns:a16="http://schemas.microsoft.com/office/drawing/2014/main" id="{00000000-0008-0000-0800-00008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10" name="Text Box 202">
          <a:extLst>
            <a:ext uri="{FF2B5EF4-FFF2-40B4-BE49-F238E27FC236}">
              <a16:creationId xmlns:a16="http://schemas.microsoft.com/office/drawing/2014/main" id="{00000000-0008-0000-0800-00008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1" name="Text Box 203">
          <a:extLst>
            <a:ext uri="{FF2B5EF4-FFF2-40B4-BE49-F238E27FC236}">
              <a16:creationId xmlns:a16="http://schemas.microsoft.com/office/drawing/2014/main" id="{00000000-0008-0000-0800-00008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2" name="Text Box 204">
          <a:extLst>
            <a:ext uri="{FF2B5EF4-FFF2-40B4-BE49-F238E27FC236}">
              <a16:creationId xmlns:a16="http://schemas.microsoft.com/office/drawing/2014/main" id="{00000000-0008-0000-0800-00008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3" name="Text Box 205">
          <a:extLst>
            <a:ext uri="{FF2B5EF4-FFF2-40B4-BE49-F238E27FC236}">
              <a16:creationId xmlns:a16="http://schemas.microsoft.com/office/drawing/2014/main" id="{00000000-0008-0000-0800-00008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4" name="Text Box 206">
          <a:extLst>
            <a:ext uri="{FF2B5EF4-FFF2-40B4-BE49-F238E27FC236}">
              <a16:creationId xmlns:a16="http://schemas.microsoft.com/office/drawing/2014/main" id="{00000000-0008-0000-0800-00008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5" name="Text Box 207">
          <a:extLst>
            <a:ext uri="{FF2B5EF4-FFF2-40B4-BE49-F238E27FC236}">
              <a16:creationId xmlns:a16="http://schemas.microsoft.com/office/drawing/2014/main" id="{00000000-0008-0000-0800-00008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6" name="Text Box 208">
          <a:extLst>
            <a:ext uri="{FF2B5EF4-FFF2-40B4-BE49-F238E27FC236}">
              <a16:creationId xmlns:a16="http://schemas.microsoft.com/office/drawing/2014/main" id="{00000000-0008-0000-0800-00008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7" name="Text Box 209">
          <a:extLst>
            <a:ext uri="{FF2B5EF4-FFF2-40B4-BE49-F238E27FC236}">
              <a16:creationId xmlns:a16="http://schemas.microsoft.com/office/drawing/2014/main" id="{00000000-0008-0000-0800-00008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8" name="Text Box 210">
          <a:extLst>
            <a:ext uri="{FF2B5EF4-FFF2-40B4-BE49-F238E27FC236}">
              <a16:creationId xmlns:a16="http://schemas.microsoft.com/office/drawing/2014/main" id="{00000000-0008-0000-0800-00008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9" name="Text Box 211">
          <a:extLst>
            <a:ext uri="{FF2B5EF4-FFF2-40B4-BE49-F238E27FC236}">
              <a16:creationId xmlns:a16="http://schemas.microsoft.com/office/drawing/2014/main" id="{00000000-0008-0000-0800-00008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0" name="Text Box 212">
          <a:extLst>
            <a:ext uri="{FF2B5EF4-FFF2-40B4-BE49-F238E27FC236}">
              <a16:creationId xmlns:a16="http://schemas.microsoft.com/office/drawing/2014/main" id="{00000000-0008-0000-0800-00009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1" name="Text Box 213">
          <a:extLst>
            <a:ext uri="{FF2B5EF4-FFF2-40B4-BE49-F238E27FC236}">
              <a16:creationId xmlns:a16="http://schemas.microsoft.com/office/drawing/2014/main" id="{00000000-0008-0000-0800-00009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2" name="Text Box 214">
          <a:extLst>
            <a:ext uri="{FF2B5EF4-FFF2-40B4-BE49-F238E27FC236}">
              <a16:creationId xmlns:a16="http://schemas.microsoft.com/office/drawing/2014/main" id="{00000000-0008-0000-0800-00009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3" name="Text Box 215">
          <a:extLst>
            <a:ext uri="{FF2B5EF4-FFF2-40B4-BE49-F238E27FC236}">
              <a16:creationId xmlns:a16="http://schemas.microsoft.com/office/drawing/2014/main" id="{00000000-0008-0000-0800-00009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4" name="Text Box 216">
          <a:extLst>
            <a:ext uri="{FF2B5EF4-FFF2-40B4-BE49-F238E27FC236}">
              <a16:creationId xmlns:a16="http://schemas.microsoft.com/office/drawing/2014/main" id="{00000000-0008-0000-0800-00009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5" name="Text Box 217">
          <a:extLst>
            <a:ext uri="{FF2B5EF4-FFF2-40B4-BE49-F238E27FC236}">
              <a16:creationId xmlns:a16="http://schemas.microsoft.com/office/drawing/2014/main" id="{00000000-0008-0000-0800-00009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6" name="Text Box 218">
          <a:extLst>
            <a:ext uri="{FF2B5EF4-FFF2-40B4-BE49-F238E27FC236}">
              <a16:creationId xmlns:a16="http://schemas.microsoft.com/office/drawing/2014/main" id="{00000000-0008-0000-0800-00009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7" name="Text Box 219">
          <a:extLst>
            <a:ext uri="{FF2B5EF4-FFF2-40B4-BE49-F238E27FC236}">
              <a16:creationId xmlns:a16="http://schemas.microsoft.com/office/drawing/2014/main" id="{00000000-0008-0000-0800-00009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8" name="Text Box 220">
          <a:extLst>
            <a:ext uri="{FF2B5EF4-FFF2-40B4-BE49-F238E27FC236}">
              <a16:creationId xmlns:a16="http://schemas.microsoft.com/office/drawing/2014/main" id="{00000000-0008-0000-0800-00009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9" name="Text Box 221">
          <a:extLst>
            <a:ext uri="{FF2B5EF4-FFF2-40B4-BE49-F238E27FC236}">
              <a16:creationId xmlns:a16="http://schemas.microsoft.com/office/drawing/2014/main" id="{00000000-0008-0000-0800-00009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0" name="Text Box 222">
          <a:extLst>
            <a:ext uri="{FF2B5EF4-FFF2-40B4-BE49-F238E27FC236}">
              <a16:creationId xmlns:a16="http://schemas.microsoft.com/office/drawing/2014/main" id="{00000000-0008-0000-0800-00009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1" name="Text Box 223">
          <a:extLst>
            <a:ext uri="{FF2B5EF4-FFF2-40B4-BE49-F238E27FC236}">
              <a16:creationId xmlns:a16="http://schemas.microsoft.com/office/drawing/2014/main" id="{00000000-0008-0000-0800-00009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2" name="Text Box 224">
          <a:extLst>
            <a:ext uri="{FF2B5EF4-FFF2-40B4-BE49-F238E27FC236}">
              <a16:creationId xmlns:a16="http://schemas.microsoft.com/office/drawing/2014/main" id="{00000000-0008-0000-0800-00009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3" name="Text Box 225">
          <a:extLst>
            <a:ext uri="{FF2B5EF4-FFF2-40B4-BE49-F238E27FC236}">
              <a16:creationId xmlns:a16="http://schemas.microsoft.com/office/drawing/2014/main" id="{00000000-0008-0000-0800-00009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4" name="Text Box 226">
          <a:extLst>
            <a:ext uri="{FF2B5EF4-FFF2-40B4-BE49-F238E27FC236}">
              <a16:creationId xmlns:a16="http://schemas.microsoft.com/office/drawing/2014/main" id="{00000000-0008-0000-0800-00009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5" name="Text Box 227">
          <a:extLst>
            <a:ext uri="{FF2B5EF4-FFF2-40B4-BE49-F238E27FC236}">
              <a16:creationId xmlns:a16="http://schemas.microsoft.com/office/drawing/2014/main" id="{00000000-0008-0000-0800-00009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6" name="Text Box 228">
          <a:extLst>
            <a:ext uri="{FF2B5EF4-FFF2-40B4-BE49-F238E27FC236}">
              <a16:creationId xmlns:a16="http://schemas.microsoft.com/office/drawing/2014/main" id="{00000000-0008-0000-0800-0000A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7" name="Text Box 229">
          <a:extLst>
            <a:ext uri="{FF2B5EF4-FFF2-40B4-BE49-F238E27FC236}">
              <a16:creationId xmlns:a16="http://schemas.microsoft.com/office/drawing/2014/main" id="{00000000-0008-0000-0800-0000A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8" name="Text Box 230">
          <a:extLst>
            <a:ext uri="{FF2B5EF4-FFF2-40B4-BE49-F238E27FC236}">
              <a16:creationId xmlns:a16="http://schemas.microsoft.com/office/drawing/2014/main" id="{00000000-0008-0000-0800-0000A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9" name="Text Box 231">
          <a:extLst>
            <a:ext uri="{FF2B5EF4-FFF2-40B4-BE49-F238E27FC236}">
              <a16:creationId xmlns:a16="http://schemas.microsoft.com/office/drawing/2014/main" id="{00000000-0008-0000-0800-0000A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0" name="Text Box 232">
          <a:extLst>
            <a:ext uri="{FF2B5EF4-FFF2-40B4-BE49-F238E27FC236}">
              <a16:creationId xmlns:a16="http://schemas.microsoft.com/office/drawing/2014/main" id="{00000000-0008-0000-0800-0000A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1" name="Text Box 233">
          <a:extLst>
            <a:ext uri="{FF2B5EF4-FFF2-40B4-BE49-F238E27FC236}">
              <a16:creationId xmlns:a16="http://schemas.microsoft.com/office/drawing/2014/main" id="{00000000-0008-0000-0800-0000A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2" name="Text Box 234">
          <a:extLst>
            <a:ext uri="{FF2B5EF4-FFF2-40B4-BE49-F238E27FC236}">
              <a16:creationId xmlns:a16="http://schemas.microsoft.com/office/drawing/2014/main" id="{00000000-0008-0000-0800-0000A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3" name="Text Box 235">
          <a:extLst>
            <a:ext uri="{FF2B5EF4-FFF2-40B4-BE49-F238E27FC236}">
              <a16:creationId xmlns:a16="http://schemas.microsoft.com/office/drawing/2014/main" id="{00000000-0008-0000-0800-0000A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4" name="Text Box 236">
          <a:extLst>
            <a:ext uri="{FF2B5EF4-FFF2-40B4-BE49-F238E27FC236}">
              <a16:creationId xmlns:a16="http://schemas.microsoft.com/office/drawing/2014/main" id="{00000000-0008-0000-0800-0000A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5" name="Text Box 237">
          <a:extLst>
            <a:ext uri="{FF2B5EF4-FFF2-40B4-BE49-F238E27FC236}">
              <a16:creationId xmlns:a16="http://schemas.microsoft.com/office/drawing/2014/main" id="{00000000-0008-0000-0800-0000A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6" name="Text Box 238">
          <a:extLst>
            <a:ext uri="{FF2B5EF4-FFF2-40B4-BE49-F238E27FC236}">
              <a16:creationId xmlns:a16="http://schemas.microsoft.com/office/drawing/2014/main" id="{00000000-0008-0000-0800-0000A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7" name="Text Box 239">
          <a:extLst>
            <a:ext uri="{FF2B5EF4-FFF2-40B4-BE49-F238E27FC236}">
              <a16:creationId xmlns:a16="http://schemas.microsoft.com/office/drawing/2014/main" id="{00000000-0008-0000-0800-0000A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8" name="Text Box 240">
          <a:extLst>
            <a:ext uri="{FF2B5EF4-FFF2-40B4-BE49-F238E27FC236}">
              <a16:creationId xmlns:a16="http://schemas.microsoft.com/office/drawing/2014/main" id="{00000000-0008-0000-0800-0000A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9" name="Text Box 241">
          <a:extLst>
            <a:ext uri="{FF2B5EF4-FFF2-40B4-BE49-F238E27FC236}">
              <a16:creationId xmlns:a16="http://schemas.microsoft.com/office/drawing/2014/main" id="{00000000-0008-0000-0800-0000A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0" name="Text Box 242">
          <a:extLst>
            <a:ext uri="{FF2B5EF4-FFF2-40B4-BE49-F238E27FC236}">
              <a16:creationId xmlns:a16="http://schemas.microsoft.com/office/drawing/2014/main" id="{00000000-0008-0000-0800-0000A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1" name="Text Box 243">
          <a:extLst>
            <a:ext uri="{FF2B5EF4-FFF2-40B4-BE49-F238E27FC236}">
              <a16:creationId xmlns:a16="http://schemas.microsoft.com/office/drawing/2014/main" id="{00000000-0008-0000-0800-0000A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2" name="Text Box 244">
          <a:extLst>
            <a:ext uri="{FF2B5EF4-FFF2-40B4-BE49-F238E27FC236}">
              <a16:creationId xmlns:a16="http://schemas.microsoft.com/office/drawing/2014/main" id="{00000000-0008-0000-0800-0000B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3" name="Text Box 245">
          <a:extLst>
            <a:ext uri="{FF2B5EF4-FFF2-40B4-BE49-F238E27FC236}">
              <a16:creationId xmlns:a16="http://schemas.microsoft.com/office/drawing/2014/main" id="{00000000-0008-0000-0800-0000B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4" name="Text Box 246">
          <a:extLst>
            <a:ext uri="{FF2B5EF4-FFF2-40B4-BE49-F238E27FC236}">
              <a16:creationId xmlns:a16="http://schemas.microsoft.com/office/drawing/2014/main" id="{00000000-0008-0000-0800-0000B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5" name="Text Box 247">
          <a:extLst>
            <a:ext uri="{FF2B5EF4-FFF2-40B4-BE49-F238E27FC236}">
              <a16:creationId xmlns:a16="http://schemas.microsoft.com/office/drawing/2014/main" id="{00000000-0008-0000-0800-0000B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6" name="Text Box 248">
          <a:extLst>
            <a:ext uri="{FF2B5EF4-FFF2-40B4-BE49-F238E27FC236}">
              <a16:creationId xmlns:a16="http://schemas.microsoft.com/office/drawing/2014/main" id="{00000000-0008-0000-0800-0000B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7" name="Text Box 249">
          <a:extLst>
            <a:ext uri="{FF2B5EF4-FFF2-40B4-BE49-F238E27FC236}">
              <a16:creationId xmlns:a16="http://schemas.microsoft.com/office/drawing/2014/main" id="{00000000-0008-0000-0800-0000B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8" name="Text Box 250">
          <a:extLst>
            <a:ext uri="{FF2B5EF4-FFF2-40B4-BE49-F238E27FC236}">
              <a16:creationId xmlns:a16="http://schemas.microsoft.com/office/drawing/2014/main" id="{00000000-0008-0000-0800-0000B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9" name="Text Box 251">
          <a:extLst>
            <a:ext uri="{FF2B5EF4-FFF2-40B4-BE49-F238E27FC236}">
              <a16:creationId xmlns:a16="http://schemas.microsoft.com/office/drawing/2014/main" id="{00000000-0008-0000-0800-0000B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0" name="Text Box 252">
          <a:extLst>
            <a:ext uri="{FF2B5EF4-FFF2-40B4-BE49-F238E27FC236}">
              <a16:creationId xmlns:a16="http://schemas.microsoft.com/office/drawing/2014/main" id="{00000000-0008-0000-0800-0000B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1" name="Text Box 253">
          <a:extLst>
            <a:ext uri="{FF2B5EF4-FFF2-40B4-BE49-F238E27FC236}">
              <a16:creationId xmlns:a16="http://schemas.microsoft.com/office/drawing/2014/main" id="{00000000-0008-0000-0800-0000B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2" name="Text Box 254">
          <a:extLst>
            <a:ext uri="{FF2B5EF4-FFF2-40B4-BE49-F238E27FC236}">
              <a16:creationId xmlns:a16="http://schemas.microsoft.com/office/drawing/2014/main" id="{00000000-0008-0000-0800-0000B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3" name="Text Box 255">
          <a:extLst>
            <a:ext uri="{FF2B5EF4-FFF2-40B4-BE49-F238E27FC236}">
              <a16:creationId xmlns:a16="http://schemas.microsoft.com/office/drawing/2014/main" id="{00000000-0008-0000-0800-0000B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4" name="Text Box 256">
          <a:extLst>
            <a:ext uri="{FF2B5EF4-FFF2-40B4-BE49-F238E27FC236}">
              <a16:creationId xmlns:a16="http://schemas.microsoft.com/office/drawing/2014/main" id="{00000000-0008-0000-0800-0000B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5" name="Text Box 257">
          <a:extLst>
            <a:ext uri="{FF2B5EF4-FFF2-40B4-BE49-F238E27FC236}">
              <a16:creationId xmlns:a16="http://schemas.microsoft.com/office/drawing/2014/main" id="{00000000-0008-0000-0800-0000B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6" name="Text Box 258">
          <a:extLst>
            <a:ext uri="{FF2B5EF4-FFF2-40B4-BE49-F238E27FC236}">
              <a16:creationId xmlns:a16="http://schemas.microsoft.com/office/drawing/2014/main" id="{00000000-0008-0000-0800-0000B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7" name="Text Box 259">
          <a:extLst>
            <a:ext uri="{FF2B5EF4-FFF2-40B4-BE49-F238E27FC236}">
              <a16:creationId xmlns:a16="http://schemas.microsoft.com/office/drawing/2014/main" id="{00000000-0008-0000-0800-0000B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8" name="Text Box 260">
          <a:extLst>
            <a:ext uri="{FF2B5EF4-FFF2-40B4-BE49-F238E27FC236}">
              <a16:creationId xmlns:a16="http://schemas.microsoft.com/office/drawing/2014/main" id="{00000000-0008-0000-0800-0000C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9" name="Text Box 261">
          <a:extLst>
            <a:ext uri="{FF2B5EF4-FFF2-40B4-BE49-F238E27FC236}">
              <a16:creationId xmlns:a16="http://schemas.microsoft.com/office/drawing/2014/main" id="{00000000-0008-0000-0800-0000C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0" name="Text Box 262">
          <a:extLst>
            <a:ext uri="{FF2B5EF4-FFF2-40B4-BE49-F238E27FC236}">
              <a16:creationId xmlns:a16="http://schemas.microsoft.com/office/drawing/2014/main" id="{00000000-0008-0000-0800-0000C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1" name="Text Box 263">
          <a:extLst>
            <a:ext uri="{FF2B5EF4-FFF2-40B4-BE49-F238E27FC236}">
              <a16:creationId xmlns:a16="http://schemas.microsoft.com/office/drawing/2014/main" id="{00000000-0008-0000-0800-0000C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2" name="Text Box 264">
          <a:extLst>
            <a:ext uri="{FF2B5EF4-FFF2-40B4-BE49-F238E27FC236}">
              <a16:creationId xmlns:a16="http://schemas.microsoft.com/office/drawing/2014/main" id="{00000000-0008-0000-0800-0000C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3" name="Text Box 265">
          <a:extLst>
            <a:ext uri="{FF2B5EF4-FFF2-40B4-BE49-F238E27FC236}">
              <a16:creationId xmlns:a16="http://schemas.microsoft.com/office/drawing/2014/main" id="{00000000-0008-0000-0800-0000C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4" name="Text Box 266">
          <a:extLst>
            <a:ext uri="{FF2B5EF4-FFF2-40B4-BE49-F238E27FC236}">
              <a16:creationId xmlns:a16="http://schemas.microsoft.com/office/drawing/2014/main" id="{00000000-0008-0000-0800-0000C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5" name="Text Box 267">
          <a:extLst>
            <a:ext uri="{FF2B5EF4-FFF2-40B4-BE49-F238E27FC236}">
              <a16:creationId xmlns:a16="http://schemas.microsoft.com/office/drawing/2014/main" id="{00000000-0008-0000-0800-0000C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6" name="Text Box 268">
          <a:extLst>
            <a:ext uri="{FF2B5EF4-FFF2-40B4-BE49-F238E27FC236}">
              <a16:creationId xmlns:a16="http://schemas.microsoft.com/office/drawing/2014/main" id="{00000000-0008-0000-0800-0000C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7" name="Text Box 269">
          <a:extLst>
            <a:ext uri="{FF2B5EF4-FFF2-40B4-BE49-F238E27FC236}">
              <a16:creationId xmlns:a16="http://schemas.microsoft.com/office/drawing/2014/main" id="{00000000-0008-0000-0800-0000C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8" name="Text Box 270">
          <a:extLst>
            <a:ext uri="{FF2B5EF4-FFF2-40B4-BE49-F238E27FC236}">
              <a16:creationId xmlns:a16="http://schemas.microsoft.com/office/drawing/2014/main" id="{00000000-0008-0000-0800-0000C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9" name="Text Box 271">
          <a:extLst>
            <a:ext uri="{FF2B5EF4-FFF2-40B4-BE49-F238E27FC236}">
              <a16:creationId xmlns:a16="http://schemas.microsoft.com/office/drawing/2014/main" id="{00000000-0008-0000-0800-0000C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0" name="Text Box 272">
          <a:extLst>
            <a:ext uri="{FF2B5EF4-FFF2-40B4-BE49-F238E27FC236}">
              <a16:creationId xmlns:a16="http://schemas.microsoft.com/office/drawing/2014/main" id="{00000000-0008-0000-0800-0000C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1" name="Text Box 273">
          <a:extLst>
            <a:ext uri="{FF2B5EF4-FFF2-40B4-BE49-F238E27FC236}">
              <a16:creationId xmlns:a16="http://schemas.microsoft.com/office/drawing/2014/main" id="{00000000-0008-0000-0800-0000C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2" name="Text Box 274">
          <a:extLst>
            <a:ext uri="{FF2B5EF4-FFF2-40B4-BE49-F238E27FC236}">
              <a16:creationId xmlns:a16="http://schemas.microsoft.com/office/drawing/2014/main" id="{00000000-0008-0000-0800-0000C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3" name="Text Box 275">
          <a:extLst>
            <a:ext uri="{FF2B5EF4-FFF2-40B4-BE49-F238E27FC236}">
              <a16:creationId xmlns:a16="http://schemas.microsoft.com/office/drawing/2014/main" id="{00000000-0008-0000-0800-0000C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4" name="Text Box 276">
          <a:extLst>
            <a:ext uri="{FF2B5EF4-FFF2-40B4-BE49-F238E27FC236}">
              <a16:creationId xmlns:a16="http://schemas.microsoft.com/office/drawing/2014/main" id="{00000000-0008-0000-0800-0000D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5" name="Text Box 277">
          <a:extLst>
            <a:ext uri="{FF2B5EF4-FFF2-40B4-BE49-F238E27FC236}">
              <a16:creationId xmlns:a16="http://schemas.microsoft.com/office/drawing/2014/main" id="{00000000-0008-0000-0800-0000D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6" name="Text Box 278">
          <a:extLst>
            <a:ext uri="{FF2B5EF4-FFF2-40B4-BE49-F238E27FC236}">
              <a16:creationId xmlns:a16="http://schemas.microsoft.com/office/drawing/2014/main" id="{00000000-0008-0000-0800-0000D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7" name="Text Box 279">
          <a:extLst>
            <a:ext uri="{FF2B5EF4-FFF2-40B4-BE49-F238E27FC236}">
              <a16:creationId xmlns:a16="http://schemas.microsoft.com/office/drawing/2014/main" id="{00000000-0008-0000-0800-0000D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8" name="Text Box 280">
          <a:extLst>
            <a:ext uri="{FF2B5EF4-FFF2-40B4-BE49-F238E27FC236}">
              <a16:creationId xmlns:a16="http://schemas.microsoft.com/office/drawing/2014/main" id="{00000000-0008-0000-0800-0000D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9" name="Text Box 281">
          <a:extLst>
            <a:ext uri="{FF2B5EF4-FFF2-40B4-BE49-F238E27FC236}">
              <a16:creationId xmlns:a16="http://schemas.microsoft.com/office/drawing/2014/main" id="{00000000-0008-0000-0800-0000D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0" name="Text Box 282">
          <a:extLst>
            <a:ext uri="{FF2B5EF4-FFF2-40B4-BE49-F238E27FC236}">
              <a16:creationId xmlns:a16="http://schemas.microsoft.com/office/drawing/2014/main" id="{00000000-0008-0000-0800-0000D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1" name="Text Box 283">
          <a:extLst>
            <a:ext uri="{FF2B5EF4-FFF2-40B4-BE49-F238E27FC236}">
              <a16:creationId xmlns:a16="http://schemas.microsoft.com/office/drawing/2014/main" id="{00000000-0008-0000-0800-0000D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2" name="Text Box 284">
          <a:extLst>
            <a:ext uri="{FF2B5EF4-FFF2-40B4-BE49-F238E27FC236}">
              <a16:creationId xmlns:a16="http://schemas.microsoft.com/office/drawing/2014/main" id="{00000000-0008-0000-0800-0000D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3" name="Text Box 285">
          <a:extLst>
            <a:ext uri="{FF2B5EF4-FFF2-40B4-BE49-F238E27FC236}">
              <a16:creationId xmlns:a16="http://schemas.microsoft.com/office/drawing/2014/main" id="{00000000-0008-0000-0800-0000D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4" name="Text Box 286">
          <a:extLst>
            <a:ext uri="{FF2B5EF4-FFF2-40B4-BE49-F238E27FC236}">
              <a16:creationId xmlns:a16="http://schemas.microsoft.com/office/drawing/2014/main" id="{00000000-0008-0000-0800-0000D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5" name="Text Box 287">
          <a:extLst>
            <a:ext uri="{FF2B5EF4-FFF2-40B4-BE49-F238E27FC236}">
              <a16:creationId xmlns:a16="http://schemas.microsoft.com/office/drawing/2014/main" id="{00000000-0008-0000-0800-0000D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6" name="Text Box 288">
          <a:extLst>
            <a:ext uri="{FF2B5EF4-FFF2-40B4-BE49-F238E27FC236}">
              <a16:creationId xmlns:a16="http://schemas.microsoft.com/office/drawing/2014/main" id="{00000000-0008-0000-0800-0000D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7" name="Text Box 289">
          <a:extLst>
            <a:ext uri="{FF2B5EF4-FFF2-40B4-BE49-F238E27FC236}">
              <a16:creationId xmlns:a16="http://schemas.microsoft.com/office/drawing/2014/main" id="{00000000-0008-0000-0800-0000D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8" name="Text Box 290">
          <a:extLst>
            <a:ext uri="{FF2B5EF4-FFF2-40B4-BE49-F238E27FC236}">
              <a16:creationId xmlns:a16="http://schemas.microsoft.com/office/drawing/2014/main" id="{00000000-0008-0000-0800-0000D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9" name="Text Box 291">
          <a:extLst>
            <a:ext uri="{FF2B5EF4-FFF2-40B4-BE49-F238E27FC236}">
              <a16:creationId xmlns:a16="http://schemas.microsoft.com/office/drawing/2014/main" id="{00000000-0008-0000-0800-0000D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0" name="Text Box 292">
          <a:extLst>
            <a:ext uri="{FF2B5EF4-FFF2-40B4-BE49-F238E27FC236}">
              <a16:creationId xmlns:a16="http://schemas.microsoft.com/office/drawing/2014/main" id="{00000000-0008-0000-0800-0000E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1" name="Text Box 293">
          <a:extLst>
            <a:ext uri="{FF2B5EF4-FFF2-40B4-BE49-F238E27FC236}">
              <a16:creationId xmlns:a16="http://schemas.microsoft.com/office/drawing/2014/main" id="{00000000-0008-0000-0800-0000E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2" name="Text Box 294">
          <a:extLst>
            <a:ext uri="{FF2B5EF4-FFF2-40B4-BE49-F238E27FC236}">
              <a16:creationId xmlns:a16="http://schemas.microsoft.com/office/drawing/2014/main" id="{00000000-0008-0000-0800-0000E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3" name="Text Box 295">
          <a:extLst>
            <a:ext uri="{FF2B5EF4-FFF2-40B4-BE49-F238E27FC236}">
              <a16:creationId xmlns:a16="http://schemas.microsoft.com/office/drawing/2014/main" id="{00000000-0008-0000-0800-0000E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4" name="Text Box 296">
          <a:extLst>
            <a:ext uri="{FF2B5EF4-FFF2-40B4-BE49-F238E27FC236}">
              <a16:creationId xmlns:a16="http://schemas.microsoft.com/office/drawing/2014/main" id="{00000000-0008-0000-0800-0000E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5" name="Text Box 297">
          <a:extLst>
            <a:ext uri="{FF2B5EF4-FFF2-40B4-BE49-F238E27FC236}">
              <a16:creationId xmlns:a16="http://schemas.microsoft.com/office/drawing/2014/main" id="{00000000-0008-0000-0800-0000E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6" name="Text Box 298">
          <a:extLst>
            <a:ext uri="{FF2B5EF4-FFF2-40B4-BE49-F238E27FC236}">
              <a16:creationId xmlns:a16="http://schemas.microsoft.com/office/drawing/2014/main" id="{00000000-0008-0000-0800-0000E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7" name="Text Box 299">
          <a:extLst>
            <a:ext uri="{FF2B5EF4-FFF2-40B4-BE49-F238E27FC236}">
              <a16:creationId xmlns:a16="http://schemas.microsoft.com/office/drawing/2014/main" id="{00000000-0008-0000-0800-0000E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8" name="Text Box 300">
          <a:extLst>
            <a:ext uri="{FF2B5EF4-FFF2-40B4-BE49-F238E27FC236}">
              <a16:creationId xmlns:a16="http://schemas.microsoft.com/office/drawing/2014/main" id="{00000000-0008-0000-0800-0000E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9" name="Text Box 301">
          <a:extLst>
            <a:ext uri="{FF2B5EF4-FFF2-40B4-BE49-F238E27FC236}">
              <a16:creationId xmlns:a16="http://schemas.microsoft.com/office/drawing/2014/main" id="{00000000-0008-0000-0800-0000E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0" name="Text Box 302">
          <a:extLst>
            <a:ext uri="{FF2B5EF4-FFF2-40B4-BE49-F238E27FC236}">
              <a16:creationId xmlns:a16="http://schemas.microsoft.com/office/drawing/2014/main" id="{00000000-0008-0000-0800-0000E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1" name="Text Box 303">
          <a:extLst>
            <a:ext uri="{FF2B5EF4-FFF2-40B4-BE49-F238E27FC236}">
              <a16:creationId xmlns:a16="http://schemas.microsoft.com/office/drawing/2014/main" id="{00000000-0008-0000-0800-0000E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2" name="Text Box 304">
          <a:extLst>
            <a:ext uri="{FF2B5EF4-FFF2-40B4-BE49-F238E27FC236}">
              <a16:creationId xmlns:a16="http://schemas.microsoft.com/office/drawing/2014/main" id="{00000000-0008-0000-0800-0000E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3" name="Text Box 305">
          <a:extLst>
            <a:ext uri="{FF2B5EF4-FFF2-40B4-BE49-F238E27FC236}">
              <a16:creationId xmlns:a16="http://schemas.microsoft.com/office/drawing/2014/main" id="{00000000-0008-0000-0800-0000E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4" name="Text Box 306">
          <a:extLst>
            <a:ext uri="{FF2B5EF4-FFF2-40B4-BE49-F238E27FC236}">
              <a16:creationId xmlns:a16="http://schemas.microsoft.com/office/drawing/2014/main" id="{00000000-0008-0000-0800-0000E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5" name="Text Box 307">
          <a:extLst>
            <a:ext uri="{FF2B5EF4-FFF2-40B4-BE49-F238E27FC236}">
              <a16:creationId xmlns:a16="http://schemas.microsoft.com/office/drawing/2014/main" id="{00000000-0008-0000-0800-0000E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6" name="Text Box 308">
          <a:extLst>
            <a:ext uri="{FF2B5EF4-FFF2-40B4-BE49-F238E27FC236}">
              <a16:creationId xmlns:a16="http://schemas.microsoft.com/office/drawing/2014/main" id="{00000000-0008-0000-0800-0000F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7" name="Text Box 309">
          <a:extLst>
            <a:ext uri="{FF2B5EF4-FFF2-40B4-BE49-F238E27FC236}">
              <a16:creationId xmlns:a16="http://schemas.microsoft.com/office/drawing/2014/main" id="{00000000-0008-0000-0800-0000F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8" name="Text Box 310">
          <a:extLst>
            <a:ext uri="{FF2B5EF4-FFF2-40B4-BE49-F238E27FC236}">
              <a16:creationId xmlns:a16="http://schemas.microsoft.com/office/drawing/2014/main" id="{00000000-0008-0000-0800-0000F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9" name="Text Box 311">
          <a:extLst>
            <a:ext uri="{FF2B5EF4-FFF2-40B4-BE49-F238E27FC236}">
              <a16:creationId xmlns:a16="http://schemas.microsoft.com/office/drawing/2014/main" id="{00000000-0008-0000-0800-0000F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0" name="Text Box 312">
          <a:extLst>
            <a:ext uri="{FF2B5EF4-FFF2-40B4-BE49-F238E27FC236}">
              <a16:creationId xmlns:a16="http://schemas.microsoft.com/office/drawing/2014/main" id="{00000000-0008-0000-0800-0000F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1" name="Text Box 313">
          <a:extLst>
            <a:ext uri="{FF2B5EF4-FFF2-40B4-BE49-F238E27FC236}">
              <a16:creationId xmlns:a16="http://schemas.microsoft.com/office/drawing/2014/main" id="{00000000-0008-0000-0800-0000F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2" name="Text Box 314">
          <a:extLst>
            <a:ext uri="{FF2B5EF4-FFF2-40B4-BE49-F238E27FC236}">
              <a16:creationId xmlns:a16="http://schemas.microsoft.com/office/drawing/2014/main" id="{00000000-0008-0000-0800-0000F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3" name="Text Box 315">
          <a:extLst>
            <a:ext uri="{FF2B5EF4-FFF2-40B4-BE49-F238E27FC236}">
              <a16:creationId xmlns:a16="http://schemas.microsoft.com/office/drawing/2014/main" id="{00000000-0008-0000-0800-0000F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4" name="Text Box 316">
          <a:extLst>
            <a:ext uri="{FF2B5EF4-FFF2-40B4-BE49-F238E27FC236}">
              <a16:creationId xmlns:a16="http://schemas.microsoft.com/office/drawing/2014/main" id="{00000000-0008-0000-0800-0000F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5" name="Text Box 317">
          <a:extLst>
            <a:ext uri="{FF2B5EF4-FFF2-40B4-BE49-F238E27FC236}">
              <a16:creationId xmlns:a16="http://schemas.microsoft.com/office/drawing/2014/main" id="{00000000-0008-0000-0800-0000F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6" name="Text Box 318">
          <a:extLst>
            <a:ext uri="{FF2B5EF4-FFF2-40B4-BE49-F238E27FC236}">
              <a16:creationId xmlns:a16="http://schemas.microsoft.com/office/drawing/2014/main" id="{00000000-0008-0000-0800-0000F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7" name="Text Box 319">
          <a:extLst>
            <a:ext uri="{FF2B5EF4-FFF2-40B4-BE49-F238E27FC236}">
              <a16:creationId xmlns:a16="http://schemas.microsoft.com/office/drawing/2014/main" id="{00000000-0008-0000-0800-0000F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8" name="Text Box 320">
          <a:extLst>
            <a:ext uri="{FF2B5EF4-FFF2-40B4-BE49-F238E27FC236}">
              <a16:creationId xmlns:a16="http://schemas.microsoft.com/office/drawing/2014/main" id="{00000000-0008-0000-0800-0000F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29" name="Text Box 28">
          <a:extLst>
            <a:ext uri="{FF2B5EF4-FFF2-40B4-BE49-F238E27FC236}">
              <a16:creationId xmlns:a16="http://schemas.microsoft.com/office/drawing/2014/main" id="{00000000-0008-0000-0800-0000F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0" name="Text Box 29">
          <a:extLst>
            <a:ext uri="{FF2B5EF4-FFF2-40B4-BE49-F238E27FC236}">
              <a16:creationId xmlns:a16="http://schemas.microsoft.com/office/drawing/2014/main" id="{00000000-0008-0000-0800-0000F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1" name="Text Box 30">
          <a:extLst>
            <a:ext uri="{FF2B5EF4-FFF2-40B4-BE49-F238E27FC236}">
              <a16:creationId xmlns:a16="http://schemas.microsoft.com/office/drawing/2014/main" id="{00000000-0008-0000-0800-0000F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2" name="Text Box 31">
          <a:extLst>
            <a:ext uri="{FF2B5EF4-FFF2-40B4-BE49-F238E27FC236}">
              <a16:creationId xmlns:a16="http://schemas.microsoft.com/office/drawing/2014/main" id="{00000000-0008-0000-0800-00000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3" name="Text Box 32">
          <a:extLst>
            <a:ext uri="{FF2B5EF4-FFF2-40B4-BE49-F238E27FC236}">
              <a16:creationId xmlns:a16="http://schemas.microsoft.com/office/drawing/2014/main" id="{00000000-0008-0000-0800-00000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4" name="Text Box 33">
          <a:extLst>
            <a:ext uri="{FF2B5EF4-FFF2-40B4-BE49-F238E27FC236}">
              <a16:creationId xmlns:a16="http://schemas.microsoft.com/office/drawing/2014/main" id="{00000000-0008-0000-0800-00000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5" name="Text Box 34">
          <a:extLst>
            <a:ext uri="{FF2B5EF4-FFF2-40B4-BE49-F238E27FC236}">
              <a16:creationId xmlns:a16="http://schemas.microsoft.com/office/drawing/2014/main" id="{00000000-0008-0000-0800-00000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6" name="Text Box 35">
          <a:extLst>
            <a:ext uri="{FF2B5EF4-FFF2-40B4-BE49-F238E27FC236}">
              <a16:creationId xmlns:a16="http://schemas.microsoft.com/office/drawing/2014/main" id="{00000000-0008-0000-0800-00000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7" name="Text Box 36">
          <a:extLst>
            <a:ext uri="{FF2B5EF4-FFF2-40B4-BE49-F238E27FC236}">
              <a16:creationId xmlns:a16="http://schemas.microsoft.com/office/drawing/2014/main" id="{00000000-0008-0000-0800-00000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8" name="Text Box 37">
          <a:extLst>
            <a:ext uri="{FF2B5EF4-FFF2-40B4-BE49-F238E27FC236}">
              <a16:creationId xmlns:a16="http://schemas.microsoft.com/office/drawing/2014/main" id="{00000000-0008-0000-0800-00000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9" name="Text Box 38">
          <a:extLst>
            <a:ext uri="{FF2B5EF4-FFF2-40B4-BE49-F238E27FC236}">
              <a16:creationId xmlns:a16="http://schemas.microsoft.com/office/drawing/2014/main" id="{00000000-0008-0000-0800-00000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0" name="Text Box 39">
          <a:extLst>
            <a:ext uri="{FF2B5EF4-FFF2-40B4-BE49-F238E27FC236}">
              <a16:creationId xmlns:a16="http://schemas.microsoft.com/office/drawing/2014/main" id="{00000000-0008-0000-0800-00000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1" name="Text Box 40">
          <a:extLst>
            <a:ext uri="{FF2B5EF4-FFF2-40B4-BE49-F238E27FC236}">
              <a16:creationId xmlns:a16="http://schemas.microsoft.com/office/drawing/2014/main" id="{00000000-0008-0000-0800-00000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2" name="Text Box 41">
          <a:extLst>
            <a:ext uri="{FF2B5EF4-FFF2-40B4-BE49-F238E27FC236}">
              <a16:creationId xmlns:a16="http://schemas.microsoft.com/office/drawing/2014/main" id="{00000000-0008-0000-0800-00000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3" name="Text Box 42">
          <a:extLst>
            <a:ext uri="{FF2B5EF4-FFF2-40B4-BE49-F238E27FC236}">
              <a16:creationId xmlns:a16="http://schemas.microsoft.com/office/drawing/2014/main" id="{00000000-0008-0000-0800-00000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4" name="Text Box 43">
          <a:extLst>
            <a:ext uri="{FF2B5EF4-FFF2-40B4-BE49-F238E27FC236}">
              <a16:creationId xmlns:a16="http://schemas.microsoft.com/office/drawing/2014/main" id="{00000000-0008-0000-0800-00000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5" name="Text Box 44">
          <a:extLst>
            <a:ext uri="{FF2B5EF4-FFF2-40B4-BE49-F238E27FC236}">
              <a16:creationId xmlns:a16="http://schemas.microsoft.com/office/drawing/2014/main" id="{00000000-0008-0000-0800-00000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6" name="Text Box 45">
          <a:extLst>
            <a:ext uri="{FF2B5EF4-FFF2-40B4-BE49-F238E27FC236}">
              <a16:creationId xmlns:a16="http://schemas.microsoft.com/office/drawing/2014/main" id="{00000000-0008-0000-0800-00000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7" name="Text Box 46">
          <a:extLst>
            <a:ext uri="{FF2B5EF4-FFF2-40B4-BE49-F238E27FC236}">
              <a16:creationId xmlns:a16="http://schemas.microsoft.com/office/drawing/2014/main" id="{00000000-0008-0000-0800-00000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8" name="Text Box 47">
          <a:extLst>
            <a:ext uri="{FF2B5EF4-FFF2-40B4-BE49-F238E27FC236}">
              <a16:creationId xmlns:a16="http://schemas.microsoft.com/office/drawing/2014/main" id="{00000000-0008-0000-0800-00001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9" name="Text Box 48">
          <a:extLst>
            <a:ext uri="{FF2B5EF4-FFF2-40B4-BE49-F238E27FC236}">
              <a16:creationId xmlns:a16="http://schemas.microsoft.com/office/drawing/2014/main" id="{00000000-0008-0000-0800-00001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0" name="Text Box 49">
          <a:extLst>
            <a:ext uri="{FF2B5EF4-FFF2-40B4-BE49-F238E27FC236}">
              <a16:creationId xmlns:a16="http://schemas.microsoft.com/office/drawing/2014/main" id="{00000000-0008-0000-0800-00001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1" name="Text Box 50">
          <a:extLst>
            <a:ext uri="{FF2B5EF4-FFF2-40B4-BE49-F238E27FC236}">
              <a16:creationId xmlns:a16="http://schemas.microsoft.com/office/drawing/2014/main" id="{00000000-0008-0000-0800-00001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2" name="Text Box 51">
          <a:extLst>
            <a:ext uri="{FF2B5EF4-FFF2-40B4-BE49-F238E27FC236}">
              <a16:creationId xmlns:a16="http://schemas.microsoft.com/office/drawing/2014/main" id="{00000000-0008-0000-0800-00001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3" name="Text Box 52">
          <a:extLst>
            <a:ext uri="{FF2B5EF4-FFF2-40B4-BE49-F238E27FC236}">
              <a16:creationId xmlns:a16="http://schemas.microsoft.com/office/drawing/2014/main" id="{00000000-0008-0000-0800-00001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4" name="Text Box 53">
          <a:extLst>
            <a:ext uri="{FF2B5EF4-FFF2-40B4-BE49-F238E27FC236}">
              <a16:creationId xmlns:a16="http://schemas.microsoft.com/office/drawing/2014/main" id="{00000000-0008-0000-0800-00001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5" name="Text Box 54">
          <a:extLst>
            <a:ext uri="{FF2B5EF4-FFF2-40B4-BE49-F238E27FC236}">
              <a16:creationId xmlns:a16="http://schemas.microsoft.com/office/drawing/2014/main" id="{00000000-0008-0000-0800-00001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6" name="Text Box 55">
          <a:extLst>
            <a:ext uri="{FF2B5EF4-FFF2-40B4-BE49-F238E27FC236}">
              <a16:creationId xmlns:a16="http://schemas.microsoft.com/office/drawing/2014/main" id="{00000000-0008-0000-0800-00001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7" name="Text Box 56">
          <a:extLst>
            <a:ext uri="{FF2B5EF4-FFF2-40B4-BE49-F238E27FC236}">
              <a16:creationId xmlns:a16="http://schemas.microsoft.com/office/drawing/2014/main" id="{00000000-0008-0000-0800-00001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8" name="Text Box 57">
          <a:extLst>
            <a:ext uri="{FF2B5EF4-FFF2-40B4-BE49-F238E27FC236}">
              <a16:creationId xmlns:a16="http://schemas.microsoft.com/office/drawing/2014/main" id="{00000000-0008-0000-0800-00001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9" name="Text Box 58">
          <a:extLst>
            <a:ext uri="{FF2B5EF4-FFF2-40B4-BE49-F238E27FC236}">
              <a16:creationId xmlns:a16="http://schemas.microsoft.com/office/drawing/2014/main" id="{00000000-0008-0000-0800-00001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0" name="Text Box 59">
          <a:extLst>
            <a:ext uri="{FF2B5EF4-FFF2-40B4-BE49-F238E27FC236}">
              <a16:creationId xmlns:a16="http://schemas.microsoft.com/office/drawing/2014/main" id="{00000000-0008-0000-0800-00001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1" name="Text Box 60">
          <a:extLst>
            <a:ext uri="{FF2B5EF4-FFF2-40B4-BE49-F238E27FC236}">
              <a16:creationId xmlns:a16="http://schemas.microsoft.com/office/drawing/2014/main" id="{00000000-0008-0000-0800-00001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2" name="Text Box 61">
          <a:extLst>
            <a:ext uri="{FF2B5EF4-FFF2-40B4-BE49-F238E27FC236}">
              <a16:creationId xmlns:a16="http://schemas.microsoft.com/office/drawing/2014/main" id="{00000000-0008-0000-0800-00001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3" name="Text Box 62">
          <a:extLst>
            <a:ext uri="{FF2B5EF4-FFF2-40B4-BE49-F238E27FC236}">
              <a16:creationId xmlns:a16="http://schemas.microsoft.com/office/drawing/2014/main" id="{00000000-0008-0000-0800-00001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4" name="Text Box 63">
          <a:extLst>
            <a:ext uri="{FF2B5EF4-FFF2-40B4-BE49-F238E27FC236}">
              <a16:creationId xmlns:a16="http://schemas.microsoft.com/office/drawing/2014/main" id="{00000000-0008-0000-0800-00002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5" name="Text Box 64">
          <a:extLst>
            <a:ext uri="{FF2B5EF4-FFF2-40B4-BE49-F238E27FC236}">
              <a16:creationId xmlns:a16="http://schemas.microsoft.com/office/drawing/2014/main" id="{00000000-0008-0000-0800-00002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6" name="Text Box 65">
          <a:extLst>
            <a:ext uri="{FF2B5EF4-FFF2-40B4-BE49-F238E27FC236}">
              <a16:creationId xmlns:a16="http://schemas.microsoft.com/office/drawing/2014/main" id="{00000000-0008-0000-0800-00002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7" name="Text Box 66">
          <a:extLst>
            <a:ext uri="{FF2B5EF4-FFF2-40B4-BE49-F238E27FC236}">
              <a16:creationId xmlns:a16="http://schemas.microsoft.com/office/drawing/2014/main" id="{00000000-0008-0000-0800-00002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8" name="Text Box 67">
          <a:extLst>
            <a:ext uri="{FF2B5EF4-FFF2-40B4-BE49-F238E27FC236}">
              <a16:creationId xmlns:a16="http://schemas.microsoft.com/office/drawing/2014/main" id="{00000000-0008-0000-0800-00002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9" name="Text Box 68">
          <a:extLst>
            <a:ext uri="{FF2B5EF4-FFF2-40B4-BE49-F238E27FC236}">
              <a16:creationId xmlns:a16="http://schemas.microsoft.com/office/drawing/2014/main" id="{00000000-0008-0000-0800-00002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0" name="Text Box 69">
          <a:extLst>
            <a:ext uri="{FF2B5EF4-FFF2-40B4-BE49-F238E27FC236}">
              <a16:creationId xmlns:a16="http://schemas.microsoft.com/office/drawing/2014/main" id="{00000000-0008-0000-0800-00002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1" name="Text Box 70">
          <a:extLst>
            <a:ext uri="{FF2B5EF4-FFF2-40B4-BE49-F238E27FC236}">
              <a16:creationId xmlns:a16="http://schemas.microsoft.com/office/drawing/2014/main" id="{00000000-0008-0000-0800-00002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2" name="Text Box 71">
          <a:extLst>
            <a:ext uri="{FF2B5EF4-FFF2-40B4-BE49-F238E27FC236}">
              <a16:creationId xmlns:a16="http://schemas.microsoft.com/office/drawing/2014/main" id="{00000000-0008-0000-0800-00002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3" name="Text Box 72">
          <a:extLst>
            <a:ext uri="{FF2B5EF4-FFF2-40B4-BE49-F238E27FC236}">
              <a16:creationId xmlns:a16="http://schemas.microsoft.com/office/drawing/2014/main" id="{00000000-0008-0000-0800-00002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4" name="Text Box 73">
          <a:extLst>
            <a:ext uri="{FF2B5EF4-FFF2-40B4-BE49-F238E27FC236}">
              <a16:creationId xmlns:a16="http://schemas.microsoft.com/office/drawing/2014/main" id="{00000000-0008-0000-0800-00002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5" name="Text Box 74">
          <a:extLst>
            <a:ext uri="{FF2B5EF4-FFF2-40B4-BE49-F238E27FC236}">
              <a16:creationId xmlns:a16="http://schemas.microsoft.com/office/drawing/2014/main" id="{00000000-0008-0000-0800-00002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6" name="Text Box 75">
          <a:extLst>
            <a:ext uri="{FF2B5EF4-FFF2-40B4-BE49-F238E27FC236}">
              <a16:creationId xmlns:a16="http://schemas.microsoft.com/office/drawing/2014/main" id="{00000000-0008-0000-0800-00002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7" name="Text Box 76">
          <a:extLst>
            <a:ext uri="{FF2B5EF4-FFF2-40B4-BE49-F238E27FC236}">
              <a16:creationId xmlns:a16="http://schemas.microsoft.com/office/drawing/2014/main" id="{00000000-0008-0000-0800-00002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8" name="Text Box 77">
          <a:extLst>
            <a:ext uri="{FF2B5EF4-FFF2-40B4-BE49-F238E27FC236}">
              <a16:creationId xmlns:a16="http://schemas.microsoft.com/office/drawing/2014/main" id="{00000000-0008-0000-0800-00002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9" name="Text Box 78">
          <a:extLst>
            <a:ext uri="{FF2B5EF4-FFF2-40B4-BE49-F238E27FC236}">
              <a16:creationId xmlns:a16="http://schemas.microsoft.com/office/drawing/2014/main" id="{00000000-0008-0000-0800-00002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0" name="Text Box 79">
          <a:extLst>
            <a:ext uri="{FF2B5EF4-FFF2-40B4-BE49-F238E27FC236}">
              <a16:creationId xmlns:a16="http://schemas.microsoft.com/office/drawing/2014/main" id="{00000000-0008-0000-0800-00003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1" name="Text Box 80">
          <a:extLst>
            <a:ext uri="{FF2B5EF4-FFF2-40B4-BE49-F238E27FC236}">
              <a16:creationId xmlns:a16="http://schemas.microsoft.com/office/drawing/2014/main" id="{00000000-0008-0000-0800-00003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2" name="Text Box 81">
          <a:extLst>
            <a:ext uri="{FF2B5EF4-FFF2-40B4-BE49-F238E27FC236}">
              <a16:creationId xmlns:a16="http://schemas.microsoft.com/office/drawing/2014/main" id="{00000000-0008-0000-0800-00003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3" name="Text Box 82">
          <a:extLst>
            <a:ext uri="{FF2B5EF4-FFF2-40B4-BE49-F238E27FC236}">
              <a16:creationId xmlns:a16="http://schemas.microsoft.com/office/drawing/2014/main" id="{00000000-0008-0000-0800-00003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4" name="Text Box 83">
          <a:extLst>
            <a:ext uri="{FF2B5EF4-FFF2-40B4-BE49-F238E27FC236}">
              <a16:creationId xmlns:a16="http://schemas.microsoft.com/office/drawing/2014/main" id="{00000000-0008-0000-0800-00003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5" name="Text Box 84">
          <a:extLst>
            <a:ext uri="{FF2B5EF4-FFF2-40B4-BE49-F238E27FC236}">
              <a16:creationId xmlns:a16="http://schemas.microsoft.com/office/drawing/2014/main" id="{00000000-0008-0000-0800-00003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6" name="Text Box 85">
          <a:extLst>
            <a:ext uri="{FF2B5EF4-FFF2-40B4-BE49-F238E27FC236}">
              <a16:creationId xmlns:a16="http://schemas.microsoft.com/office/drawing/2014/main" id="{00000000-0008-0000-0800-00003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7" name="Text Box 86">
          <a:extLst>
            <a:ext uri="{FF2B5EF4-FFF2-40B4-BE49-F238E27FC236}">
              <a16:creationId xmlns:a16="http://schemas.microsoft.com/office/drawing/2014/main" id="{00000000-0008-0000-0800-00003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8" name="Text Box 87">
          <a:extLst>
            <a:ext uri="{FF2B5EF4-FFF2-40B4-BE49-F238E27FC236}">
              <a16:creationId xmlns:a16="http://schemas.microsoft.com/office/drawing/2014/main" id="{00000000-0008-0000-0800-00003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9" name="Text Box 88">
          <a:extLst>
            <a:ext uri="{FF2B5EF4-FFF2-40B4-BE49-F238E27FC236}">
              <a16:creationId xmlns:a16="http://schemas.microsoft.com/office/drawing/2014/main" id="{00000000-0008-0000-0800-00003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0" name="Text Box 89">
          <a:extLst>
            <a:ext uri="{FF2B5EF4-FFF2-40B4-BE49-F238E27FC236}">
              <a16:creationId xmlns:a16="http://schemas.microsoft.com/office/drawing/2014/main" id="{00000000-0008-0000-0800-00003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1" name="Text Box 90">
          <a:extLst>
            <a:ext uri="{FF2B5EF4-FFF2-40B4-BE49-F238E27FC236}">
              <a16:creationId xmlns:a16="http://schemas.microsoft.com/office/drawing/2014/main" id="{00000000-0008-0000-0800-00003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2" name="Text Box 91">
          <a:extLst>
            <a:ext uri="{FF2B5EF4-FFF2-40B4-BE49-F238E27FC236}">
              <a16:creationId xmlns:a16="http://schemas.microsoft.com/office/drawing/2014/main" id="{00000000-0008-0000-0800-00003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3" name="Text Box 92">
          <a:extLst>
            <a:ext uri="{FF2B5EF4-FFF2-40B4-BE49-F238E27FC236}">
              <a16:creationId xmlns:a16="http://schemas.microsoft.com/office/drawing/2014/main" id="{00000000-0008-0000-0800-00003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4" name="Text Box 93">
          <a:extLst>
            <a:ext uri="{FF2B5EF4-FFF2-40B4-BE49-F238E27FC236}">
              <a16:creationId xmlns:a16="http://schemas.microsoft.com/office/drawing/2014/main" id="{00000000-0008-0000-0800-00003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5" name="Text Box 94">
          <a:extLst>
            <a:ext uri="{FF2B5EF4-FFF2-40B4-BE49-F238E27FC236}">
              <a16:creationId xmlns:a16="http://schemas.microsoft.com/office/drawing/2014/main" id="{00000000-0008-0000-0800-00003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6" name="Text Box 95">
          <a:extLst>
            <a:ext uri="{FF2B5EF4-FFF2-40B4-BE49-F238E27FC236}">
              <a16:creationId xmlns:a16="http://schemas.microsoft.com/office/drawing/2014/main" id="{00000000-0008-0000-0800-00004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7" name="Text Box 96">
          <a:extLst>
            <a:ext uri="{FF2B5EF4-FFF2-40B4-BE49-F238E27FC236}">
              <a16:creationId xmlns:a16="http://schemas.microsoft.com/office/drawing/2014/main" id="{00000000-0008-0000-0800-00004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8" name="Text Box 97">
          <a:extLst>
            <a:ext uri="{FF2B5EF4-FFF2-40B4-BE49-F238E27FC236}">
              <a16:creationId xmlns:a16="http://schemas.microsoft.com/office/drawing/2014/main" id="{00000000-0008-0000-0800-00004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99" name="Text Box 100">
          <a:extLst>
            <a:ext uri="{FF2B5EF4-FFF2-40B4-BE49-F238E27FC236}">
              <a16:creationId xmlns:a16="http://schemas.microsoft.com/office/drawing/2014/main" id="{00000000-0008-0000-0800-00004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0" name="Text Box 101">
          <a:extLst>
            <a:ext uri="{FF2B5EF4-FFF2-40B4-BE49-F238E27FC236}">
              <a16:creationId xmlns:a16="http://schemas.microsoft.com/office/drawing/2014/main" id="{00000000-0008-0000-0800-00004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1" name="Text Box 102">
          <a:extLst>
            <a:ext uri="{FF2B5EF4-FFF2-40B4-BE49-F238E27FC236}">
              <a16:creationId xmlns:a16="http://schemas.microsoft.com/office/drawing/2014/main" id="{00000000-0008-0000-0800-00004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2" name="Text Box 103">
          <a:extLst>
            <a:ext uri="{FF2B5EF4-FFF2-40B4-BE49-F238E27FC236}">
              <a16:creationId xmlns:a16="http://schemas.microsoft.com/office/drawing/2014/main" id="{00000000-0008-0000-0800-00004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3" name="Text Box 104">
          <a:extLst>
            <a:ext uri="{FF2B5EF4-FFF2-40B4-BE49-F238E27FC236}">
              <a16:creationId xmlns:a16="http://schemas.microsoft.com/office/drawing/2014/main" id="{00000000-0008-0000-0800-00004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4" name="Text Box 105">
          <a:extLst>
            <a:ext uri="{FF2B5EF4-FFF2-40B4-BE49-F238E27FC236}">
              <a16:creationId xmlns:a16="http://schemas.microsoft.com/office/drawing/2014/main" id="{00000000-0008-0000-0800-00004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5" name="Text Box 106">
          <a:extLst>
            <a:ext uri="{FF2B5EF4-FFF2-40B4-BE49-F238E27FC236}">
              <a16:creationId xmlns:a16="http://schemas.microsoft.com/office/drawing/2014/main" id="{00000000-0008-0000-0800-00004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6" name="Text Box 107">
          <a:extLst>
            <a:ext uri="{FF2B5EF4-FFF2-40B4-BE49-F238E27FC236}">
              <a16:creationId xmlns:a16="http://schemas.microsoft.com/office/drawing/2014/main" id="{00000000-0008-0000-0800-00004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7" name="Text Box 108">
          <a:extLst>
            <a:ext uri="{FF2B5EF4-FFF2-40B4-BE49-F238E27FC236}">
              <a16:creationId xmlns:a16="http://schemas.microsoft.com/office/drawing/2014/main" id="{00000000-0008-0000-0800-00004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8" name="Text Box 109">
          <a:extLst>
            <a:ext uri="{FF2B5EF4-FFF2-40B4-BE49-F238E27FC236}">
              <a16:creationId xmlns:a16="http://schemas.microsoft.com/office/drawing/2014/main" id="{00000000-0008-0000-0800-00004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9" name="Text Box 110">
          <a:extLst>
            <a:ext uri="{FF2B5EF4-FFF2-40B4-BE49-F238E27FC236}">
              <a16:creationId xmlns:a16="http://schemas.microsoft.com/office/drawing/2014/main" id="{00000000-0008-0000-0800-00004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0" name="Text Box 111">
          <a:extLst>
            <a:ext uri="{FF2B5EF4-FFF2-40B4-BE49-F238E27FC236}">
              <a16:creationId xmlns:a16="http://schemas.microsoft.com/office/drawing/2014/main" id="{00000000-0008-0000-0800-00004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1" name="Text Box 119">
          <a:extLst>
            <a:ext uri="{FF2B5EF4-FFF2-40B4-BE49-F238E27FC236}">
              <a16:creationId xmlns:a16="http://schemas.microsoft.com/office/drawing/2014/main" id="{00000000-0008-0000-0800-00004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2" name="Text Box 120">
          <a:extLst>
            <a:ext uri="{FF2B5EF4-FFF2-40B4-BE49-F238E27FC236}">
              <a16:creationId xmlns:a16="http://schemas.microsoft.com/office/drawing/2014/main" id="{00000000-0008-0000-0800-00005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3" name="Text Box 121">
          <a:extLst>
            <a:ext uri="{FF2B5EF4-FFF2-40B4-BE49-F238E27FC236}">
              <a16:creationId xmlns:a16="http://schemas.microsoft.com/office/drawing/2014/main" id="{00000000-0008-0000-0800-00005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4" name="Text Box 122">
          <a:extLst>
            <a:ext uri="{FF2B5EF4-FFF2-40B4-BE49-F238E27FC236}">
              <a16:creationId xmlns:a16="http://schemas.microsoft.com/office/drawing/2014/main" id="{00000000-0008-0000-0800-00005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5" name="Text Box 123">
          <a:extLst>
            <a:ext uri="{FF2B5EF4-FFF2-40B4-BE49-F238E27FC236}">
              <a16:creationId xmlns:a16="http://schemas.microsoft.com/office/drawing/2014/main" id="{00000000-0008-0000-0800-00005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6" name="Text Box 124">
          <a:extLst>
            <a:ext uri="{FF2B5EF4-FFF2-40B4-BE49-F238E27FC236}">
              <a16:creationId xmlns:a16="http://schemas.microsoft.com/office/drawing/2014/main" id="{00000000-0008-0000-0800-00005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7" name="Text Box 125">
          <a:extLst>
            <a:ext uri="{FF2B5EF4-FFF2-40B4-BE49-F238E27FC236}">
              <a16:creationId xmlns:a16="http://schemas.microsoft.com/office/drawing/2014/main" id="{00000000-0008-0000-0800-00005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8" name="Text Box 126">
          <a:extLst>
            <a:ext uri="{FF2B5EF4-FFF2-40B4-BE49-F238E27FC236}">
              <a16:creationId xmlns:a16="http://schemas.microsoft.com/office/drawing/2014/main" id="{00000000-0008-0000-0800-00005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9" name="Text Box 127">
          <a:extLst>
            <a:ext uri="{FF2B5EF4-FFF2-40B4-BE49-F238E27FC236}">
              <a16:creationId xmlns:a16="http://schemas.microsoft.com/office/drawing/2014/main" id="{00000000-0008-0000-0800-00005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0" name="Text Box 128">
          <a:extLst>
            <a:ext uri="{FF2B5EF4-FFF2-40B4-BE49-F238E27FC236}">
              <a16:creationId xmlns:a16="http://schemas.microsoft.com/office/drawing/2014/main" id="{00000000-0008-0000-0800-00005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1" name="Text Box 129">
          <a:extLst>
            <a:ext uri="{FF2B5EF4-FFF2-40B4-BE49-F238E27FC236}">
              <a16:creationId xmlns:a16="http://schemas.microsoft.com/office/drawing/2014/main" id="{00000000-0008-0000-0800-00005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2" name="Text Box 130">
          <a:extLst>
            <a:ext uri="{FF2B5EF4-FFF2-40B4-BE49-F238E27FC236}">
              <a16:creationId xmlns:a16="http://schemas.microsoft.com/office/drawing/2014/main" id="{00000000-0008-0000-0800-00005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3" name="Text Box 133">
          <a:extLst>
            <a:ext uri="{FF2B5EF4-FFF2-40B4-BE49-F238E27FC236}">
              <a16:creationId xmlns:a16="http://schemas.microsoft.com/office/drawing/2014/main" id="{00000000-0008-0000-0800-00005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4" name="Text Box 134">
          <a:extLst>
            <a:ext uri="{FF2B5EF4-FFF2-40B4-BE49-F238E27FC236}">
              <a16:creationId xmlns:a16="http://schemas.microsoft.com/office/drawing/2014/main" id="{00000000-0008-0000-0800-00005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5" name="Text Box 135">
          <a:extLst>
            <a:ext uri="{FF2B5EF4-FFF2-40B4-BE49-F238E27FC236}">
              <a16:creationId xmlns:a16="http://schemas.microsoft.com/office/drawing/2014/main" id="{00000000-0008-0000-0800-00005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6" name="Text Box 136">
          <a:extLst>
            <a:ext uri="{FF2B5EF4-FFF2-40B4-BE49-F238E27FC236}">
              <a16:creationId xmlns:a16="http://schemas.microsoft.com/office/drawing/2014/main" id="{00000000-0008-0000-0800-00005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7" name="Text Box 137">
          <a:extLst>
            <a:ext uri="{FF2B5EF4-FFF2-40B4-BE49-F238E27FC236}">
              <a16:creationId xmlns:a16="http://schemas.microsoft.com/office/drawing/2014/main" id="{00000000-0008-0000-0800-00005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8" name="Text Box 138">
          <a:extLst>
            <a:ext uri="{FF2B5EF4-FFF2-40B4-BE49-F238E27FC236}">
              <a16:creationId xmlns:a16="http://schemas.microsoft.com/office/drawing/2014/main" id="{00000000-0008-0000-0800-00006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9" name="Text Box 139">
          <a:extLst>
            <a:ext uri="{FF2B5EF4-FFF2-40B4-BE49-F238E27FC236}">
              <a16:creationId xmlns:a16="http://schemas.microsoft.com/office/drawing/2014/main" id="{00000000-0008-0000-0800-00006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0" name="Text Box 140">
          <a:extLst>
            <a:ext uri="{FF2B5EF4-FFF2-40B4-BE49-F238E27FC236}">
              <a16:creationId xmlns:a16="http://schemas.microsoft.com/office/drawing/2014/main" id="{00000000-0008-0000-0800-00006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1" name="Text Box 141">
          <a:extLst>
            <a:ext uri="{FF2B5EF4-FFF2-40B4-BE49-F238E27FC236}">
              <a16:creationId xmlns:a16="http://schemas.microsoft.com/office/drawing/2014/main" id="{00000000-0008-0000-0800-00006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2" name="Text Box 142">
          <a:extLst>
            <a:ext uri="{FF2B5EF4-FFF2-40B4-BE49-F238E27FC236}">
              <a16:creationId xmlns:a16="http://schemas.microsoft.com/office/drawing/2014/main" id="{00000000-0008-0000-0800-00006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3" name="Text Box 143">
          <a:extLst>
            <a:ext uri="{FF2B5EF4-FFF2-40B4-BE49-F238E27FC236}">
              <a16:creationId xmlns:a16="http://schemas.microsoft.com/office/drawing/2014/main" id="{00000000-0008-0000-0800-00006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4" name="Text Box 144">
          <a:extLst>
            <a:ext uri="{FF2B5EF4-FFF2-40B4-BE49-F238E27FC236}">
              <a16:creationId xmlns:a16="http://schemas.microsoft.com/office/drawing/2014/main" id="{00000000-0008-0000-0800-00006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5" name="Text Box 145">
          <a:extLst>
            <a:ext uri="{FF2B5EF4-FFF2-40B4-BE49-F238E27FC236}">
              <a16:creationId xmlns:a16="http://schemas.microsoft.com/office/drawing/2014/main" id="{00000000-0008-0000-0800-00006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6" name="Text Box 146">
          <a:extLst>
            <a:ext uri="{FF2B5EF4-FFF2-40B4-BE49-F238E27FC236}">
              <a16:creationId xmlns:a16="http://schemas.microsoft.com/office/drawing/2014/main" id="{00000000-0008-0000-0800-00006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7" name="Text Box 147">
          <a:extLst>
            <a:ext uri="{FF2B5EF4-FFF2-40B4-BE49-F238E27FC236}">
              <a16:creationId xmlns:a16="http://schemas.microsoft.com/office/drawing/2014/main" id="{00000000-0008-0000-0800-00006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8" name="Text Box 148">
          <a:extLst>
            <a:ext uri="{FF2B5EF4-FFF2-40B4-BE49-F238E27FC236}">
              <a16:creationId xmlns:a16="http://schemas.microsoft.com/office/drawing/2014/main" id="{00000000-0008-0000-0800-00006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9" name="Text Box 149">
          <a:extLst>
            <a:ext uri="{FF2B5EF4-FFF2-40B4-BE49-F238E27FC236}">
              <a16:creationId xmlns:a16="http://schemas.microsoft.com/office/drawing/2014/main" id="{00000000-0008-0000-0800-00006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0" name="Text Box 150">
          <a:extLst>
            <a:ext uri="{FF2B5EF4-FFF2-40B4-BE49-F238E27FC236}">
              <a16:creationId xmlns:a16="http://schemas.microsoft.com/office/drawing/2014/main" id="{00000000-0008-0000-0800-00006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1" name="Text Box 151">
          <a:extLst>
            <a:ext uri="{FF2B5EF4-FFF2-40B4-BE49-F238E27FC236}">
              <a16:creationId xmlns:a16="http://schemas.microsoft.com/office/drawing/2014/main" id="{00000000-0008-0000-0800-00006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2" name="Text Box 152">
          <a:extLst>
            <a:ext uri="{FF2B5EF4-FFF2-40B4-BE49-F238E27FC236}">
              <a16:creationId xmlns:a16="http://schemas.microsoft.com/office/drawing/2014/main" id="{00000000-0008-0000-0800-00006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3" name="Text Box 153">
          <a:extLst>
            <a:ext uri="{FF2B5EF4-FFF2-40B4-BE49-F238E27FC236}">
              <a16:creationId xmlns:a16="http://schemas.microsoft.com/office/drawing/2014/main" id="{00000000-0008-0000-0800-00006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4" name="Text Box 154">
          <a:extLst>
            <a:ext uri="{FF2B5EF4-FFF2-40B4-BE49-F238E27FC236}">
              <a16:creationId xmlns:a16="http://schemas.microsoft.com/office/drawing/2014/main" id="{00000000-0008-0000-0800-00007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5" name="Text Box 155">
          <a:extLst>
            <a:ext uri="{FF2B5EF4-FFF2-40B4-BE49-F238E27FC236}">
              <a16:creationId xmlns:a16="http://schemas.microsoft.com/office/drawing/2014/main" id="{00000000-0008-0000-0800-00007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6" name="Text Box 156">
          <a:extLst>
            <a:ext uri="{FF2B5EF4-FFF2-40B4-BE49-F238E27FC236}">
              <a16:creationId xmlns:a16="http://schemas.microsoft.com/office/drawing/2014/main" id="{00000000-0008-0000-0800-00007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7" name="Text Box 157">
          <a:extLst>
            <a:ext uri="{FF2B5EF4-FFF2-40B4-BE49-F238E27FC236}">
              <a16:creationId xmlns:a16="http://schemas.microsoft.com/office/drawing/2014/main" id="{00000000-0008-0000-0800-00007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8" name="Text Box 158">
          <a:extLst>
            <a:ext uri="{FF2B5EF4-FFF2-40B4-BE49-F238E27FC236}">
              <a16:creationId xmlns:a16="http://schemas.microsoft.com/office/drawing/2014/main" id="{00000000-0008-0000-0800-00007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9" name="Text Box 159">
          <a:extLst>
            <a:ext uri="{FF2B5EF4-FFF2-40B4-BE49-F238E27FC236}">
              <a16:creationId xmlns:a16="http://schemas.microsoft.com/office/drawing/2014/main" id="{00000000-0008-0000-0800-00007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0" name="Text Box 160">
          <a:extLst>
            <a:ext uri="{FF2B5EF4-FFF2-40B4-BE49-F238E27FC236}">
              <a16:creationId xmlns:a16="http://schemas.microsoft.com/office/drawing/2014/main" id="{00000000-0008-0000-0800-00007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1" name="Text Box 161">
          <a:extLst>
            <a:ext uri="{FF2B5EF4-FFF2-40B4-BE49-F238E27FC236}">
              <a16:creationId xmlns:a16="http://schemas.microsoft.com/office/drawing/2014/main" id="{00000000-0008-0000-0800-00007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2" name="Text Box 162">
          <a:extLst>
            <a:ext uri="{FF2B5EF4-FFF2-40B4-BE49-F238E27FC236}">
              <a16:creationId xmlns:a16="http://schemas.microsoft.com/office/drawing/2014/main" id="{00000000-0008-0000-0800-00007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3" name="Text Box 163">
          <a:extLst>
            <a:ext uri="{FF2B5EF4-FFF2-40B4-BE49-F238E27FC236}">
              <a16:creationId xmlns:a16="http://schemas.microsoft.com/office/drawing/2014/main" id="{00000000-0008-0000-0800-00007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4" name="Text Box 164">
          <a:extLst>
            <a:ext uri="{FF2B5EF4-FFF2-40B4-BE49-F238E27FC236}">
              <a16:creationId xmlns:a16="http://schemas.microsoft.com/office/drawing/2014/main" id="{00000000-0008-0000-0800-00007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5" name="Text Box 165">
          <a:extLst>
            <a:ext uri="{FF2B5EF4-FFF2-40B4-BE49-F238E27FC236}">
              <a16:creationId xmlns:a16="http://schemas.microsoft.com/office/drawing/2014/main" id="{00000000-0008-0000-0800-00007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6" name="Text Box 166">
          <a:extLst>
            <a:ext uri="{FF2B5EF4-FFF2-40B4-BE49-F238E27FC236}">
              <a16:creationId xmlns:a16="http://schemas.microsoft.com/office/drawing/2014/main" id="{00000000-0008-0000-0800-00007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7" name="Text Box 167">
          <a:extLst>
            <a:ext uri="{FF2B5EF4-FFF2-40B4-BE49-F238E27FC236}">
              <a16:creationId xmlns:a16="http://schemas.microsoft.com/office/drawing/2014/main" id="{00000000-0008-0000-0800-00007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8" name="Text Box 168">
          <a:extLst>
            <a:ext uri="{FF2B5EF4-FFF2-40B4-BE49-F238E27FC236}">
              <a16:creationId xmlns:a16="http://schemas.microsoft.com/office/drawing/2014/main" id="{00000000-0008-0000-0800-00007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9" name="Text Box 169">
          <a:extLst>
            <a:ext uri="{FF2B5EF4-FFF2-40B4-BE49-F238E27FC236}">
              <a16:creationId xmlns:a16="http://schemas.microsoft.com/office/drawing/2014/main" id="{00000000-0008-0000-0800-00007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0" name="Text Box 170">
          <a:extLst>
            <a:ext uri="{FF2B5EF4-FFF2-40B4-BE49-F238E27FC236}">
              <a16:creationId xmlns:a16="http://schemas.microsoft.com/office/drawing/2014/main" id="{00000000-0008-0000-0800-00008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1" name="Text Box 171">
          <a:extLst>
            <a:ext uri="{FF2B5EF4-FFF2-40B4-BE49-F238E27FC236}">
              <a16:creationId xmlns:a16="http://schemas.microsoft.com/office/drawing/2014/main" id="{00000000-0008-0000-0800-00008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2" name="Text Box 172">
          <a:extLst>
            <a:ext uri="{FF2B5EF4-FFF2-40B4-BE49-F238E27FC236}">
              <a16:creationId xmlns:a16="http://schemas.microsoft.com/office/drawing/2014/main" id="{00000000-0008-0000-0800-00008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3" name="Text Box 173">
          <a:extLst>
            <a:ext uri="{FF2B5EF4-FFF2-40B4-BE49-F238E27FC236}">
              <a16:creationId xmlns:a16="http://schemas.microsoft.com/office/drawing/2014/main" id="{00000000-0008-0000-0800-00008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4" name="Text Box 174">
          <a:extLst>
            <a:ext uri="{FF2B5EF4-FFF2-40B4-BE49-F238E27FC236}">
              <a16:creationId xmlns:a16="http://schemas.microsoft.com/office/drawing/2014/main" id="{00000000-0008-0000-0800-00008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5" name="Text Box 175">
          <a:extLst>
            <a:ext uri="{FF2B5EF4-FFF2-40B4-BE49-F238E27FC236}">
              <a16:creationId xmlns:a16="http://schemas.microsoft.com/office/drawing/2014/main" id="{00000000-0008-0000-0800-00008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6" name="Text Box 176">
          <a:extLst>
            <a:ext uri="{FF2B5EF4-FFF2-40B4-BE49-F238E27FC236}">
              <a16:creationId xmlns:a16="http://schemas.microsoft.com/office/drawing/2014/main" id="{00000000-0008-0000-0800-00008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7" name="Text Box 177">
          <a:extLst>
            <a:ext uri="{FF2B5EF4-FFF2-40B4-BE49-F238E27FC236}">
              <a16:creationId xmlns:a16="http://schemas.microsoft.com/office/drawing/2014/main" id="{00000000-0008-0000-0800-00008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8" name="Text Box 178">
          <a:extLst>
            <a:ext uri="{FF2B5EF4-FFF2-40B4-BE49-F238E27FC236}">
              <a16:creationId xmlns:a16="http://schemas.microsoft.com/office/drawing/2014/main" id="{00000000-0008-0000-0800-00008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9" name="Text Box 179">
          <a:extLst>
            <a:ext uri="{FF2B5EF4-FFF2-40B4-BE49-F238E27FC236}">
              <a16:creationId xmlns:a16="http://schemas.microsoft.com/office/drawing/2014/main" id="{00000000-0008-0000-0800-00008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0" name="Text Box 180">
          <a:extLst>
            <a:ext uri="{FF2B5EF4-FFF2-40B4-BE49-F238E27FC236}">
              <a16:creationId xmlns:a16="http://schemas.microsoft.com/office/drawing/2014/main" id="{00000000-0008-0000-0800-00008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1" name="Text Box 181">
          <a:extLst>
            <a:ext uri="{FF2B5EF4-FFF2-40B4-BE49-F238E27FC236}">
              <a16:creationId xmlns:a16="http://schemas.microsoft.com/office/drawing/2014/main" id="{00000000-0008-0000-0800-00008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2" name="Text Box 182">
          <a:extLst>
            <a:ext uri="{FF2B5EF4-FFF2-40B4-BE49-F238E27FC236}">
              <a16:creationId xmlns:a16="http://schemas.microsoft.com/office/drawing/2014/main" id="{00000000-0008-0000-0800-00008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3" name="Text Box 183">
          <a:extLst>
            <a:ext uri="{FF2B5EF4-FFF2-40B4-BE49-F238E27FC236}">
              <a16:creationId xmlns:a16="http://schemas.microsoft.com/office/drawing/2014/main" id="{00000000-0008-0000-0800-00008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4" name="Text Box 184">
          <a:extLst>
            <a:ext uri="{FF2B5EF4-FFF2-40B4-BE49-F238E27FC236}">
              <a16:creationId xmlns:a16="http://schemas.microsoft.com/office/drawing/2014/main" id="{00000000-0008-0000-0800-00008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5" name="Text Box 185">
          <a:extLst>
            <a:ext uri="{FF2B5EF4-FFF2-40B4-BE49-F238E27FC236}">
              <a16:creationId xmlns:a16="http://schemas.microsoft.com/office/drawing/2014/main" id="{00000000-0008-0000-0800-00008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6" name="Text Box 186">
          <a:extLst>
            <a:ext uri="{FF2B5EF4-FFF2-40B4-BE49-F238E27FC236}">
              <a16:creationId xmlns:a16="http://schemas.microsoft.com/office/drawing/2014/main" id="{00000000-0008-0000-0800-00009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7" name="Text Box 187">
          <a:extLst>
            <a:ext uri="{FF2B5EF4-FFF2-40B4-BE49-F238E27FC236}">
              <a16:creationId xmlns:a16="http://schemas.microsoft.com/office/drawing/2014/main" id="{00000000-0008-0000-0800-00009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8" name="Text Box 188">
          <a:extLst>
            <a:ext uri="{FF2B5EF4-FFF2-40B4-BE49-F238E27FC236}">
              <a16:creationId xmlns:a16="http://schemas.microsoft.com/office/drawing/2014/main" id="{00000000-0008-0000-0800-00009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9" name="Text Box 189">
          <a:extLst>
            <a:ext uri="{FF2B5EF4-FFF2-40B4-BE49-F238E27FC236}">
              <a16:creationId xmlns:a16="http://schemas.microsoft.com/office/drawing/2014/main" id="{00000000-0008-0000-0800-00009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0" name="Text Box 190">
          <a:extLst>
            <a:ext uri="{FF2B5EF4-FFF2-40B4-BE49-F238E27FC236}">
              <a16:creationId xmlns:a16="http://schemas.microsoft.com/office/drawing/2014/main" id="{00000000-0008-0000-0800-00009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1" name="Text Box 191">
          <a:extLst>
            <a:ext uri="{FF2B5EF4-FFF2-40B4-BE49-F238E27FC236}">
              <a16:creationId xmlns:a16="http://schemas.microsoft.com/office/drawing/2014/main" id="{00000000-0008-0000-0800-00009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2" name="Text Box 192">
          <a:extLst>
            <a:ext uri="{FF2B5EF4-FFF2-40B4-BE49-F238E27FC236}">
              <a16:creationId xmlns:a16="http://schemas.microsoft.com/office/drawing/2014/main" id="{00000000-0008-0000-0800-00009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3" name="Text Box 193">
          <a:extLst>
            <a:ext uri="{FF2B5EF4-FFF2-40B4-BE49-F238E27FC236}">
              <a16:creationId xmlns:a16="http://schemas.microsoft.com/office/drawing/2014/main" id="{00000000-0008-0000-0800-00009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4" name="Text Box 194">
          <a:extLst>
            <a:ext uri="{FF2B5EF4-FFF2-40B4-BE49-F238E27FC236}">
              <a16:creationId xmlns:a16="http://schemas.microsoft.com/office/drawing/2014/main" id="{00000000-0008-0000-0800-00009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5" name="Text Box 195">
          <a:extLst>
            <a:ext uri="{FF2B5EF4-FFF2-40B4-BE49-F238E27FC236}">
              <a16:creationId xmlns:a16="http://schemas.microsoft.com/office/drawing/2014/main" id="{00000000-0008-0000-0800-00009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6" name="Text Box 196">
          <a:extLst>
            <a:ext uri="{FF2B5EF4-FFF2-40B4-BE49-F238E27FC236}">
              <a16:creationId xmlns:a16="http://schemas.microsoft.com/office/drawing/2014/main" id="{00000000-0008-0000-0800-00009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7" name="Text Box 197">
          <a:extLst>
            <a:ext uri="{FF2B5EF4-FFF2-40B4-BE49-F238E27FC236}">
              <a16:creationId xmlns:a16="http://schemas.microsoft.com/office/drawing/2014/main" id="{00000000-0008-0000-0800-00009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8" name="Text Box 198">
          <a:extLst>
            <a:ext uri="{FF2B5EF4-FFF2-40B4-BE49-F238E27FC236}">
              <a16:creationId xmlns:a16="http://schemas.microsoft.com/office/drawing/2014/main" id="{00000000-0008-0000-0800-00009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9" name="Text Box 199">
          <a:extLst>
            <a:ext uri="{FF2B5EF4-FFF2-40B4-BE49-F238E27FC236}">
              <a16:creationId xmlns:a16="http://schemas.microsoft.com/office/drawing/2014/main" id="{00000000-0008-0000-0800-00009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0" name="Text Box 200">
          <a:extLst>
            <a:ext uri="{FF2B5EF4-FFF2-40B4-BE49-F238E27FC236}">
              <a16:creationId xmlns:a16="http://schemas.microsoft.com/office/drawing/2014/main" id="{00000000-0008-0000-0800-00009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1" name="Text Box 201">
          <a:extLst>
            <a:ext uri="{FF2B5EF4-FFF2-40B4-BE49-F238E27FC236}">
              <a16:creationId xmlns:a16="http://schemas.microsoft.com/office/drawing/2014/main" id="{00000000-0008-0000-0800-00009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2" name="Text Box 202">
          <a:extLst>
            <a:ext uri="{FF2B5EF4-FFF2-40B4-BE49-F238E27FC236}">
              <a16:creationId xmlns:a16="http://schemas.microsoft.com/office/drawing/2014/main" id="{00000000-0008-0000-0800-0000A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3" name="Text Box 203">
          <a:extLst>
            <a:ext uri="{FF2B5EF4-FFF2-40B4-BE49-F238E27FC236}">
              <a16:creationId xmlns:a16="http://schemas.microsoft.com/office/drawing/2014/main" id="{00000000-0008-0000-0800-0000A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4" name="Text Box 204">
          <a:extLst>
            <a:ext uri="{FF2B5EF4-FFF2-40B4-BE49-F238E27FC236}">
              <a16:creationId xmlns:a16="http://schemas.microsoft.com/office/drawing/2014/main" id="{00000000-0008-0000-0800-0000A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5" name="Text Box 205">
          <a:extLst>
            <a:ext uri="{FF2B5EF4-FFF2-40B4-BE49-F238E27FC236}">
              <a16:creationId xmlns:a16="http://schemas.microsoft.com/office/drawing/2014/main" id="{00000000-0008-0000-0800-0000A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6" name="Text Box 206">
          <a:extLst>
            <a:ext uri="{FF2B5EF4-FFF2-40B4-BE49-F238E27FC236}">
              <a16:creationId xmlns:a16="http://schemas.microsoft.com/office/drawing/2014/main" id="{00000000-0008-0000-0800-0000A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7" name="Text Box 207">
          <a:extLst>
            <a:ext uri="{FF2B5EF4-FFF2-40B4-BE49-F238E27FC236}">
              <a16:creationId xmlns:a16="http://schemas.microsoft.com/office/drawing/2014/main" id="{00000000-0008-0000-0800-0000A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8" name="Text Box 208">
          <a:extLst>
            <a:ext uri="{FF2B5EF4-FFF2-40B4-BE49-F238E27FC236}">
              <a16:creationId xmlns:a16="http://schemas.microsoft.com/office/drawing/2014/main" id="{00000000-0008-0000-0800-0000A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9" name="Text Box 209">
          <a:extLst>
            <a:ext uri="{FF2B5EF4-FFF2-40B4-BE49-F238E27FC236}">
              <a16:creationId xmlns:a16="http://schemas.microsoft.com/office/drawing/2014/main" id="{00000000-0008-0000-0800-0000A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0" name="Text Box 210">
          <a:extLst>
            <a:ext uri="{FF2B5EF4-FFF2-40B4-BE49-F238E27FC236}">
              <a16:creationId xmlns:a16="http://schemas.microsoft.com/office/drawing/2014/main" id="{00000000-0008-0000-0800-0000A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1" name="Text Box 211">
          <a:extLst>
            <a:ext uri="{FF2B5EF4-FFF2-40B4-BE49-F238E27FC236}">
              <a16:creationId xmlns:a16="http://schemas.microsoft.com/office/drawing/2014/main" id="{00000000-0008-0000-0800-0000A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2" name="Text Box 212">
          <a:extLst>
            <a:ext uri="{FF2B5EF4-FFF2-40B4-BE49-F238E27FC236}">
              <a16:creationId xmlns:a16="http://schemas.microsoft.com/office/drawing/2014/main" id="{00000000-0008-0000-0800-0000A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3" name="Text Box 213">
          <a:extLst>
            <a:ext uri="{FF2B5EF4-FFF2-40B4-BE49-F238E27FC236}">
              <a16:creationId xmlns:a16="http://schemas.microsoft.com/office/drawing/2014/main" id="{00000000-0008-0000-0800-0000A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4" name="Text Box 214">
          <a:extLst>
            <a:ext uri="{FF2B5EF4-FFF2-40B4-BE49-F238E27FC236}">
              <a16:creationId xmlns:a16="http://schemas.microsoft.com/office/drawing/2014/main" id="{00000000-0008-0000-0800-0000A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5" name="Text Box 215">
          <a:extLst>
            <a:ext uri="{FF2B5EF4-FFF2-40B4-BE49-F238E27FC236}">
              <a16:creationId xmlns:a16="http://schemas.microsoft.com/office/drawing/2014/main" id="{00000000-0008-0000-0800-0000A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6" name="Text Box 216">
          <a:extLst>
            <a:ext uri="{FF2B5EF4-FFF2-40B4-BE49-F238E27FC236}">
              <a16:creationId xmlns:a16="http://schemas.microsoft.com/office/drawing/2014/main" id="{00000000-0008-0000-0800-0000A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7" name="Text Box 217">
          <a:extLst>
            <a:ext uri="{FF2B5EF4-FFF2-40B4-BE49-F238E27FC236}">
              <a16:creationId xmlns:a16="http://schemas.microsoft.com/office/drawing/2014/main" id="{00000000-0008-0000-0800-0000A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8" name="Text Box 218">
          <a:extLst>
            <a:ext uri="{FF2B5EF4-FFF2-40B4-BE49-F238E27FC236}">
              <a16:creationId xmlns:a16="http://schemas.microsoft.com/office/drawing/2014/main" id="{00000000-0008-0000-0800-0000B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9" name="Text Box 219">
          <a:extLst>
            <a:ext uri="{FF2B5EF4-FFF2-40B4-BE49-F238E27FC236}">
              <a16:creationId xmlns:a16="http://schemas.microsoft.com/office/drawing/2014/main" id="{00000000-0008-0000-0800-0000B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0" name="Text Box 220">
          <a:extLst>
            <a:ext uri="{FF2B5EF4-FFF2-40B4-BE49-F238E27FC236}">
              <a16:creationId xmlns:a16="http://schemas.microsoft.com/office/drawing/2014/main" id="{00000000-0008-0000-0800-0000B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1" name="Text Box 221">
          <a:extLst>
            <a:ext uri="{FF2B5EF4-FFF2-40B4-BE49-F238E27FC236}">
              <a16:creationId xmlns:a16="http://schemas.microsoft.com/office/drawing/2014/main" id="{00000000-0008-0000-0800-0000B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2" name="Text Box 222">
          <a:extLst>
            <a:ext uri="{FF2B5EF4-FFF2-40B4-BE49-F238E27FC236}">
              <a16:creationId xmlns:a16="http://schemas.microsoft.com/office/drawing/2014/main" id="{00000000-0008-0000-0800-0000B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3" name="Text Box 223">
          <a:extLst>
            <a:ext uri="{FF2B5EF4-FFF2-40B4-BE49-F238E27FC236}">
              <a16:creationId xmlns:a16="http://schemas.microsoft.com/office/drawing/2014/main" id="{00000000-0008-0000-0800-0000B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4" name="Text Box 224">
          <a:extLst>
            <a:ext uri="{FF2B5EF4-FFF2-40B4-BE49-F238E27FC236}">
              <a16:creationId xmlns:a16="http://schemas.microsoft.com/office/drawing/2014/main" id="{00000000-0008-0000-0800-0000B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5" name="Text Box 225">
          <a:extLst>
            <a:ext uri="{FF2B5EF4-FFF2-40B4-BE49-F238E27FC236}">
              <a16:creationId xmlns:a16="http://schemas.microsoft.com/office/drawing/2014/main" id="{00000000-0008-0000-0800-0000B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6" name="Text Box 226">
          <a:extLst>
            <a:ext uri="{FF2B5EF4-FFF2-40B4-BE49-F238E27FC236}">
              <a16:creationId xmlns:a16="http://schemas.microsoft.com/office/drawing/2014/main" id="{00000000-0008-0000-0800-0000B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7" name="Text Box 227">
          <a:extLst>
            <a:ext uri="{FF2B5EF4-FFF2-40B4-BE49-F238E27FC236}">
              <a16:creationId xmlns:a16="http://schemas.microsoft.com/office/drawing/2014/main" id="{00000000-0008-0000-0800-0000B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8" name="Text Box 228">
          <a:extLst>
            <a:ext uri="{FF2B5EF4-FFF2-40B4-BE49-F238E27FC236}">
              <a16:creationId xmlns:a16="http://schemas.microsoft.com/office/drawing/2014/main" id="{00000000-0008-0000-0800-0000B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9" name="Text Box 229">
          <a:extLst>
            <a:ext uri="{FF2B5EF4-FFF2-40B4-BE49-F238E27FC236}">
              <a16:creationId xmlns:a16="http://schemas.microsoft.com/office/drawing/2014/main" id="{00000000-0008-0000-0800-0000B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0" name="Text Box 230">
          <a:extLst>
            <a:ext uri="{FF2B5EF4-FFF2-40B4-BE49-F238E27FC236}">
              <a16:creationId xmlns:a16="http://schemas.microsoft.com/office/drawing/2014/main" id="{00000000-0008-0000-0800-0000B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1" name="Text Box 231">
          <a:extLst>
            <a:ext uri="{FF2B5EF4-FFF2-40B4-BE49-F238E27FC236}">
              <a16:creationId xmlns:a16="http://schemas.microsoft.com/office/drawing/2014/main" id="{00000000-0008-0000-0800-0000B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2" name="Text Box 232">
          <a:extLst>
            <a:ext uri="{FF2B5EF4-FFF2-40B4-BE49-F238E27FC236}">
              <a16:creationId xmlns:a16="http://schemas.microsoft.com/office/drawing/2014/main" id="{00000000-0008-0000-0800-0000B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3" name="Text Box 233">
          <a:extLst>
            <a:ext uri="{FF2B5EF4-FFF2-40B4-BE49-F238E27FC236}">
              <a16:creationId xmlns:a16="http://schemas.microsoft.com/office/drawing/2014/main" id="{00000000-0008-0000-0800-0000B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4" name="Text Box 234">
          <a:extLst>
            <a:ext uri="{FF2B5EF4-FFF2-40B4-BE49-F238E27FC236}">
              <a16:creationId xmlns:a16="http://schemas.microsoft.com/office/drawing/2014/main" id="{00000000-0008-0000-0800-0000C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5" name="Text Box 235">
          <a:extLst>
            <a:ext uri="{FF2B5EF4-FFF2-40B4-BE49-F238E27FC236}">
              <a16:creationId xmlns:a16="http://schemas.microsoft.com/office/drawing/2014/main" id="{00000000-0008-0000-0800-0000C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6" name="Text Box 236">
          <a:extLst>
            <a:ext uri="{FF2B5EF4-FFF2-40B4-BE49-F238E27FC236}">
              <a16:creationId xmlns:a16="http://schemas.microsoft.com/office/drawing/2014/main" id="{00000000-0008-0000-0800-0000C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7" name="Text Box 237">
          <a:extLst>
            <a:ext uri="{FF2B5EF4-FFF2-40B4-BE49-F238E27FC236}">
              <a16:creationId xmlns:a16="http://schemas.microsoft.com/office/drawing/2014/main" id="{00000000-0008-0000-0800-0000C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8" name="Text Box 238">
          <a:extLst>
            <a:ext uri="{FF2B5EF4-FFF2-40B4-BE49-F238E27FC236}">
              <a16:creationId xmlns:a16="http://schemas.microsoft.com/office/drawing/2014/main" id="{00000000-0008-0000-0800-0000C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9" name="Text Box 239">
          <a:extLst>
            <a:ext uri="{FF2B5EF4-FFF2-40B4-BE49-F238E27FC236}">
              <a16:creationId xmlns:a16="http://schemas.microsoft.com/office/drawing/2014/main" id="{00000000-0008-0000-0800-0000C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0" name="Text Box 240">
          <a:extLst>
            <a:ext uri="{FF2B5EF4-FFF2-40B4-BE49-F238E27FC236}">
              <a16:creationId xmlns:a16="http://schemas.microsoft.com/office/drawing/2014/main" id="{00000000-0008-0000-0800-0000C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1" name="Text Box 241">
          <a:extLst>
            <a:ext uri="{FF2B5EF4-FFF2-40B4-BE49-F238E27FC236}">
              <a16:creationId xmlns:a16="http://schemas.microsoft.com/office/drawing/2014/main" id="{00000000-0008-0000-0800-0000C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2" name="Text Box 242">
          <a:extLst>
            <a:ext uri="{FF2B5EF4-FFF2-40B4-BE49-F238E27FC236}">
              <a16:creationId xmlns:a16="http://schemas.microsoft.com/office/drawing/2014/main" id="{00000000-0008-0000-0800-0000C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3" name="Text Box 243">
          <a:extLst>
            <a:ext uri="{FF2B5EF4-FFF2-40B4-BE49-F238E27FC236}">
              <a16:creationId xmlns:a16="http://schemas.microsoft.com/office/drawing/2014/main" id="{00000000-0008-0000-0800-0000C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4" name="Text Box 244">
          <a:extLst>
            <a:ext uri="{FF2B5EF4-FFF2-40B4-BE49-F238E27FC236}">
              <a16:creationId xmlns:a16="http://schemas.microsoft.com/office/drawing/2014/main" id="{00000000-0008-0000-0800-0000C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5" name="Text Box 245">
          <a:extLst>
            <a:ext uri="{FF2B5EF4-FFF2-40B4-BE49-F238E27FC236}">
              <a16:creationId xmlns:a16="http://schemas.microsoft.com/office/drawing/2014/main" id="{00000000-0008-0000-0800-0000C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6" name="Text Box 246">
          <a:extLst>
            <a:ext uri="{FF2B5EF4-FFF2-40B4-BE49-F238E27FC236}">
              <a16:creationId xmlns:a16="http://schemas.microsoft.com/office/drawing/2014/main" id="{00000000-0008-0000-0800-0000C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7" name="Text Box 247">
          <a:extLst>
            <a:ext uri="{FF2B5EF4-FFF2-40B4-BE49-F238E27FC236}">
              <a16:creationId xmlns:a16="http://schemas.microsoft.com/office/drawing/2014/main" id="{00000000-0008-0000-0800-0000C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8" name="Text Box 248">
          <a:extLst>
            <a:ext uri="{FF2B5EF4-FFF2-40B4-BE49-F238E27FC236}">
              <a16:creationId xmlns:a16="http://schemas.microsoft.com/office/drawing/2014/main" id="{00000000-0008-0000-0800-0000C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9" name="Text Box 249">
          <a:extLst>
            <a:ext uri="{FF2B5EF4-FFF2-40B4-BE49-F238E27FC236}">
              <a16:creationId xmlns:a16="http://schemas.microsoft.com/office/drawing/2014/main" id="{00000000-0008-0000-0800-0000C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0" name="Text Box 250">
          <a:extLst>
            <a:ext uri="{FF2B5EF4-FFF2-40B4-BE49-F238E27FC236}">
              <a16:creationId xmlns:a16="http://schemas.microsoft.com/office/drawing/2014/main" id="{00000000-0008-0000-0800-0000D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1" name="Text Box 251">
          <a:extLst>
            <a:ext uri="{FF2B5EF4-FFF2-40B4-BE49-F238E27FC236}">
              <a16:creationId xmlns:a16="http://schemas.microsoft.com/office/drawing/2014/main" id="{00000000-0008-0000-0800-0000D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2" name="Text Box 252">
          <a:extLst>
            <a:ext uri="{FF2B5EF4-FFF2-40B4-BE49-F238E27FC236}">
              <a16:creationId xmlns:a16="http://schemas.microsoft.com/office/drawing/2014/main" id="{00000000-0008-0000-0800-0000D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3" name="Text Box 253">
          <a:extLst>
            <a:ext uri="{FF2B5EF4-FFF2-40B4-BE49-F238E27FC236}">
              <a16:creationId xmlns:a16="http://schemas.microsoft.com/office/drawing/2014/main" id="{00000000-0008-0000-0800-0000D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4" name="Text Box 254">
          <a:extLst>
            <a:ext uri="{FF2B5EF4-FFF2-40B4-BE49-F238E27FC236}">
              <a16:creationId xmlns:a16="http://schemas.microsoft.com/office/drawing/2014/main" id="{00000000-0008-0000-0800-0000D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5" name="Text Box 255">
          <a:extLst>
            <a:ext uri="{FF2B5EF4-FFF2-40B4-BE49-F238E27FC236}">
              <a16:creationId xmlns:a16="http://schemas.microsoft.com/office/drawing/2014/main" id="{00000000-0008-0000-0800-0000D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6" name="Text Box 256">
          <a:extLst>
            <a:ext uri="{FF2B5EF4-FFF2-40B4-BE49-F238E27FC236}">
              <a16:creationId xmlns:a16="http://schemas.microsoft.com/office/drawing/2014/main" id="{00000000-0008-0000-0800-0000D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7" name="Text Box 257">
          <a:extLst>
            <a:ext uri="{FF2B5EF4-FFF2-40B4-BE49-F238E27FC236}">
              <a16:creationId xmlns:a16="http://schemas.microsoft.com/office/drawing/2014/main" id="{00000000-0008-0000-0800-0000D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8" name="Text Box 258">
          <a:extLst>
            <a:ext uri="{FF2B5EF4-FFF2-40B4-BE49-F238E27FC236}">
              <a16:creationId xmlns:a16="http://schemas.microsoft.com/office/drawing/2014/main" id="{00000000-0008-0000-0800-0000D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9" name="Text Box 259">
          <a:extLst>
            <a:ext uri="{FF2B5EF4-FFF2-40B4-BE49-F238E27FC236}">
              <a16:creationId xmlns:a16="http://schemas.microsoft.com/office/drawing/2014/main" id="{00000000-0008-0000-0800-0000D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0" name="Text Box 260">
          <a:extLst>
            <a:ext uri="{FF2B5EF4-FFF2-40B4-BE49-F238E27FC236}">
              <a16:creationId xmlns:a16="http://schemas.microsoft.com/office/drawing/2014/main" id="{00000000-0008-0000-0800-0000D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1" name="Text Box 261">
          <a:extLst>
            <a:ext uri="{FF2B5EF4-FFF2-40B4-BE49-F238E27FC236}">
              <a16:creationId xmlns:a16="http://schemas.microsoft.com/office/drawing/2014/main" id="{00000000-0008-0000-0800-0000D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2" name="Text Box 262">
          <a:extLst>
            <a:ext uri="{FF2B5EF4-FFF2-40B4-BE49-F238E27FC236}">
              <a16:creationId xmlns:a16="http://schemas.microsoft.com/office/drawing/2014/main" id="{00000000-0008-0000-0800-0000D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3" name="Text Box 263">
          <a:extLst>
            <a:ext uri="{FF2B5EF4-FFF2-40B4-BE49-F238E27FC236}">
              <a16:creationId xmlns:a16="http://schemas.microsoft.com/office/drawing/2014/main" id="{00000000-0008-0000-0800-0000D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4" name="Text Box 264">
          <a:extLst>
            <a:ext uri="{FF2B5EF4-FFF2-40B4-BE49-F238E27FC236}">
              <a16:creationId xmlns:a16="http://schemas.microsoft.com/office/drawing/2014/main" id="{00000000-0008-0000-0800-0000D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5" name="Text Box 265">
          <a:extLst>
            <a:ext uri="{FF2B5EF4-FFF2-40B4-BE49-F238E27FC236}">
              <a16:creationId xmlns:a16="http://schemas.microsoft.com/office/drawing/2014/main" id="{00000000-0008-0000-0800-0000D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6" name="Text Box 266">
          <a:extLst>
            <a:ext uri="{FF2B5EF4-FFF2-40B4-BE49-F238E27FC236}">
              <a16:creationId xmlns:a16="http://schemas.microsoft.com/office/drawing/2014/main" id="{00000000-0008-0000-0800-0000E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7" name="Text Box 267">
          <a:extLst>
            <a:ext uri="{FF2B5EF4-FFF2-40B4-BE49-F238E27FC236}">
              <a16:creationId xmlns:a16="http://schemas.microsoft.com/office/drawing/2014/main" id="{00000000-0008-0000-0800-0000E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8" name="Text Box 268">
          <a:extLst>
            <a:ext uri="{FF2B5EF4-FFF2-40B4-BE49-F238E27FC236}">
              <a16:creationId xmlns:a16="http://schemas.microsoft.com/office/drawing/2014/main" id="{00000000-0008-0000-0800-0000E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9" name="Text Box 269">
          <a:extLst>
            <a:ext uri="{FF2B5EF4-FFF2-40B4-BE49-F238E27FC236}">
              <a16:creationId xmlns:a16="http://schemas.microsoft.com/office/drawing/2014/main" id="{00000000-0008-0000-0800-0000E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0" name="Text Box 270">
          <a:extLst>
            <a:ext uri="{FF2B5EF4-FFF2-40B4-BE49-F238E27FC236}">
              <a16:creationId xmlns:a16="http://schemas.microsoft.com/office/drawing/2014/main" id="{00000000-0008-0000-0800-0000E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1" name="Text Box 271">
          <a:extLst>
            <a:ext uri="{FF2B5EF4-FFF2-40B4-BE49-F238E27FC236}">
              <a16:creationId xmlns:a16="http://schemas.microsoft.com/office/drawing/2014/main" id="{00000000-0008-0000-0800-0000E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2" name="Text Box 272">
          <a:extLst>
            <a:ext uri="{FF2B5EF4-FFF2-40B4-BE49-F238E27FC236}">
              <a16:creationId xmlns:a16="http://schemas.microsoft.com/office/drawing/2014/main" id="{00000000-0008-0000-0800-0000E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3" name="Text Box 273">
          <a:extLst>
            <a:ext uri="{FF2B5EF4-FFF2-40B4-BE49-F238E27FC236}">
              <a16:creationId xmlns:a16="http://schemas.microsoft.com/office/drawing/2014/main" id="{00000000-0008-0000-0800-0000E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4" name="Text Box 274">
          <a:extLst>
            <a:ext uri="{FF2B5EF4-FFF2-40B4-BE49-F238E27FC236}">
              <a16:creationId xmlns:a16="http://schemas.microsoft.com/office/drawing/2014/main" id="{00000000-0008-0000-0800-0000E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5" name="Text Box 275">
          <a:extLst>
            <a:ext uri="{FF2B5EF4-FFF2-40B4-BE49-F238E27FC236}">
              <a16:creationId xmlns:a16="http://schemas.microsoft.com/office/drawing/2014/main" id="{00000000-0008-0000-0800-0000E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6" name="Text Box 276">
          <a:extLst>
            <a:ext uri="{FF2B5EF4-FFF2-40B4-BE49-F238E27FC236}">
              <a16:creationId xmlns:a16="http://schemas.microsoft.com/office/drawing/2014/main" id="{00000000-0008-0000-0800-0000E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7" name="Text Box 277">
          <a:extLst>
            <a:ext uri="{FF2B5EF4-FFF2-40B4-BE49-F238E27FC236}">
              <a16:creationId xmlns:a16="http://schemas.microsoft.com/office/drawing/2014/main" id="{00000000-0008-0000-0800-0000E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8" name="Text Box 278">
          <a:extLst>
            <a:ext uri="{FF2B5EF4-FFF2-40B4-BE49-F238E27FC236}">
              <a16:creationId xmlns:a16="http://schemas.microsoft.com/office/drawing/2014/main" id="{00000000-0008-0000-0800-0000E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9" name="Text Box 279">
          <a:extLst>
            <a:ext uri="{FF2B5EF4-FFF2-40B4-BE49-F238E27FC236}">
              <a16:creationId xmlns:a16="http://schemas.microsoft.com/office/drawing/2014/main" id="{00000000-0008-0000-0800-0000E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0" name="Text Box 280">
          <a:extLst>
            <a:ext uri="{FF2B5EF4-FFF2-40B4-BE49-F238E27FC236}">
              <a16:creationId xmlns:a16="http://schemas.microsoft.com/office/drawing/2014/main" id="{00000000-0008-0000-0800-0000E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1" name="Text Box 281">
          <a:extLst>
            <a:ext uri="{FF2B5EF4-FFF2-40B4-BE49-F238E27FC236}">
              <a16:creationId xmlns:a16="http://schemas.microsoft.com/office/drawing/2014/main" id="{00000000-0008-0000-0800-0000E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2" name="Text Box 282">
          <a:extLst>
            <a:ext uri="{FF2B5EF4-FFF2-40B4-BE49-F238E27FC236}">
              <a16:creationId xmlns:a16="http://schemas.microsoft.com/office/drawing/2014/main" id="{00000000-0008-0000-0800-0000F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3" name="Text Box 283">
          <a:extLst>
            <a:ext uri="{FF2B5EF4-FFF2-40B4-BE49-F238E27FC236}">
              <a16:creationId xmlns:a16="http://schemas.microsoft.com/office/drawing/2014/main" id="{00000000-0008-0000-0800-0000F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4" name="Text Box 284">
          <a:extLst>
            <a:ext uri="{FF2B5EF4-FFF2-40B4-BE49-F238E27FC236}">
              <a16:creationId xmlns:a16="http://schemas.microsoft.com/office/drawing/2014/main" id="{00000000-0008-0000-0800-0000F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5" name="Text Box 285">
          <a:extLst>
            <a:ext uri="{FF2B5EF4-FFF2-40B4-BE49-F238E27FC236}">
              <a16:creationId xmlns:a16="http://schemas.microsoft.com/office/drawing/2014/main" id="{00000000-0008-0000-0800-0000F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6" name="Text Box 286">
          <a:extLst>
            <a:ext uri="{FF2B5EF4-FFF2-40B4-BE49-F238E27FC236}">
              <a16:creationId xmlns:a16="http://schemas.microsoft.com/office/drawing/2014/main" id="{00000000-0008-0000-0800-0000F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7" name="Text Box 287">
          <a:extLst>
            <a:ext uri="{FF2B5EF4-FFF2-40B4-BE49-F238E27FC236}">
              <a16:creationId xmlns:a16="http://schemas.microsoft.com/office/drawing/2014/main" id="{00000000-0008-0000-0800-0000F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8" name="Text Box 288">
          <a:extLst>
            <a:ext uri="{FF2B5EF4-FFF2-40B4-BE49-F238E27FC236}">
              <a16:creationId xmlns:a16="http://schemas.microsoft.com/office/drawing/2014/main" id="{00000000-0008-0000-0800-0000F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9" name="Text Box 289">
          <a:extLst>
            <a:ext uri="{FF2B5EF4-FFF2-40B4-BE49-F238E27FC236}">
              <a16:creationId xmlns:a16="http://schemas.microsoft.com/office/drawing/2014/main" id="{00000000-0008-0000-0800-0000F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0" name="Text Box 290">
          <a:extLst>
            <a:ext uri="{FF2B5EF4-FFF2-40B4-BE49-F238E27FC236}">
              <a16:creationId xmlns:a16="http://schemas.microsoft.com/office/drawing/2014/main" id="{00000000-0008-0000-0800-0000F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1" name="Text Box 291">
          <a:extLst>
            <a:ext uri="{FF2B5EF4-FFF2-40B4-BE49-F238E27FC236}">
              <a16:creationId xmlns:a16="http://schemas.microsoft.com/office/drawing/2014/main" id="{00000000-0008-0000-0800-0000F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2" name="Text Box 292">
          <a:extLst>
            <a:ext uri="{FF2B5EF4-FFF2-40B4-BE49-F238E27FC236}">
              <a16:creationId xmlns:a16="http://schemas.microsoft.com/office/drawing/2014/main" id="{00000000-0008-0000-0800-0000F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3" name="Text Box 293">
          <a:extLst>
            <a:ext uri="{FF2B5EF4-FFF2-40B4-BE49-F238E27FC236}">
              <a16:creationId xmlns:a16="http://schemas.microsoft.com/office/drawing/2014/main" id="{00000000-0008-0000-0800-0000F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4" name="Text Box 294">
          <a:extLst>
            <a:ext uri="{FF2B5EF4-FFF2-40B4-BE49-F238E27FC236}">
              <a16:creationId xmlns:a16="http://schemas.microsoft.com/office/drawing/2014/main" id="{00000000-0008-0000-0800-0000F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5" name="Text Box 295">
          <a:extLst>
            <a:ext uri="{FF2B5EF4-FFF2-40B4-BE49-F238E27FC236}">
              <a16:creationId xmlns:a16="http://schemas.microsoft.com/office/drawing/2014/main" id="{00000000-0008-0000-0800-0000F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6" name="Text Box 296">
          <a:extLst>
            <a:ext uri="{FF2B5EF4-FFF2-40B4-BE49-F238E27FC236}">
              <a16:creationId xmlns:a16="http://schemas.microsoft.com/office/drawing/2014/main" id="{00000000-0008-0000-0800-0000F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7" name="Text Box 297">
          <a:extLst>
            <a:ext uri="{FF2B5EF4-FFF2-40B4-BE49-F238E27FC236}">
              <a16:creationId xmlns:a16="http://schemas.microsoft.com/office/drawing/2014/main" id="{00000000-0008-0000-0800-0000F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8" name="Text Box 298">
          <a:extLst>
            <a:ext uri="{FF2B5EF4-FFF2-40B4-BE49-F238E27FC236}">
              <a16:creationId xmlns:a16="http://schemas.microsoft.com/office/drawing/2014/main" id="{00000000-0008-0000-0800-00000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9" name="Text Box 299">
          <a:extLst>
            <a:ext uri="{FF2B5EF4-FFF2-40B4-BE49-F238E27FC236}">
              <a16:creationId xmlns:a16="http://schemas.microsoft.com/office/drawing/2014/main" id="{00000000-0008-0000-0800-00000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0" name="Text Box 300">
          <a:extLst>
            <a:ext uri="{FF2B5EF4-FFF2-40B4-BE49-F238E27FC236}">
              <a16:creationId xmlns:a16="http://schemas.microsoft.com/office/drawing/2014/main" id="{00000000-0008-0000-0800-00000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1" name="Text Box 301">
          <a:extLst>
            <a:ext uri="{FF2B5EF4-FFF2-40B4-BE49-F238E27FC236}">
              <a16:creationId xmlns:a16="http://schemas.microsoft.com/office/drawing/2014/main" id="{00000000-0008-0000-0800-00000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2" name="Text Box 302">
          <a:extLst>
            <a:ext uri="{FF2B5EF4-FFF2-40B4-BE49-F238E27FC236}">
              <a16:creationId xmlns:a16="http://schemas.microsoft.com/office/drawing/2014/main" id="{00000000-0008-0000-0800-00000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3" name="Text Box 303">
          <a:extLst>
            <a:ext uri="{FF2B5EF4-FFF2-40B4-BE49-F238E27FC236}">
              <a16:creationId xmlns:a16="http://schemas.microsoft.com/office/drawing/2014/main" id="{00000000-0008-0000-0800-00000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4" name="Text Box 304">
          <a:extLst>
            <a:ext uri="{FF2B5EF4-FFF2-40B4-BE49-F238E27FC236}">
              <a16:creationId xmlns:a16="http://schemas.microsoft.com/office/drawing/2014/main" id="{00000000-0008-0000-0800-00000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5" name="Text Box 305">
          <a:extLst>
            <a:ext uri="{FF2B5EF4-FFF2-40B4-BE49-F238E27FC236}">
              <a16:creationId xmlns:a16="http://schemas.microsoft.com/office/drawing/2014/main" id="{00000000-0008-0000-0800-00000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6" name="Text Box 306">
          <a:extLst>
            <a:ext uri="{FF2B5EF4-FFF2-40B4-BE49-F238E27FC236}">
              <a16:creationId xmlns:a16="http://schemas.microsoft.com/office/drawing/2014/main" id="{00000000-0008-0000-0800-00000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7" name="Text Box 307">
          <a:extLst>
            <a:ext uri="{FF2B5EF4-FFF2-40B4-BE49-F238E27FC236}">
              <a16:creationId xmlns:a16="http://schemas.microsoft.com/office/drawing/2014/main" id="{00000000-0008-0000-0800-00000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8" name="Text Box 308">
          <a:extLst>
            <a:ext uri="{FF2B5EF4-FFF2-40B4-BE49-F238E27FC236}">
              <a16:creationId xmlns:a16="http://schemas.microsoft.com/office/drawing/2014/main" id="{00000000-0008-0000-0800-00000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9" name="Text Box 309">
          <a:extLst>
            <a:ext uri="{FF2B5EF4-FFF2-40B4-BE49-F238E27FC236}">
              <a16:creationId xmlns:a16="http://schemas.microsoft.com/office/drawing/2014/main" id="{00000000-0008-0000-0800-00000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0" name="Text Box 310">
          <a:extLst>
            <a:ext uri="{FF2B5EF4-FFF2-40B4-BE49-F238E27FC236}">
              <a16:creationId xmlns:a16="http://schemas.microsoft.com/office/drawing/2014/main" id="{00000000-0008-0000-0800-00000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1" name="Text Box 311">
          <a:extLst>
            <a:ext uri="{FF2B5EF4-FFF2-40B4-BE49-F238E27FC236}">
              <a16:creationId xmlns:a16="http://schemas.microsoft.com/office/drawing/2014/main" id="{00000000-0008-0000-0800-00000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2" name="Text Box 312">
          <a:extLst>
            <a:ext uri="{FF2B5EF4-FFF2-40B4-BE49-F238E27FC236}">
              <a16:creationId xmlns:a16="http://schemas.microsoft.com/office/drawing/2014/main" id="{00000000-0008-0000-0800-00000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3" name="Text Box 313">
          <a:extLst>
            <a:ext uri="{FF2B5EF4-FFF2-40B4-BE49-F238E27FC236}">
              <a16:creationId xmlns:a16="http://schemas.microsoft.com/office/drawing/2014/main" id="{00000000-0008-0000-0800-00000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4" name="Text Box 314">
          <a:extLst>
            <a:ext uri="{FF2B5EF4-FFF2-40B4-BE49-F238E27FC236}">
              <a16:creationId xmlns:a16="http://schemas.microsoft.com/office/drawing/2014/main" id="{00000000-0008-0000-0800-00001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5" name="Text Box 315">
          <a:extLst>
            <a:ext uri="{FF2B5EF4-FFF2-40B4-BE49-F238E27FC236}">
              <a16:creationId xmlns:a16="http://schemas.microsoft.com/office/drawing/2014/main" id="{00000000-0008-0000-0800-00001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6" name="Text Box 316">
          <a:extLst>
            <a:ext uri="{FF2B5EF4-FFF2-40B4-BE49-F238E27FC236}">
              <a16:creationId xmlns:a16="http://schemas.microsoft.com/office/drawing/2014/main" id="{00000000-0008-0000-0800-00001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7" name="Text Box 317">
          <a:extLst>
            <a:ext uri="{FF2B5EF4-FFF2-40B4-BE49-F238E27FC236}">
              <a16:creationId xmlns:a16="http://schemas.microsoft.com/office/drawing/2014/main" id="{00000000-0008-0000-0800-00001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8" name="Text Box 318">
          <a:extLst>
            <a:ext uri="{FF2B5EF4-FFF2-40B4-BE49-F238E27FC236}">
              <a16:creationId xmlns:a16="http://schemas.microsoft.com/office/drawing/2014/main" id="{00000000-0008-0000-0800-00001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9" name="Text Box 319">
          <a:extLst>
            <a:ext uri="{FF2B5EF4-FFF2-40B4-BE49-F238E27FC236}">
              <a16:creationId xmlns:a16="http://schemas.microsoft.com/office/drawing/2014/main" id="{00000000-0008-0000-0800-00001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10" name="Text Box 320">
          <a:extLst>
            <a:ext uri="{FF2B5EF4-FFF2-40B4-BE49-F238E27FC236}">
              <a16:creationId xmlns:a16="http://schemas.microsoft.com/office/drawing/2014/main" id="{00000000-0008-0000-0800-00001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1" name="Text Box 28">
          <a:extLst>
            <a:ext uri="{FF2B5EF4-FFF2-40B4-BE49-F238E27FC236}">
              <a16:creationId xmlns:a16="http://schemas.microsoft.com/office/drawing/2014/main" id="{00000000-0008-0000-0800-00001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2" name="Text Box 29">
          <a:extLst>
            <a:ext uri="{FF2B5EF4-FFF2-40B4-BE49-F238E27FC236}">
              <a16:creationId xmlns:a16="http://schemas.microsoft.com/office/drawing/2014/main" id="{00000000-0008-0000-0800-00001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3" name="Text Box 30">
          <a:extLst>
            <a:ext uri="{FF2B5EF4-FFF2-40B4-BE49-F238E27FC236}">
              <a16:creationId xmlns:a16="http://schemas.microsoft.com/office/drawing/2014/main" id="{00000000-0008-0000-0800-00001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4" name="Text Box 31">
          <a:extLst>
            <a:ext uri="{FF2B5EF4-FFF2-40B4-BE49-F238E27FC236}">
              <a16:creationId xmlns:a16="http://schemas.microsoft.com/office/drawing/2014/main" id="{00000000-0008-0000-0800-00001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5" name="Text Box 32">
          <a:extLst>
            <a:ext uri="{FF2B5EF4-FFF2-40B4-BE49-F238E27FC236}">
              <a16:creationId xmlns:a16="http://schemas.microsoft.com/office/drawing/2014/main" id="{00000000-0008-0000-0800-00001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6" name="Text Box 33">
          <a:extLst>
            <a:ext uri="{FF2B5EF4-FFF2-40B4-BE49-F238E27FC236}">
              <a16:creationId xmlns:a16="http://schemas.microsoft.com/office/drawing/2014/main" id="{00000000-0008-0000-0800-00001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7" name="Text Box 34">
          <a:extLst>
            <a:ext uri="{FF2B5EF4-FFF2-40B4-BE49-F238E27FC236}">
              <a16:creationId xmlns:a16="http://schemas.microsoft.com/office/drawing/2014/main" id="{00000000-0008-0000-0800-00001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8" name="Text Box 35">
          <a:extLst>
            <a:ext uri="{FF2B5EF4-FFF2-40B4-BE49-F238E27FC236}">
              <a16:creationId xmlns:a16="http://schemas.microsoft.com/office/drawing/2014/main" id="{00000000-0008-0000-0800-00001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9" name="Text Box 36">
          <a:extLst>
            <a:ext uri="{FF2B5EF4-FFF2-40B4-BE49-F238E27FC236}">
              <a16:creationId xmlns:a16="http://schemas.microsoft.com/office/drawing/2014/main" id="{00000000-0008-0000-0800-00001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0" name="Text Box 37">
          <a:extLst>
            <a:ext uri="{FF2B5EF4-FFF2-40B4-BE49-F238E27FC236}">
              <a16:creationId xmlns:a16="http://schemas.microsoft.com/office/drawing/2014/main" id="{00000000-0008-0000-0800-00002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1" name="Text Box 38">
          <a:extLst>
            <a:ext uri="{FF2B5EF4-FFF2-40B4-BE49-F238E27FC236}">
              <a16:creationId xmlns:a16="http://schemas.microsoft.com/office/drawing/2014/main" id="{00000000-0008-0000-0800-00002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2" name="Text Box 39">
          <a:extLst>
            <a:ext uri="{FF2B5EF4-FFF2-40B4-BE49-F238E27FC236}">
              <a16:creationId xmlns:a16="http://schemas.microsoft.com/office/drawing/2014/main" id="{00000000-0008-0000-0800-00002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3" name="Text Box 40">
          <a:extLst>
            <a:ext uri="{FF2B5EF4-FFF2-40B4-BE49-F238E27FC236}">
              <a16:creationId xmlns:a16="http://schemas.microsoft.com/office/drawing/2014/main" id="{00000000-0008-0000-0800-00002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4" name="Text Box 41">
          <a:extLst>
            <a:ext uri="{FF2B5EF4-FFF2-40B4-BE49-F238E27FC236}">
              <a16:creationId xmlns:a16="http://schemas.microsoft.com/office/drawing/2014/main" id="{00000000-0008-0000-0800-00002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5" name="Text Box 42">
          <a:extLst>
            <a:ext uri="{FF2B5EF4-FFF2-40B4-BE49-F238E27FC236}">
              <a16:creationId xmlns:a16="http://schemas.microsoft.com/office/drawing/2014/main" id="{00000000-0008-0000-0800-00002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6" name="Text Box 43">
          <a:extLst>
            <a:ext uri="{FF2B5EF4-FFF2-40B4-BE49-F238E27FC236}">
              <a16:creationId xmlns:a16="http://schemas.microsoft.com/office/drawing/2014/main" id="{00000000-0008-0000-0800-00002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7" name="Text Box 44">
          <a:extLst>
            <a:ext uri="{FF2B5EF4-FFF2-40B4-BE49-F238E27FC236}">
              <a16:creationId xmlns:a16="http://schemas.microsoft.com/office/drawing/2014/main" id="{00000000-0008-0000-0800-00002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8" name="Text Box 45">
          <a:extLst>
            <a:ext uri="{FF2B5EF4-FFF2-40B4-BE49-F238E27FC236}">
              <a16:creationId xmlns:a16="http://schemas.microsoft.com/office/drawing/2014/main" id="{00000000-0008-0000-0800-00002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9" name="Text Box 46">
          <a:extLst>
            <a:ext uri="{FF2B5EF4-FFF2-40B4-BE49-F238E27FC236}">
              <a16:creationId xmlns:a16="http://schemas.microsoft.com/office/drawing/2014/main" id="{00000000-0008-0000-0800-00002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0" name="Text Box 47">
          <a:extLst>
            <a:ext uri="{FF2B5EF4-FFF2-40B4-BE49-F238E27FC236}">
              <a16:creationId xmlns:a16="http://schemas.microsoft.com/office/drawing/2014/main" id="{00000000-0008-0000-0800-00002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1" name="Text Box 48">
          <a:extLst>
            <a:ext uri="{FF2B5EF4-FFF2-40B4-BE49-F238E27FC236}">
              <a16:creationId xmlns:a16="http://schemas.microsoft.com/office/drawing/2014/main" id="{00000000-0008-0000-0800-00002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2" name="Text Box 49">
          <a:extLst>
            <a:ext uri="{FF2B5EF4-FFF2-40B4-BE49-F238E27FC236}">
              <a16:creationId xmlns:a16="http://schemas.microsoft.com/office/drawing/2014/main" id="{00000000-0008-0000-0800-00002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3" name="Text Box 50">
          <a:extLst>
            <a:ext uri="{FF2B5EF4-FFF2-40B4-BE49-F238E27FC236}">
              <a16:creationId xmlns:a16="http://schemas.microsoft.com/office/drawing/2014/main" id="{00000000-0008-0000-0800-00002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4" name="Text Box 51">
          <a:extLst>
            <a:ext uri="{FF2B5EF4-FFF2-40B4-BE49-F238E27FC236}">
              <a16:creationId xmlns:a16="http://schemas.microsoft.com/office/drawing/2014/main" id="{00000000-0008-0000-0800-00002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5" name="Text Box 52">
          <a:extLst>
            <a:ext uri="{FF2B5EF4-FFF2-40B4-BE49-F238E27FC236}">
              <a16:creationId xmlns:a16="http://schemas.microsoft.com/office/drawing/2014/main" id="{00000000-0008-0000-0800-00002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6" name="Text Box 53">
          <a:extLst>
            <a:ext uri="{FF2B5EF4-FFF2-40B4-BE49-F238E27FC236}">
              <a16:creationId xmlns:a16="http://schemas.microsoft.com/office/drawing/2014/main" id="{00000000-0008-0000-0800-00003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7" name="Text Box 54">
          <a:extLst>
            <a:ext uri="{FF2B5EF4-FFF2-40B4-BE49-F238E27FC236}">
              <a16:creationId xmlns:a16="http://schemas.microsoft.com/office/drawing/2014/main" id="{00000000-0008-0000-0800-00003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8" name="Text Box 55">
          <a:extLst>
            <a:ext uri="{FF2B5EF4-FFF2-40B4-BE49-F238E27FC236}">
              <a16:creationId xmlns:a16="http://schemas.microsoft.com/office/drawing/2014/main" id="{00000000-0008-0000-0800-00003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9" name="Text Box 56">
          <a:extLst>
            <a:ext uri="{FF2B5EF4-FFF2-40B4-BE49-F238E27FC236}">
              <a16:creationId xmlns:a16="http://schemas.microsoft.com/office/drawing/2014/main" id="{00000000-0008-0000-0800-00003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0" name="Text Box 57">
          <a:extLst>
            <a:ext uri="{FF2B5EF4-FFF2-40B4-BE49-F238E27FC236}">
              <a16:creationId xmlns:a16="http://schemas.microsoft.com/office/drawing/2014/main" id="{00000000-0008-0000-0800-00003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1" name="Text Box 58">
          <a:extLst>
            <a:ext uri="{FF2B5EF4-FFF2-40B4-BE49-F238E27FC236}">
              <a16:creationId xmlns:a16="http://schemas.microsoft.com/office/drawing/2014/main" id="{00000000-0008-0000-0800-00003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2" name="Text Box 59">
          <a:extLst>
            <a:ext uri="{FF2B5EF4-FFF2-40B4-BE49-F238E27FC236}">
              <a16:creationId xmlns:a16="http://schemas.microsoft.com/office/drawing/2014/main" id="{00000000-0008-0000-0800-00003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3" name="Text Box 60">
          <a:extLst>
            <a:ext uri="{FF2B5EF4-FFF2-40B4-BE49-F238E27FC236}">
              <a16:creationId xmlns:a16="http://schemas.microsoft.com/office/drawing/2014/main" id="{00000000-0008-0000-0800-00003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4" name="Text Box 61">
          <a:extLst>
            <a:ext uri="{FF2B5EF4-FFF2-40B4-BE49-F238E27FC236}">
              <a16:creationId xmlns:a16="http://schemas.microsoft.com/office/drawing/2014/main" id="{00000000-0008-0000-0800-00003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5" name="Text Box 62">
          <a:extLst>
            <a:ext uri="{FF2B5EF4-FFF2-40B4-BE49-F238E27FC236}">
              <a16:creationId xmlns:a16="http://schemas.microsoft.com/office/drawing/2014/main" id="{00000000-0008-0000-0800-00003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6" name="Text Box 63">
          <a:extLst>
            <a:ext uri="{FF2B5EF4-FFF2-40B4-BE49-F238E27FC236}">
              <a16:creationId xmlns:a16="http://schemas.microsoft.com/office/drawing/2014/main" id="{00000000-0008-0000-0800-00003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7" name="Text Box 64">
          <a:extLst>
            <a:ext uri="{FF2B5EF4-FFF2-40B4-BE49-F238E27FC236}">
              <a16:creationId xmlns:a16="http://schemas.microsoft.com/office/drawing/2014/main" id="{00000000-0008-0000-0800-00003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8" name="Text Box 65">
          <a:extLst>
            <a:ext uri="{FF2B5EF4-FFF2-40B4-BE49-F238E27FC236}">
              <a16:creationId xmlns:a16="http://schemas.microsoft.com/office/drawing/2014/main" id="{00000000-0008-0000-0800-00003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9" name="Text Box 66">
          <a:extLst>
            <a:ext uri="{FF2B5EF4-FFF2-40B4-BE49-F238E27FC236}">
              <a16:creationId xmlns:a16="http://schemas.microsoft.com/office/drawing/2014/main" id="{00000000-0008-0000-0800-00003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0" name="Text Box 67">
          <a:extLst>
            <a:ext uri="{FF2B5EF4-FFF2-40B4-BE49-F238E27FC236}">
              <a16:creationId xmlns:a16="http://schemas.microsoft.com/office/drawing/2014/main" id="{00000000-0008-0000-0800-00003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1" name="Text Box 68">
          <a:extLst>
            <a:ext uri="{FF2B5EF4-FFF2-40B4-BE49-F238E27FC236}">
              <a16:creationId xmlns:a16="http://schemas.microsoft.com/office/drawing/2014/main" id="{00000000-0008-0000-0800-00003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2" name="Text Box 69">
          <a:extLst>
            <a:ext uri="{FF2B5EF4-FFF2-40B4-BE49-F238E27FC236}">
              <a16:creationId xmlns:a16="http://schemas.microsoft.com/office/drawing/2014/main" id="{00000000-0008-0000-0800-00004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3" name="Text Box 70">
          <a:extLst>
            <a:ext uri="{FF2B5EF4-FFF2-40B4-BE49-F238E27FC236}">
              <a16:creationId xmlns:a16="http://schemas.microsoft.com/office/drawing/2014/main" id="{00000000-0008-0000-0800-00004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4" name="Text Box 71">
          <a:extLst>
            <a:ext uri="{FF2B5EF4-FFF2-40B4-BE49-F238E27FC236}">
              <a16:creationId xmlns:a16="http://schemas.microsoft.com/office/drawing/2014/main" id="{00000000-0008-0000-0800-00004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5" name="Text Box 72">
          <a:extLst>
            <a:ext uri="{FF2B5EF4-FFF2-40B4-BE49-F238E27FC236}">
              <a16:creationId xmlns:a16="http://schemas.microsoft.com/office/drawing/2014/main" id="{00000000-0008-0000-0800-00004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6" name="Text Box 73">
          <a:extLst>
            <a:ext uri="{FF2B5EF4-FFF2-40B4-BE49-F238E27FC236}">
              <a16:creationId xmlns:a16="http://schemas.microsoft.com/office/drawing/2014/main" id="{00000000-0008-0000-0800-00004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7" name="Text Box 74">
          <a:extLst>
            <a:ext uri="{FF2B5EF4-FFF2-40B4-BE49-F238E27FC236}">
              <a16:creationId xmlns:a16="http://schemas.microsoft.com/office/drawing/2014/main" id="{00000000-0008-0000-0800-00004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8" name="Text Box 75">
          <a:extLst>
            <a:ext uri="{FF2B5EF4-FFF2-40B4-BE49-F238E27FC236}">
              <a16:creationId xmlns:a16="http://schemas.microsoft.com/office/drawing/2014/main" id="{00000000-0008-0000-0800-00004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9" name="Text Box 76">
          <a:extLst>
            <a:ext uri="{FF2B5EF4-FFF2-40B4-BE49-F238E27FC236}">
              <a16:creationId xmlns:a16="http://schemas.microsoft.com/office/drawing/2014/main" id="{00000000-0008-0000-0800-00004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0" name="Text Box 77">
          <a:extLst>
            <a:ext uri="{FF2B5EF4-FFF2-40B4-BE49-F238E27FC236}">
              <a16:creationId xmlns:a16="http://schemas.microsoft.com/office/drawing/2014/main" id="{00000000-0008-0000-0800-00004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1" name="Text Box 78">
          <a:extLst>
            <a:ext uri="{FF2B5EF4-FFF2-40B4-BE49-F238E27FC236}">
              <a16:creationId xmlns:a16="http://schemas.microsoft.com/office/drawing/2014/main" id="{00000000-0008-0000-0800-00004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2" name="Text Box 79">
          <a:extLst>
            <a:ext uri="{FF2B5EF4-FFF2-40B4-BE49-F238E27FC236}">
              <a16:creationId xmlns:a16="http://schemas.microsoft.com/office/drawing/2014/main" id="{00000000-0008-0000-0800-00004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3" name="Text Box 80">
          <a:extLst>
            <a:ext uri="{FF2B5EF4-FFF2-40B4-BE49-F238E27FC236}">
              <a16:creationId xmlns:a16="http://schemas.microsoft.com/office/drawing/2014/main" id="{00000000-0008-0000-0800-00004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4" name="Text Box 81">
          <a:extLst>
            <a:ext uri="{FF2B5EF4-FFF2-40B4-BE49-F238E27FC236}">
              <a16:creationId xmlns:a16="http://schemas.microsoft.com/office/drawing/2014/main" id="{00000000-0008-0000-0800-00004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5" name="Text Box 82">
          <a:extLst>
            <a:ext uri="{FF2B5EF4-FFF2-40B4-BE49-F238E27FC236}">
              <a16:creationId xmlns:a16="http://schemas.microsoft.com/office/drawing/2014/main" id="{00000000-0008-0000-0800-00004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6" name="Text Box 83">
          <a:extLst>
            <a:ext uri="{FF2B5EF4-FFF2-40B4-BE49-F238E27FC236}">
              <a16:creationId xmlns:a16="http://schemas.microsoft.com/office/drawing/2014/main" id="{00000000-0008-0000-0800-00004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7" name="Text Box 84">
          <a:extLst>
            <a:ext uri="{FF2B5EF4-FFF2-40B4-BE49-F238E27FC236}">
              <a16:creationId xmlns:a16="http://schemas.microsoft.com/office/drawing/2014/main" id="{00000000-0008-0000-0800-00004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8" name="Text Box 85">
          <a:extLst>
            <a:ext uri="{FF2B5EF4-FFF2-40B4-BE49-F238E27FC236}">
              <a16:creationId xmlns:a16="http://schemas.microsoft.com/office/drawing/2014/main" id="{00000000-0008-0000-0800-00005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9" name="Text Box 86">
          <a:extLst>
            <a:ext uri="{FF2B5EF4-FFF2-40B4-BE49-F238E27FC236}">
              <a16:creationId xmlns:a16="http://schemas.microsoft.com/office/drawing/2014/main" id="{00000000-0008-0000-0800-00005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0" name="Text Box 87">
          <a:extLst>
            <a:ext uri="{FF2B5EF4-FFF2-40B4-BE49-F238E27FC236}">
              <a16:creationId xmlns:a16="http://schemas.microsoft.com/office/drawing/2014/main" id="{00000000-0008-0000-0800-00005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1" name="Text Box 88">
          <a:extLst>
            <a:ext uri="{FF2B5EF4-FFF2-40B4-BE49-F238E27FC236}">
              <a16:creationId xmlns:a16="http://schemas.microsoft.com/office/drawing/2014/main" id="{00000000-0008-0000-0800-00005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2" name="Text Box 89">
          <a:extLst>
            <a:ext uri="{FF2B5EF4-FFF2-40B4-BE49-F238E27FC236}">
              <a16:creationId xmlns:a16="http://schemas.microsoft.com/office/drawing/2014/main" id="{00000000-0008-0000-0800-00005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3" name="Text Box 90">
          <a:extLst>
            <a:ext uri="{FF2B5EF4-FFF2-40B4-BE49-F238E27FC236}">
              <a16:creationId xmlns:a16="http://schemas.microsoft.com/office/drawing/2014/main" id="{00000000-0008-0000-0800-00005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4" name="Text Box 91">
          <a:extLst>
            <a:ext uri="{FF2B5EF4-FFF2-40B4-BE49-F238E27FC236}">
              <a16:creationId xmlns:a16="http://schemas.microsoft.com/office/drawing/2014/main" id="{00000000-0008-0000-0800-00005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5" name="Text Box 92">
          <a:extLst>
            <a:ext uri="{FF2B5EF4-FFF2-40B4-BE49-F238E27FC236}">
              <a16:creationId xmlns:a16="http://schemas.microsoft.com/office/drawing/2014/main" id="{00000000-0008-0000-0800-00005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6" name="Text Box 93">
          <a:extLst>
            <a:ext uri="{FF2B5EF4-FFF2-40B4-BE49-F238E27FC236}">
              <a16:creationId xmlns:a16="http://schemas.microsoft.com/office/drawing/2014/main" id="{00000000-0008-0000-0800-00005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7" name="Text Box 94">
          <a:extLst>
            <a:ext uri="{FF2B5EF4-FFF2-40B4-BE49-F238E27FC236}">
              <a16:creationId xmlns:a16="http://schemas.microsoft.com/office/drawing/2014/main" id="{00000000-0008-0000-0800-00005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8" name="Text Box 95">
          <a:extLst>
            <a:ext uri="{FF2B5EF4-FFF2-40B4-BE49-F238E27FC236}">
              <a16:creationId xmlns:a16="http://schemas.microsoft.com/office/drawing/2014/main" id="{00000000-0008-0000-0800-00005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9" name="Text Box 96">
          <a:extLst>
            <a:ext uri="{FF2B5EF4-FFF2-40B4-BE49-F238E27FC236}">
              <a16:creationId xmlns:a16="http://schemas.microsoft.com/office/drawing/2014/main" id="{00000000-0008-0000-0800-00005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80" name="Text Box 97">
          <a:extLst>
            <a:ext uri="{FF2B5EF4-FFF2-40B4-BE49-F238E27FC236}">
              <a16:creationId xmlns:a16="http://schemas.microsoft.com/office/drawing/2014/main" id="{00000000-0008-0000-0800-00005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1" name="Text Box 100">
          <a:extLst>
            <a:ext uri="{FF2B5EF4-FFF2-40B4-BE49-F238E27FC236}">
              <a16:creationId xmlns:a16="http://schemas.microsoft.com/office/drawing/2014/main" id="{00000000-0008-0000-0800-00005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2" name="Text Box 101">
          <a:extLst>
            <a:ext uri="{FF2B5EF4-FFF2-40B4-BE49-F238E27FC236}">
              <a16:creationId xmlns:a16="http://schemas.microsoft.com/office/drawing/2014/main" id="{00000000-0008-0000-0800-00005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3" name="Text Box 102">
          <a:extLst>
            <a:ext uri="{FF2B5EF4-FFF2-40B4-BE49-F238E27FC236}">
              <a16:creationId xmlns:a16="http://schemas.microsoft.com/office/drawing/2014/main" id="{00000000-0008-0000-0800-00005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4" name="Text Box 103">
          <a:extLst>
            <a:ext uri="{FF2B5EF4-FFF2-40B4-BE49-F238E27FC236}">
              <a16:creationId xmlns:a16="http://schemas.microsoft.com/office/drawing/2014/main" id="{00000000-0008-0000-0800-00006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5" name="Text Box 104">
          <a:extLst>
            <a:ext uri="{FF2B5EF4-FFF2-40B4-BE49-F238E27FC236}">
              <a16:creationId xmlns:a16="http://schemas.microsoft.com/office/drawing/2014/main" id="{00000000-0008-0000-0800-00006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6" name="Text Box 105">
          <a:extLst>
            <a:ext uri="{FF2B5EF4-FFF2-40B4-BE49-F238E27FC236}">
              <a16:creationId xmlns:a16="http://schemas.microsoft.com/office/drawing/2014/main" id="{00000000-0008-0000-0800-00006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7" name="Text Box 106">
          <a:extLst>
            <a:ext uri="{FF2B5EF4-FFF2-40B4-BE49-F238E27FC236}">
              <a16:creationId xmlns:a16="http://schemas.microsoft.com/office/drawing/2014/main" id="{00000000-0008-0000-0800-00006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8" name="Text Box 107">
          <a:extLst>
            <a:ext uri="{FF2B5EF4-FFF2-40B4-BE49-F238E27FC236}">
              <a16:creationId xmlns:a16="http://schemas.microsoft.com/office/drawing/2014/main" id="{00000000-0008-0000-0800-00006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9" name="Text Box 108">
          <a:extLst>
            <a:ext uri="{FF2B5EF4-FFF2-40B4-BE49-F238E27FC236}">
              <a16:creationId xmlns:a16="http://schemas.microsoft.com/office/drawing/2014/main" id="{00000000-0008-0000-0800-00006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0" name="Text Box 109">
          <a:extLst>
            <a:ext uri="{FF2B5EF4-FFF2-40B4-BE49-F238E27FC236}">
              <a16:creationId xmlns:a16="http://schemas.microsoft.com/office/drawing/2014/main" id="{00000000-0008-0000-0800-00006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1" name="Text Box 110">
          <a:extLst>
            <a:ext uri="{FF2B5EF4-FFF2-40B4-BE49-F238E27FC236}">
              <a16:creationId xmlns:a16="http://schemas.microsoft.com/office/drawing/2014/main" id="{00000000-0008-0000-0800-00006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2" name="Text Box 111">
          <a:extLst>
            <a:ext uri="{FF2B5EF4-FFF2-40B4-BE49-F238E27FC236}">
              <a16:creationId xmlns:a16="http://schemas.microsoft.com/office/drawing/2014/main" id="{00000000-0008-0000-0800-00006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3" name="Text Box 119">
          <a:extLst>
            <a:ext uri="{FF2B5EF4-FFF2-40B4-BE49-F238E27FC236}">
              <a16:creationId xmlns:a16="http://schemas.microsoft.com/office/drawing/2014/main" id="{00000000-0008-0000-0800-00006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4" name="Text Box 120">
          <a:extLst>
            <a:ext uri="{FF2B5EF4-FFF2-40B4-BE49-F238E27FC236}">
              <a16:creationId xmlns:a16="http://schemas.microsoft.com/office/drawing/2014/main" id="{00000000-0008-0000-0800-00006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5" name="Text Box 121">
          <a:extLst>
            <a:ext uri="{FF2B5EF4-FFF2-40B4-BE49-F238E27FC236}">
              <a16:creationId xmlns:a16="http://schemas.microsoft.com/office/drawing/2014/main" id="{00000000-0008-0000-0800-00006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6" name="Text Box 122">
          <a:extLst>
            <a:ext uri="{FF2B5EF4-FFF2-40B4-BE49-F238E27FC236}">
              <a16:creationId xmlns:a16="http://schemas.microsoft.com/office/drawing/2014/main" id="{00000000-0008-0000-0800-00006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7" name="Text Box 123">
          <a:extLst>
            <a:ext uri="{FF2B5EF4-FFF2-40B4-BE49-F238E27FC236}">
              <a16:creationId xmlns:a16="http://schemas.microsoft.com/office/drawing/2014/main" id="{00000000-0008-0000-0800-00006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8" name="Text Box 124">
          <a:extLst>
            <a:ext uri="{FF2B5EF4-FFF2-40B4-BE49-F238E27FC236}">
              <a16:creationId xmlns:a16="http://schemas.microsoft.com/office/drawing/2014/main" id="{00000000-0008-0000-0800-00006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9" name="Text Box 125">
          <a:extLst>
            <a:ext uri="{FF2B5EF4-FFF2-40B4-BE49-F238E27FC236}">
              <a16:creationId xmlns:a16="http://schemas.microsoft.com/office/drawing/2014/main" id="{00000000-0008-0000-0800-00006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0" name="Text Box 126">
          <a:extLst>
            <a:ext uri="{FF2B5EF4-FFF2-40B4-BE49-F238E27FC236}">
              <a16:creationId xmlns:a16="http://schemas.microsoft.com/office/drawing/2014/main" id="{00000000-0008-0000-0800-00007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1" name="Text Box 127">
          <a:extLst>
            <a:ext uri="{FF2B5EF4-FFF2-40B4-BE49-F238E27FC236}">
              <a16:creationId xmlns:a16="http://schemas.microsoft.com/office/drawing/2014/main" id="{00000000-0008-0000-0800-00007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2" name="Text Box 128">
          <a:extLst>
            <a:ext uri="{FF2B5EF4-FFF2-40B4-BE49-F238E27FC236}">
              <a16:creationId xmlns:a16="http://schemas.microsoft.com/office/drawing/2014/main" id="{00000000-0008-0000-0800-00007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3" name="Text Box 129">
          <a:extLst>
            <a:ext uri="{FF2B5EF4-FFF2-40B4-BE49-F238E27FC236}">
              <a16:creationId xmlns:a16="http://schemas.microsoft.com/office/drawing/2014/main" id="{00000000-0008-0000-0800-00007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4" name="Text Box 130">
          <a:extLst>
            <a:ext uri="{FF2B5EF4-FFF2-40B4-BE49-F238E27FC236}">
              <a16:creationId xmlns:a16="http://schemas.microsoft.com/office/drawing/2014/main" id="{00000000-0008-0000-0800-00007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5" name="Text Box 133">
          <a:extLst>
            <a:ext uri="{FF2B5EF4-FFF2-40B4-BE49-F238E27FC236}">
              <a16:creationId xmlns:a16="http://schemas.microsoft.com/office/drawing/2014/main" id="{00000000-0008-0000-0800-00007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6" name="Text Box 134">
          <a:extLst>
            <a:ext uri="{FF2B5EF4-FFF2-40B4-BE49-F238E27FC236}">
              <a16:creationId xmlns:a16="http://schemas.microsoft.com/office/drawing/2014/main" id="{00000000-0008-0000-0800-00007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7" name="Text Box 135">
          <a:extLst>
            <a:ext uri="{FF2B5EF4-FFF2-40B4-BE49-F238E27FC236}">
              <a16:creationId xmlns:a16="http://schemas.microsoft.com/office/drawing/2014/main" id="{00000000-0008-0000-0800-00007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8" name="Text Box 136">
          <a:extLst>
            <a:ext uri="{FF2B5EF4-FFF2-40B4-BE49-F238E27FC236}">
              <a16:creationId xmlns:a16="http://schemas.microsoft.com/office/drawing/2014/main" id="{00000000-0008-0000-0800-00007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9" name="Text Box 137">
          <a:extLst>
            <a:ext uri="{FF2B5EF4-FFF2-40B4-BE49-F238E27FC236}">
              <a16:creationId xmlns:a16="http://schemas.microsoft.com/office/drawing/2014/main" id="{00000000-0008-0000-0800-00007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0" name="Text Box 138">
          <a:extLst>
            <a:ext uri="{FF2B5EF4-FFF2-40B4-BE49-F238E27FC236}">
              <a16:creationId xmlns:a16="http://schemas.microsoft.com/office/drawing/2014/main" id="{00000000-0008-0000-0800-00007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1" name="Text Box 139">
          <a:extLst>
            <a:ext uri="{FF2B5EF4-FFF2-40B4-BE49-F238E27FC236}">
              <a16:creationId xmlns:a16="http://schemas.microsoft.com/office/drawing/2014/main" id="{00000000-0008-0000-0800-00007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2" name="Text Box 140">
          <a:extLst>
            <a:ext uri="{FF2B5EF4-FFF2-40B4-BE49-F238E27FC236}">
              <a16:creationId xmlns:a16="http://schemas.microsoft.com/office/drawing/2014/main" id="{00000000-0008-0000-0800-00007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3" name="Text Box 141">
          <a:extLst>
            <a:ext uri="{FF2B5EF4-FFF2-40B4-BE49-F238E27FC236}">
              <a16:creationId xmlns:a16="http://schemas.microsoft.com/office/drawing/2014/main" id="{00000000-0008-0000-0800-00007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4" name="Text Box 142">
          <a:extLst>
            <a:ext uri="{FF2B5EF4-FFF2-40B4-BE49-F238E27FC236}">
              <a16:creationId xmlns:a16="http://schemas.microsoft.com/office/drawing/2014/main" id="{00000000-0008-0000-0800-00007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5" name="Text Box 143">
          <a:extLst>
            <a:ext uri="{FF2B5EF4-FFF2-40B4-BE49-F238E27FC236}">
              <a16:creationId xmlns:a16="http://schemas.microsoft.com/office/drawing/2014/main" id="{00000000-0008-0000-0800-00007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6" name="Text Box 144">
          <a:extLst>
            <a:ext uri="{FF2B5EF4-FFF2-40B4-BE49-F238E27FC236}">
              <a16:creationId xmlns:a16="http://schemas.microsoft.com/office/drawing/2014/main" id="{00000000-0008-0000-0800-00008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7" name="Text Box 145">
          <a:extLst>
            <a:ext uri="{FF2B5EF4-FFF2-40B4-BE49-F238E27FC236}">
              <a16:creationId xmlns:a16="http://schemas.microsoft.com/office/drawing/2014/main" id="{00000000-0008-0000-0800-00008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8" name="Text Box 146">
          <a:extLst>
            <a:ext uri="{FF2B5EF4-FFF2-40B4-BE49-F238E27FC236}">
              <a16:creationId xmlns:a16="http://schemas.microsoft.com/office/drawing/2014/main" id="{00000000-0008-0000-0800-00008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9" name="Text Box 147">
          <a:extLst>
            <a:ext uri="{FF2B5EF4-FFF2-40B4-BE49-F238E27FC236}">
              <a16:creationId xmlns:a16="http://schemas.microsoft.com/office/drawing/2014/main" id="{00000000-0008-0000-0800-00008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0" name="Text Box 148">
          <a:extLst>
            <a:ext uri="{FF2B5EF4-FFF2-40B4-BE49-F238E27FC236}">
              <a16:creationId xmlns:a16="http://schemas.microsoft.com/office/drawing/2014/main" id="{00000000-0008-0000-0800-00008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1" name="Text Box 149">
          <a:extLst>
            <a:ext uri="{FF2B5EF4-FFF2-40B4-BE49-F238E27FC236}">
              <a16:creationId xmlns:a16="http://schemas.microsoft.com/office/drawing/2014/main" id="{00000000-0008-0000-0800-00008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2" name="Text Box 150">
          <a:extLst>
            <a:ext uri="{FF2B5EF4-FFF2-40B4-BE49-F238E27FC236}">
              <a16:creationId xmlns:a16="http://schemas.microsoft.com/office/drawing/2014/main" id="{00000000-0008-0000-0800-00008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3" name="Text Box 151">
          <a:extLst>
            <a:ext uri="{FF2B5EF4-FFF2-40B4-BE49-F238E27FC236}">
              <a16:creationId xmlns:a16="http://schemas.microsoft.com/office/drawing/2014/main" id="{00000000-0008-0000-0800-00008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4" name="Text Box 152">
          <a:extLst>
            <a:ext uri="{FF2B5EF4-FFF2-40B4-BE49-F238E27FC236}">
              <a16:creationId xmlns:a16="http://schemas.microsoft.com/office/drawing/2014/main" id="{00000000-0008-0000-0800-00008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5" name="Text Box 153">
          <a:extLst>
            <a:ext uri="{FF2B5EF4-FFF2-40B4-BE49-F238E27FC236}">
              <a16:creationId xmlns:a16="http://schemas.microsoft.com/office/drawing/2014/main" id="{00000000-0008-0000-0800-00008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6" name="Text Box 154">
          <a:extLst>
            <a:ext uri="{FF2B5EF4-FFF2-40B4-BE49-F238E27FC236}">
              <a16:creationId xmlns:a16="http://schemas.microsoft.com/office/drawing/2014/main" id="{00000000-0008-0000-0800-00008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7" name="Text Box 155">
          <a:extLst>
            <a:ext uri="{FF2B5EF4-FFF2-40B4-BE49-F238E27FC236}">
              <a16:creationId xmlns:a16="http://schemas.microsoft.com/office/drawing/2014/main" id="{00000000-0008-0000-0800-00008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8" name="Text Box 156">
          <a:extLst>
            <a:ext uri="{FF2B5EF4-FFF2-40B4-BE49-F238E27FC236}">
              <a16:creationId xmlns:a16="http://schemas.microsoft.com/office/drawing/2014/main" id="{00000000-0008-0000-0800-00008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9" name="Text Box 157">
          <a:extLst>
            <a:ext uri="{FF2B5EF4-FFF2-40B4-BE49-F238E27FC236}">
              <a16:creationId xmlns:a16="http://schemas.microsoft.com/office/drawing/2014/main" id="{00000000-0008-0000-0800-00008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0" name="Text Box 158">
          <a:extLst>
            <a:ext uri="{FF2B5EF4-FFF2-40B4-BE49-F238E27FC236}">
              <a16:creationId xmlns:a16="http://schemas.microsoft.com/office/drawing/2014/main" id="{00000000-0008-0000-0800-00008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1" name="Text Box 159">
          <a:extLst>
            <a:ext uri="{FF2B5EF4-FFF2-40B4-BE49-F238E27FC236}">
              <a16:creationId xmlns:a16="http://schemas.microsoft.com/office/drawing/2014/main" id="{00000000-0008-0000-0800-00008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2" name="Text Box 160">
          <a:extLst>
            <a:ext uri="{FF2B5EF4-FFF2-40B4-BE49-F238E27FC236}">
              <a16:creationId xmlns:a16="http://schemas.microsoft.com/office/drawing/2014/main" id="{00000000-0008-0000-0800-00009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3" name="Text Box 161">
          <a:extLst>
            <a:ext uri="{FF2B5EF4-FFF2-40B4-BE49-F238E27FC236}">
              <a16:creationId xmlns:a16="http://schemas.microsoft.com/office/drawing/2014/main" id="{00000000-0008-0000-0800-00009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4" name="Text Box 162">
          <a:extLst>
            <a:ext uri="{FF2B5EF4-FFF2-40B4-BE49-F238E27FC236}">
              <a16:creationId xmlns:a16="http://schemas.microsoft.com/office/drawing/2014/main" id="{00000000-0008-0000-0800-00009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5" name="Text Box 163">
          <a:extLst>
            <a:ext uri="{FF2B5EF4-FFF2-40B4-BE49-F238E27FC236}">
              <a16:creationId xmlns:a16="http://schemas.microsoft.com/office/drawing/2014/main" id="{00000000-0008-0000-0800-00009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6" name="Text Box 164">
          <a:extLst>
            <a:ext uri="{FF2B5EF4-FFF2-40B4-BE49-F238E27FC236}">
              <a16:creationId xmlns:a16="http://schemas.microsoft.com/office/drawing/2014/main" id="{00000000-0008-0000-0800-00009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7" name="Text Box 165">
          <a:extLst>
            <a:ext uri="{FF2B5EF4-FFF2-40B4-BE49-F238E27FC236}">
              <a16:creationId xmlns:a16="http://schemas.microsoft.com/office/drawing/2014/main" id="{00000000-0008-0000-0800-00009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8" name="Text Box 166">
          <a:extLst>
            <a:ext uri="{FF2B5EF4-FFF2-40B4-BE49-F238E27FC236}">
              <a16:creationId xmlns:a16="http://schemas.microsoft.com/office/drawing/2014/main" id="{00000000-0008-0000-0800-00009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9" name="Text Box 167">
          <a:extLst>
            <a:ext uri="{FF2B5EF4-FFF2-40B4-BE49-F238E27FC236}">
              <a16:creationId xmlns:a16="http://schemas.microsoft.com/office/drawing/2014/main" id="{00000000-0008-0000-0800-00009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0" name="Text Box 168">
          <a:extLst>
            <a:ext uri="{FF2B5EF4-FFF2-40B4-BE49-F238E27FC236}">
              <a16:creationId xmlns:a16="http://schemas.microsoft.com/office/drawing/2014/main" id="{00000000-0008-0000-0800-00009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1" name="Text Box 169">
          <a:extLst>
            <a:ext uri="{FF2B5EF4-FFF2-40B4-BE49-F238E27FC236}">
              <a16:creationId xmlns:a16="http://schemas.microsoft.com/office/drawing/2014/main" id="{00000000-0008-0000-0800-00009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2" name="Text Box 170">
          <a:extLst>
            <a:ext uri="{FF2B5EF4-FFF2-40B4-BE49-F238E27FC236}">
              <a16:creationId xmlns:a16="http://schemas.microsoft.com/office/drawing/2014/main" id="{00000000-0008-0000-0800-00009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3" name="Text Box 171">
          <a:extLst>
            <a:ext uri="{FF2B5EF4-FFF2-40B4-BE49-F238E27FC236}">
              <a16:creationId xmlns:a16="http://schemas.microsoft.com/office/drawing/2014/main" id="{00000000-0008-0000-0800-00009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4" name="Text Box 172">
          <a:extLst>
            <a:ext uri="{FF2B5EF4-FFF2-40B4-BE49-F238E27FC236}">
              <a16:creationId xmlns:a16="http://schemas.microsoft.com/office/drawing/2014/main" id="{00000000-0008-0000-0800-00009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5" name="Text Box 173">
          <a:extLst>
            <a:ext uri="{FF2B5EF4-FFF2-40B4-BE49-F238E27FC236}">
              <a16:creationId xmlns:a16="http://schemas.microsoft.com/office/drawing/2014/main" id="{00000000-0008-0000-0800-00009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6" name="Text Box 174">
          <a:extLst>
            <a:ext uri="{FF2B5EF4-FFF2-40B4-BE49-F238E27FC236}">
              <a16:creationId xmlns:a16="http://schemas.microsoft.com/office/drawing/2014/main" id="{00000000-0008-0000-0800-00009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7" name="Text Box 175">
          <a:extLst>
            <a:ext uri="{FF2B5EF4-FFF2-40B4-BE49-F238E27FC236}">
              <a16:creationId xmlns:a16="http://schemas.microsoft.com/office/drawing/2014/main" id="{00000000-0008-0000-0800-00009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8" name="Text Box 176">
          <a:extLst>
            <a:ext uri="{FF2B5EF4-FFF2-40B4-BE49-F238E27FC236}">
              <a16:creationId xmlns:a16="http://schemas.microsoft.com/office/drawing/2014/main" id="{00000000-0008-0000-0800-0000A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9" name="Text Box 177">
          <a:extLst>
            <a:ext uri="{FF2B5EF4-FFF2-40B4-BE49-F238E27FC236}">
              <a16:creationId xmlns:a16="http://schemas.microsoft.com/office/drawing/2014/main" id="{00000000-0008-0000-0800-0000A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0" name="Text Box 178">
          <a:extLst>
            <a:ext uri="{FF2B5EF4-FFF2-40B4-BE49-F238E27FC236}">
              <a16:creationId xmlns:a16="http://schemas.microsoft.com/office/drawing/2014/main" id="{00000000-0008-0000-0800-0000A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1" name="Text Box 179">
          <a:extLst>
            <a:ext uri="{FF2B5EF4-FFF2-40B4-BE49-F238E27FC236}">
              <a16:creationId xmlns:a16="http://schemas.microsoft.com/office/drawing/2014/main" id="{00000000-0008-0000-0800-0000A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2" name="Text Box 180">
          <a:extLst>
            <a:ext uri="{FF2B5EF4-FFF2-40B4-BE49-F238E27FC236}">
              <a16:creationId xmlns:a16="http://schemas.microsoft.com/office/drawing/2014/main" id="{00000000-0008-0000-0800-0000A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3" name="Text Box 181">
          <a:extLst>
            <a:ext uri="{FF2B5EF4-FFF2-40B4-BE49-F238E27FC236}">
              <a16:creationId xmlns:a16="http://schemas.microsoft.com/office/drawing/2014/main" id="{00000000-0008-0000-0800-0000A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4" name="Text Box 182">
          <a:extLst>
            <a:ext uri="{FF2B5EF4-FFF2-40B4-BE49-F238E27FC236}">
              <a16:creationId xmlns:a16="http://schemas.microsoft.com/office/drawing/2014/main" id="{00000000-0008-0000-0800-0000A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5" name="Text Box 183">
          <a:extLst>
            <a:ext uri="{FF2B5EF4-FFF2-40B4-BE49-F238E27FC236}">
              <a16:creationId xmlns:a16="http://schemas.microsoft.com/office/drawing/2014/main" id="{00000000-0008-0000-0800-0000A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6" name="Text Box 184">
          <a:extLst>
            <a:ext uri="{FF2B5EF4-FFF2-40B4-BE49-F238E27FC236}">
              <a16:creationId xmlns:a16="http://schemas.microsoft.com/office/drawing/2014/main" id="{00000000-0008-0000-0800-0000A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7" name="Text Box 185">
          <a:extLst>
            <a:ext uri="{FF2B5EF4-FFF2-40B4-BE49-F238E27FC236}">
              <a16:creationId xmlns:a16="http://schemas.microsoft.com/office/drawing/2014/main" id="{00000000-0008-0000-0800-0000A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8" name="Text Box 186">
          <a:extLst>
            <a:ext uri="{FF2B5EF4-FFF2-40B4-BE49-F238E27FC236}">
              <a16:creationId xmlns:a16="http://schemas.microsoft.com/office/drawing/2014/main" id="{00000000-0008-0000-0800-0000A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9" name="Text Box 187">
          <a:extLst>
            <a:ext uri="{FF2B5EF4-FFF2-40B4-BE49-F238E27FC236}">
              <a16:creationId xmlns:a16="http://schemas.microsoft.com/office/drawing/2014/main" id="{00000000-0008-0000-0800-0000A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0" name="Text Box 188">
          <a:extLst>
            <a:ext uri="{FF2B5EF4-FFF2-40B4-BE49-F238E27FC236}">
              <a16:creationId xmlns:a16="http://schemas.microsoft.com/office/drawing/2014/main" id="{00000000-0008-0000-0800-0000A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1" name="Text Box 189">
          <a:extLst>
            <a:ext uri="{FF2B5EF4-FFF2-40B4-BE49-F238E27FC236}">
              <a16:creationId xmlns:a16="http://schemas.microsoft.com/office/drawing/2014/main" id="{00000000-0008-0000-0800-0000A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2" name="Text Box 190">
          <a:extLst>
            <a:ext uri="{FF2B5EF4-FFF2-40B4-BE49-F238E27FC236}">
              <a16:creationId xmlns:a16="http://schemas.microsoft.com/office/drawing/2014/main" id="{00000000-0008-0000-0800-0000A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3" name="Text Box 191">
          <a:extLst>
            <a:ext uri="{FF2B5EF4-FFF2-40B4-BE49-F238E27FC236}">
              <a16:creationId xmlns:a16="http://schemas.microsoft.com/office/drawing/2014/main" id="{00000000-0008-0000-0800-0000A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4" name="Text Box 192">
          <a:extLst>
            <a:ext uri="{FF2B5EF4-FFF2-40B4-BE49-F238E27FC236}">
              <a16:creationId xmlns:a16="http://schemas.microsoft.com/office/drawing/2014/main" id="{00000000-0008-0000-0800-0000B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5" name="Text Box 193">
          <a:extLst>
            <a:ext uri="{FF2B5EF4-FFF2-40B4-BE49-F238E27FC236}">
              <a16:creationId xmlns:a16="http://schemas.microsoft.com/office/drawing/2014/main" id="{00000000-0008-0000-0800-0000B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6" name="Text Box 194">
          <a:extLst>
            <a:ext uri="{FF2B5EF4-FFF2-40B4-BE49-F238E27FC236}">
              <a16:creationId xmlns:a16="http://schemas.microsoft.com/office/drawing/2014/main" id="{00000000-0008-0000-0800-0000B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7" name="Text Box 195">
          <a:extLst>
            <a:ext uri="{FF2B5EF4-FFF2-40B4-BE49-F238E27FC236}">
              <a16:creationId xmlns:a16="http://schemas.microsoft.com/office/drawing/2014/main" id="{00000000-0008-0000-0800-0000B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8" name="Text Box 196">
          <a:extLst>
            <a:ext uri="{FF2B5EF4-FFF2-40B4-BE49-F238E27FC236}">
              <a16:creationId xmlns:a16="http://schemas.microsoft.com/office/drawing/2014/main" id="{00000000-0008-0000-0800-0000B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9" name="Text Box 197">
          <a:extLst>
            <a:ext uri="{FF2B5EF4-FFF2-40B4-BE49-F238E27FC236}">
              <a16:creationId xmlns:a16="http://schemas.microsoft.com/office/drawing/2014/main" id="{00000000-0008-0000-0800-0000B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0" name="Text Box 198">
          <a:extLst>
            <a:ext uri="{FF2B5EF4-FFF2-40B4-BE49-F238E27FC236}">
              <a16:creationId xmlns:a16="http://schemas.microsoft.com/office/drawing/2014/main" id="{00000000-0008-0000-0800-0000B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1" name="Text Box 199">
          <a:extLst>
            <a:ext uri="{FF2B5EF4-FFF2-40B4-BE49-F238E27FC236}">
              <a16:creationId xmlns:a16="http://schemas.microsoft.com/office/drawing/2014/main" id="{00000000-0008-0000-0800-0000B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2" name="Text Box 200">
          <a:extLst>
            <a:ext uri="{FF2B5EF4-FFF2-40B4-BE49-F238E27FC236}">
              <a16:creationId xmlns:a16="http://schemas.microsoft.com/office/drawing/2014/main" id="{00000000-0008-0000-0800-0000B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3" name="Text Box 201">
          <a:extLst>
            <a:ext uri="{FF2B5EF4-FFF2-40B4-BE49-F238E27FC236}">
              <a16:creationId xmlns:a16="http://schemas.microsoft.com/office/drawing/2014/main" id="{00000000-0008-0000-0800-0000B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4" name="Text Box 202">
          <a:extLst>
            <a:ext uri="{FF2B5EF4-FFF2-40B4-BE49-F238E27FC236}">
              <a16:creationId xmlns:a16="http://schemas.microsoft.com/office/drawing/2014/main" id="{00000000-0008-0000-0800-0000B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5" name="Text Box 203">
          <a:extLst>
            <a:ext uri="{FF2B5EF4-FFF2-40B4-BE49-F238E27FC236}">
              <a16:creationId xmlns:a16="http://schemas.microsoft.com/office/drawing/2014/main" id="{00000000-0008-0000-0800-0000B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6" name="Text Box 204">
          <a:extLst>
            <a:ext uri="{FF2B5EF4-FFF2-40B4-BE49-F238E27FC236}">
              <a16:creationId xmlns:a16="http://schemas.microsoft.com/office/drawing/2014/main" id="{00000000-0008-0000-0800-0000B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7" name="Text Box 205">
          <a:extLst>
            <a:ext uri="{FF2B5EF4-FFF2-40B4-BE49-F238E27FC236}">
              <a16:creationId xmlns:a16="http://schemas.microsoft.com/office/drawing/2014/main" id="{00000000-0008-0000-0800-0000B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8" name="Text Box 206">
          <a:extLst>
            <a:ext uri="{FF2B5EF4-FFF2-40B4-BE49-F238E27FC236}">
              <a16:creationId xmlns:a16="http://schemas.microsoft.com/office/drawing/2014/main" id="{00000000-0008-0000-0800-0000B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9" name="Text Box 207">
          <a:extLst>
            <a:ext uri="{FF2B5EF4-FFF2-40B4-BE49-F238E27FC236}">
              <a16:creationId xmlns:a16="http://schemas.microsoft.com/office/drawing/2014/main" id="{00000000-0008-0000-0800-0000B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0" name="Text Box 208">
          <a:extLst>
            <a:ext uri="{FF2B5EF4-FFF2-40B4-BE49-F238E27FC236}">
              <a16:creationId xmlns:a16="http://schemas.microsoft.com/office/drawing/2014/main" id="{00000000-0008-0000-0800-0000C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1" name="Text Box 209">
          <a:extLst>
            <a:ext uri="{FF2B5EF4-FFF2-40B4-BE49-F238E27FC236}">
              <a16:creationId xmlns:a16="http://schemas.microsoft.com/office/drawing/2014/main" id="{00000000-0008-0000-0800-0000C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2" name="Text Box 210">
          <a:extLst>
            <a:ext uri="{FF2B5EF4-FFF2-40B4-BE49-F238E27FC236}">
              <a16:creationId xmlns:a16="http://schemas.microsoft.com/office/drawing/2014/main" id="{00000000-0008-0000-0800-0000C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3" name="Text Box 211">
          <a:extLst>
            <a:ext uri="{FF2B5EF4-FFF2-40B4-BE49-F238E27FC236}">
              <a16:creationId xmlns:a16="http://schemas.microsoft.com/office/drawing/2014/main" id="{00000000-0008-0000-0800-0000C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4" name="Text Box 212">
          <a:extLst>
            <a:ext uri="{FF2B5EF4-FFF2-40B4-BE49-F238E27FC236}">
              <a16:creationId xmlns:a16="http://schemas.microsoft.com/office/drawing/2014/main" id="{00000000-0008-0000-0800-0000C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5" name="Text Box 213">
          <a:extLst>
            <a:ext uri="{FF2B5EF4-FFF2-40B4-BE49-F238E27FC236}">
              <a16:creationId xmlns:a16="http://schemas.microsoft.com/office/drawing/2014/main" id="{00000000-0008-0000-0800-0000C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6" name="Text Box 214">
          <a:extLst>
            <a:ext uri="{FF2B5EF4-FFF2-40B4-BE49-F238E27FC236}">
              <a16:creationId xmlns:a16="http://schemas.microsoft.com/office/drawing/2014/main" id="{00000000-0008-0000-0800-0000C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7" name="Text Box 215">
          <a:extLst>
            <a:ext uri="{FF2B5EF4-FFF2-40B4-BE49-F238E27FC236}">
              <a16:creationId xmlns:a16="http://schemas.microsoft.com/office/drawing/2014/main" id="{00000000-0008-0000-0800-0000C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8" name="Text Box 216">
          <a:extLst>
            <a:ext uri="{FF2B5EF4-FFF2-40B4-BE49-F238E27FC236}">
              <a16:creationId xmlns:a16="http://schemas.microsoft.com/office/drawing/2014/main" id="{00000000-0008-0000-0800-0000C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9" name="Text Box 217">
          <a:extLst>
            <a:ext uri="{FF2B5EF4-FFF2-40B4-BE49-F238E27FC236}">
              <a16:creationId xmlns:a16="http://schemas.microsoft.com/office/drawing/2014/main" id="{00000000-0008-0000-0800-0000C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0" name="Text Box 218">
          <a:extLst>
            <a:ext uri="{FF2B5EF4-FFF2-40B4-BE49-F238E27FC236}">
              <a16:creationId xmlns:a16="http://schemas.microsoft.com/office/drawing/2014/main" id="{00000000-0008-0000-0800-0000C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1" name="Text Box 219">
          <a:extLst>
            <a:ext uri="{FF2B5EF4-FFF2-40B4-BE49-F238E27FC236}">
              <a16:creationId xmlns:a16="http://schemas.microsoft.com/office/drawing/2014/main" id="{00000000-0008-0000-0800-0000C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2" name="Text Box 220">
          <a:extLst>
            <a:ext uri="{FF2B5EF4-FFF2-40B4-BE49-F238E27FC236}">
              <a16:creationId xmlns:a16="http://schemas.microsoft.com/office/drawing/2014/main" id="{00000000-0008-0000-0800-0000C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3" name="Text Box 221">
          <a:extLst>
            <a:ext uri="{FF2B5EF4-FFF2-40B4-BE49-F238E27FC236}">
              <a16:creationId xmlns:a16="http://schemas.microsoft.com/office/drawing/2014/main" id="{00000000-0008-0000-0800-0000C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4" name="Text Box 222">
          <a:extLst>
            <a:ext uri="{FF2B5EF4-FFF2-40B4-BE49-F238E27FC236}">
              <a16:creationId xmlns:a16="http://schemas.microsoft.com/office/drawing/2014/main" id="{00000000-0008-0000-0800-0000C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5" name="Text Box 223">
          <a:extLst>
            <a:ext uri="{FF2B5EF4-FFF2-40B4-BE49-F238E27FC236}">
              <a16:creationId xmlns:a16="http://schemas.microsoft.com/office/drawing/2014/main" id="{00000000-0008-0000-0800-0000C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6" name="Text Box 224">
          <a:extLst>
            <a:ext uri="{FF2B5EF4-FFF2-40B4-BE49-F238E27FC236}">
              <a16:creationId xmlns:a16="http://schemas.microsoft.com/office/drawing/2014/main" id="{00000000-0008-0000-0800-0000D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7" name="Text Box 225">
          <a:extLst>
            <a:ext uri="{FF2B5EF4-FFF2-40B4-BE49-F238E27FC236}">
              <a16:creationId xmlns:a16="http://schemas.microsoft.com/office/drawing/2014/main" id="{00000000-0008-0000-0800-0000D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8" name="Text Box 226">
          <a:extLst>
            <a:ext uri="{FF2B5EF4-FFF2-40B4-BE49-F238E27FC236}">
              <a16:creationId xmlns:a16="http://schemas.microsoft.com/office/drawing/2014/main" id="{00000000-0008-0000-0800-0000D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99" name="Text Box 227">
          <a:extLst>
            <a:ext uri="{FF2B5EF4-FFF2-40B4-BE49-F238E27FC236}">
              <a16:creationId xmlns:a16="http://schemas.microsoft.com/office/drawing/2014/main" id="{00000000-0008-0000-0800-0000D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0" name="Text Box 228">
          <a:extLst>
            <a:ext uri="{FF2B5EF4-FFF2-40B4-BE49-F238E27FC236}">
              <a16:creationId xmlns:a16="http://schemas.microsoft.com/office/drawing/2014/main" id="{00000000-0008-0000-0800-0000D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1" name="Text Box 229">
          <a:extLst>
            <a:ext uri="{FF2B5EF4-FFF2-40B4-BE49-F238E27FC236}">
              <a16:creationId xmlns:a16="http://schemas.microsoft.com/office/drawing/2014/main" id="{00000000-0008-0000-0800-0000D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2" name="Text Box 230">
          <a:extLst>
            <a:ext uri="{FF2B5EF4-FFF2-40B4-BE49-F238E27FC236}">
              <a16:creationId xmlns:a16="http://schemas.microsoft.com/office/drawing/2014/main" id="{00000000-0008-0000-0800-0000D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3" name="Text Box 231">
          <a:extLst>
            <a:ext uri="{FF2B5EF4-FFF2-40B4-BE49-F238E27FC236}">
              <a16:creationId xmlns:a16="http://schemas.microsoft.com/office/drawing/2014/main" id="{00000000-0008-0000-0800-0000D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4" name="Text Box 232">
          <a:extLst>
            <a:ext uri="{FF2B5EF4-FFF2-40B4-BE49-F238E27FC236}">
              <a16:creationId xmlns:a16="http://schemas.microsoft.com/office/drawing/2014/main" id="{00000000-0008-0000-0800-0000D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5" name="Text Box 233">
          <a:extLst>
            <a:ext uri="{FF2B5EF4-FFF2-40B4-BE49-F238E27FC236}">
              <a16:creationId xmlns:a16="http://schemas.microsoft.com/office/drawing/2014/main" id="{00000000-0008-0000-0800-0000D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6" name="Text Box 234">
          <a:extLst>
            <a:ext uri="{FF2B5EF4-FFF2-40B4-BE49-F238E27FC236}">
              <a16:creationId xmlns:a16="http://schemas.microsoft.com/office/drawing/2014/main" id="{00000000-0008-0000-0800-0000D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7" name="Text Box 235">
          <a:extLst>
            <a:ext uri="{FF2B5EF4-FFF2-40B4-BE49-F238E27FC236}">
              <a16:creationId xmlns:a16="http://schemas.microsoft.com/office/drawing/2014/main" id="{00000000-0008-0000-0800-0000D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8" name="Text Box 236">
          <a:extLst>
            <a:ext uri="{FF2B5EF4-FFF2-40B4-BE49-F238E27FC236}">
              <a16:creationId xmlns:a16="http://schemas.microsoft.com/office/drawing/2014/main" id="{00000000-0008-0000-0800-0000D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9" name="Text Box 237">
          <a:extLst>
            <a:ext uri="{FF2B5EF4-FFF2-40B4-BE49-F238E27FC236}">
              <a16:creationId xmlns:a16="http://schemas.microsoft.com/office/drawing/2014/main" id="{00000000-0008-0000-0800-0000D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0" name="Text Box 238">
          <a:extLst>
            <a:ext uri="{FF2B5EF4-FFF2-40B4-BE49-F238E27FC236}">
              <a16:creationId xmlns:a16="http://schemas.microsoft.com/office/drawing/2014/main" id="{00000000-0008-0000-0800-0000D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1" name="Text Box 239">
          <a:extLst>
            <a:ext uri="{FF2B5EF4-FFF2-40B4-BE49-F238E27FC236}">
              <a16:creationId xmlns:a16="http://schemas.microsoft.com/office/drawing/2014/main" id="{00000000-0008-0000-0800-0000D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2" name="Text Box 240">
          <a:extLst>
            <a:ext uri="{FF2B5EF4-FFF2-40B4-BE49-F238E27FC236}">
              <a16:creationId xmlns:a16="http://schemas.microsoft.com/office/drawing/2014/main" id="{00000000-0008-0000-0800-0000E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3" name="Text Box 241">
          <a:extLst>
            <a:ext uri="{FF2B5EF4-FFF2-40B4-BE49-F238E27FC236}">
              <a16:creationId xmlns:a16="http://schemas.microsoft.com/office/drawing/2014/main" id="{00000000-0008-0000-0800-0000E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4" name="Text Box 242">
          <a:extLst>
            <a:ext uri="{FF2B5EF4-FFF2-40B4-BE49-F238E27FC236}">
              <a16:creationId xmlns:a16="http://schemas.microsoft.com/office/drawing/2014/main" id="{00000000-0008-0000-0800-0000E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5" name="Text Box 243">
          <a:extLst>
            <a:ext uri="{FF2B5EF4-FFF2-40B4-BE49-F238E27FC236}">
              <a16:creationId xmlns:a16="http://schemas.microsoft.com/office/drawing/2014/main" id="{00000000-0008-0000-0800-0000E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6" name="Text Box 244">
          <a:extLst>
            <a:ext uri="{FF2B5EF4-FFF2-40B4-BE49-F238E27FC236}">
              <a16:creationId xmlns:a16="http://schemas.microsoft.com/office/drawing/2014/main" id="{00000000-0008-0000-0800-0000E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7" name="Text Box 245">
          <a:extLst>
            <a:ext uri="{FF2B5EF4-FFF2-40B4-BE49-F238E27FC236}">
              <a16:creationId xmlns:a16="http://schemas.microsoft.com/office/drawing/2014/main" id="{00000000-0008-0000-0800-0000E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8" name="Text Box 246">
          <a:extLst>
            <a:ext uri="{FF2B5EF4-FFF2-40B4-BE49-F238E27FC236}">
              <a16:creationId xmlns:a16="http://schemas.microsoft.com/office/drawing/2014/main" id="{00000000-0008-0000-0800-0000E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9" name="Text Box 247">
          <a:extLst>
            <a:ext uri="{FF2B5EF4-FFF2-40B4-BE49-F238E27FC236}">
              <a16:creationId xmlns:a16="http://schemas.microsoft.com/office/drawing/2014/main" id="{00000000-0008-0000-0800-0000E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0" name="Text Box 248">
          <a:extLst>
            <a:ext uri="{FF2B5EF4-FFF2-40B4-BE49-F238E27FC236}">
              <a16:creationId xmlns:a16="http://schemas.microsoft.com/office/drawing/2014/main" id="{00000000-0008-0000-0800-0000E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1" name="Text Box 249">
          <a:extLst>
            <a:ext uri="{FF2B5EF4-FFF2-40B4-BE49-F238E27FC236}">
              <a16:creationId xmlns:a16="http://schemas.microsoft.com/office/drawing/2014/main" id="{00000000-0008-0000-0800-0000E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2" name="Text Box 250">
          <a:extLst>
            <a:ext uri="{FF2B5EF4-FFF2-40B4-BE49-F238E27FC236}">
              <a16:creationId xmlns:a16="http://schemas.microsoft.com/office/drawing/2014/main" id="{00000000-0008-0000-0800-0000E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3" name="Text Box 251">
          <a:extLst>
            <a:ext uri="{FF2B5EF4-FFF2-40B4-BE49-F238E27FC236}">
              <a16:creationId xmlns:a16="http://schemas.microsoft.com/office/drawing/2014/main" id="{00000000-0008-0000-0800-0000E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4" name="Text Box 252">
          <a:extLst>
            <a:ext uri="{FF2B5EF4-FFF2-40B4-BE49-F238E27FC236}">
              <a16:creationId xmlns:a16="http://schemas.microsoft.com/office/drawing/2014/main" id="{00000000-0008-0000-0800-0000E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5" name="Text Box 253">
          <a:extLst>
            <a:ext uri="{FF2B5EF4-FFF2-40B4-BE49-F238E27FC236}">
              <a16:creationId xmlns:a16="http://schemas.microsoft.com/office/drawing/2014/main" id="{00000000-0008-0000-0800-0000E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6" name="Text Box 254">
          <a:extLst>
            <a:ext uri="{FF2B5EF4-FFF2-40B4-BE49-F238E27FC236}">
              <a16:creationId xmlns:a16="http://schemas.microsoft.com/office/drawing/2014/main" id="{00000000-0008-0000-0800-0000E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7" name="Text Box 255">
          <a:extLst>
            <a:ext uri="{FF2B5EF4-FFF2-40B4-BE49-F238E27FC236}">
              <a16:creationId xmlns:a16="http://schemas.microsoft.com/office/drawing/2014/main" id="{00000000-0008-0000-0800-0000E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8" name="Text Box 256">
          <a:extLst>
            <a:ext uri="{FF2B5EF4-FFF2-40B4-BE49-F238E27FC236}">
              <a16:creationId xmlns:a16="http://schemas.microsoft.com/office/drawing/2014/main" id="{00000000-0008-0000-0800-0000F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9" name="Text Box 257">
          <a:extLst>
            <a:ext uri="{FF2B5EF4-FFF2-40B4-BE49-F238E27FC236}">
              <a16:creationId xmlns:a16="http://schemas.microsoft.com/office/drawing/2014/main" id="{00000000-0008-0000-0800-0000F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0" name="Text Box 258">
          <a:extLst>
            <a:ext uri="{FF2B5EF4-FFF2-40B4-BE49-F238E27FC236}">
              <a16:creationId xmlns:a16="http://schemas.microsoft.com/office/drawing/2014/main" id="{00000000-0008-0000-0800-0000F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1" name="Text Box 259">
          <a:extLst>
            <a:ext uri="{FF2B5EF4-FFF2-40B4-BE49-F238E27FC236}">
              <a16:creationId xmlns:a16="http://schemas.microsoft.com/office/drawing/2014/main" id="{00000000-0008-0000-0800-0000F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2" name="Text Box 260">
          <a:extLst>
            <a:ext uri="{FF2B5EF4-FFF2-40B4-BE49-F238E27FC236}">
              <a16:creationId xmlns:a16="http://schemas.microsoft.com/office/drawing/2014/main" id="{00000000-0008-0000-0800-0000F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3" name="Text Box 261">
          <a:extLst>
            <a:ext uri="{FF2B5EF4-FFF2-40B4-BE49-F238E27FC236}">
              <a16:creationId xmlns:a16="http://schemas.microsoft.com/office/drawing/2014/main" id="{00000000-0008-0000-0800-0000F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4" name="Text Box 262">
          <a:extLst>
            <a:ext uri="{FF2B5EF4-FFF2-40B4-BE49-F238E27FC236}">
              <a16:creationId xmlns:a16="http://schemas.microsoft.com/office/drawing/2014/main" id="{00000000-0008-0000-0800-0000F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5" name="Text Box 263">
          <a:extLst>
            <a:ext uri="{FF2B5EF4-FFF2-40B4-BE49-F238E27FC236}">
              <a16:creationId xmlns:a16="http://schemas.microsoft.com/office/drawing/2014/main" id="{00000000-0008-0000-0800-0000F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6" name="Text Box 264">
          <a:extLst>
            <a:ext uri="{FF2B5EF4-FFF2-40B4-BE49-F238E27FC236}">
              <a16:creationId xmlns:a16="http://schemas.microsoft.com/office/drawing/2014/main" id="{00000000-0008-0000-0800-0000F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7" name="Text Box 265">
          <a:extLst>
            <a:ext uri="{FF2B5EF4-FFF2-40B4-BE49-F238E27FC236}">
              <a16:creationId xmlns:a16="http://schemas.microsoft.com/office/drawing/2014/main" id="{00000000-0008-0000-0800-0000F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8" name="Text Box 266">
          <a:extLst>
            <a:ext uri="{FF2B5EF4-FFF2-40B4-BE49-F238E27FC236}">
              <a16:creationId xmlns:a16="http://schemas.microsoft.com/office/drawing/2014/main" id="{00000000-0008-0000-0800-0000F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9" name="Text Box 267">
          <a:extLst>
            <a:ext uri="{FF2B5EF4-FFF2-40B4-BE49-F238E27FC236}">
              <a16:creationId xmlns:a16="http://schemas.microsoft.com/office/drawing/2014/main" id="{00000000-0008-0000-0800-0000F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0" name="Text Box 268">
          <a:extLst>
            <a:ext uri="{FF2B5EF4-FFF2-40B4-BE49-F238E27FC236}">
              <a16:creationId xmlns:a16="http://schemas.microsoft.com/office/drawing/2014/main" id="{00000000-0008-0000-0800-0000F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1" name="Text Box 269">
          <a:extLst>
            <a:ext uri="{FF2B5EF4-FFF2-40B4-BE49-F238E27FC236}">
              <a16:creationId xmlns:a16="http://schemas.microsoft.com/office/drawing/2014/main" id="{00000000-0008-0000-0800-0000F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2" name="Text Box 270">
          <a:extLst>
            <a:ext uri="{FF2B5EF4-FFF2-40B4-BE49-F238E27FC236}">
              <a16:creationId xmlns:a16="http://schemas.microsoft.com/office/drawing/2014/main" id="{00000000-0008-0000-0800-0000F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3" name="Text Box 271">
          <a:extLst>
            <a:ext uri="{FF2B5EF4-FFF2-40B4-BE49-F238E27FC236}">
              <a16:creationId xmlns:a16="http://schemas.microsoft.com/office/drawing/2014/main" id="{00000000-0008-0000-0800-0000F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4" name="Text Box 272">
          <a:extLst>
            <a:ext uri="{FF2B5EF4-FFF2-40B4-BE49-F238E27FC236}">
              <a16:creationId xmlns:a16="http://schemas.microsoft.com/office/drawing/2014/main" id="{00000000-0008-0000-0800-00000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5" name="Text Box 273">
          <a:extLst>
            <a:ext uri="{FF2B5EF4-FFF2-40B4-BE49-F238E27FC236}">
              <a16:creationId xmlns:a16="http://schemas.microsoft.com/office/drawing/2014/main" id="{00000000-0008-0000-0800-00000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6" name="Text Box 274">
          <a:extLst>
            <a:ext uri="{FF2B5EF4-FFF2-40B4-BE49-F238E27FC236}">
              <a16:creationId xmlns:a16="http://schemas.microsoft.com/office/drawing/2014/main" id="{00000000-0008-0000-0800-00000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7" name="Text Box 275">
          <a:extLst>
            <a:ext uri="{FF2B5EF4-FFF2-40B4-BE49-F238E27FC236}">
              <a16:creationId xmlns:a16="http://schemas.microsoft.com/office/drawing/2014/main" id="{00000000-0008-0000-0800-00000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8" name="Text Box 276">
          <a:extLst>
            <a:ext uri="{FF2B5EF4-FFF2-40B4-BE49-F238E27FC236}">
              <a16:creationId xmlns:a16="http://schemas.microsoft.com/office/drawing/2014/main" id="{00000000-0008-0000-0800-00000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9" name="Text Box 277">
          <a:extLst>
            <a:ext uri="{FF2B5EF4-FFF2-40B4-BE49-F238E27FC236}">
              <a16:creationId xmlns:a16="http://schemas.microsoft.com/office/drawing/2014/main" id="{00000000-0008-0000-0800-00000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0" name="Text Box 278">
          <a:extLst>
            <a:ext uri="{FF2B5EF4-FFF2-40B4-BE49-F238E27FC236}">
              <a16:creationId xmlns:a16="http://schemas.microsoft.com/office/drawing/2014/main" id="{00000000-0008-0000-0800-00000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1" name="Text Box 279">
          <a:extLst>
            <a:ext uri="{FF2B5EF4-FFF2-40B4-BE49-F238E27FC236}">
              <a16:creationId xmlns:a16="http://schemas.microsoft.com/office/drawing/2014/main" id="{00000000-0008-0000-0800-00000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2" name="Text Box 280">
          <a:extLst>
            <a:ext uri="{FF2B5EF4-FFF2-40B4-BE49-F238E27FC236}">
              <a16:creationId xmlns:a16="http://schemas.microsoft.com/office/drawing/2014/main" id="{00000000-0008-0000-0800-00000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3" name="Text Box 281">
          <a:extLst>
            <a:ext uri="{FF2B5EF4-FFF2-40B4-BE49-F238E27FC236}">
              <a16:creationId xmlns:a16="http://schemas.microsoft.com/office/drawing/2014/main" id="{00000000-0008-0000-0800-00000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4" name="Text Box 282">
          <a:extLst>
            <a:ext uri="{FF2B5EF4-FFF2-40B4-BE49-F238E27FC236}">
              <a16:creationId xmlns:a16="http://schemas.microsoft.com/office/drawing/2014/main" id="{00000000-0008-0000-0800-00000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5" name="Text Box 283">
          <a:extLst>
            <a:ext uri="{FF2B5EF4-FFF2-40B4-BE49-F238E27FC236}">
              <a16:creationId xmlns:a16="http://schemas.microsoft.com/office/drawing/2014/main" id="{00000000-0008-0000-0800-00000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6" name="Text Box 284">
          <a:extLst>
            <a:ext uri="{FF2B5EF4-FFF2-40B4-BE49-F238E27FC236}">
              <a16:creationId xmlns:a16="http://schemas.microsoft.com/office/drawing/2014/main" id="{00000000-0008-0000-0800-00000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7" name="Text Box 285">
          <a:extLst>
            <a:ext uri="{FF2B5EF4-FFF2-40B4-BE49-F238E27FC236}">
              <a16:creationId xmlns:a16="http://schemas.microsoft.com/office/drawing/2014/main" id="{00000000-0008-0000-0800-00000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8" name="Text Box 286">
          <a:extLst>
            <a:ext uri="{FF2B5EF4-FFF2-40B4-BE49-F238E27FC236}">
              <a16:creationId xmlns:a16="http://schemas.microsoft.com/office/drawing/2014/main" id="{00000000-0008-0000-0800-00000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9" name="Text Box 287">
          <a:extLst>
            <a:ext uri="{FF2B5EF4-FFF2-40B4-BE49-F238E27FC236}">
              <a16:creationId xmlns:a16="http://schemas.microsoft.com/office/drawing/2014/main" id="{00000000-0008-0000-0800-00000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0" name="Text Box 288">
          <a:extLst>
            <a:ext uri="{FF2B5EF4-FFF2-40B4-BE49-F238E27FC236}">
              <a16:creationId xmlns:a16="http://schemas.microsoft.com/office/drawing/2014/main" id="{00000000-0008-0000-0800-00001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1" name="Text Box 289">
          <a:extLst>
            <a:ext uri="{FF2B5EF4-FFF2-40B4-BE49-F238E27FC236}">
              <a16:creationId xmlns:a16="http://schemas.microsoft.com/office/drawing/2014/main" id="{00000000-0008-0000-0800-00001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2" name="Text Box 290">
          <a:extLst>
            <a:ext uri="{FF2B5EF4-FFF2-40B4-BE49-F238E27FC236}">
              <a16:creationId xmlns:a16="http://schemas.microsoft.com/office/drawing/2014/main" id="{00000000-0008-0000-0800-00001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3" name="Text Box 291">
          <a:extLst>
            <a:ext uri="{FF2B5EF4-FFF2-40B4-BE49-F238E27FC236}">
              <a16:creationId xmlns:a16="http://schemas.microsoft.com/office/drawing/2014/main" id="{00000000-0008-0000-0800-00001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4" name="Text Box 292">
          <a:extLst>
            <a:ext uri="{FF2B5EF4-FFF2-40B4-BE49-F238E27FC236}">
              <a16:creationId xmlns:a16="http://schemas.microsoft.com/office/drawing/2014/main" id="{00000000-0008-0000-0800-00001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5" name="Text Box 293">
          <a:extLst>
            <a:ext uri="{FF2B5EF4-FFF2-40B4-BE49-F238E27FC236}">
              <a16:creationId xmlns:a16="http://schemas.microsoft.com/office/drawing/2014/main" id="{00000000-0008-0000-0800-00001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6" name="Text Box 294">
          <a:extLst>
            <a:ext uri="{FF2B5EF4-FFF2-40B4-BE49-F238E27FC236}">
              <a16:creationId xmlns:a16="http://schemas.microsoft.com/office/drawing/2014/main" id="{00000000-0008-0000-0800-00001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7" name="Text Box 295">
          <a:extLst>
            <a:ext uri="{FF2B5EF4-FFF2-40B4-BE49-F238E27FC236}">
              <a16:creationId xmlns:a16="http://schemas.microsoft.com/office/drawing/2014/main" id="{00000000-0008-0000-0800-00001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8" name="Text Box 296">
          <a:extLst>
            <a:ext uri="{FF2B5EF4-FFF2-40B4-BE49-F238E27FC236}">
              <a16:creationId xmlns:a16="http://schemas.microsoft.com/office/drawing/2014/main" id="{00000000-0008-0000-0800-00001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69" name="Text Box 297">
          <a:extLst>
            <a:ext uri="{FF2B5EF4-FFF2-40B4-BE49-F238E27FC236}">
              <a16:creationId xmlns:a16="http://schemas.microsoft.com/office/drawing/2014/main" id="{00000000-0008-0000-0800-00001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0" name="Text Box 298">
          <a:extLst>
            <a:ext uri="{FF2B5EF4-FFF2-40B4-BE49-F238E27FC236}">
              <a16:creationId xmlns:a16="http://schemas.microsoft.com/office/drawing/2014/main" id="{00000000-0008-0000-0800-00001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1" name="Text Box 299">
          <a:extLst>
            <a:ext uri="{FF2B5EF4-FFF2-40B4-BE49-F238E27FC236}">
              <a16:creationId xmlns:a16="http://schemas.microsoft.com/office/drawing/2014/main" id="{00000000-0008-0000-0800-00001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2" name="Text Box 300">
          <a:extLst>
            <a:ext uri="{FF2B5EF4-FFF2-40B4-BE49-F238E27FC236}">
              <a16:creationId xmlns:a16="http://schemas.microsoft.com/office/drawing/2014/main" id="{00000000-0008-0000-0800-00001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3" name="Text Box 301">
          <a:extLst>
            <a:ext uri="{FF2B5EF4-FFF2-40B4-BE49-F238E27FC236}">
              <a16:creationId xmlns:a16="http://schemas.microsoft.com/office/drawing/2014/main" id="{00000000-0008-0000-0800-00001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4" name="Text Box 302">
          <a:extLst>
            <a:ext uri="{FF2B5EF4-FFF2-40B4-BE49-F238E27FC236}">
              <a16:creationId xmlns:a16="http://schemas.microsoft.com/office/drawing/2014/main" id="{00000000-0008-0000-0800-00001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5" name="Text Box 303">
          <a:extLst>
            <a:ext uri="{FF2B5EF4-FFF2-40B4-BE49-F238E27FC236}">
              <a16:creationId xmlns:a16="http://schemas.microsoft.com/office/drawing/2014/main" id="{00000000-0008-0000-0800-00001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6" name="Text Box 304">
          <a:extLst>
            <a:ext uri="{FF2B5EF4-FFF2-40B4-BE49-F238E27FC236}">
              <a16:creationId xmlns:a16="http://schemas.microsoft.com/office/drawing/2014/main" id="{00000000-0008-0000-0800-00002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7" name="Text Box 305">
          <a:extLst>
            <a:ext uri="{FF2B5EF4-FFF2-40B4-BE49-F238E27FC236}">
              <a16:creationId xmlns:a16="http://schemas.microsoft.com/office/drawing/2014/main" id="{00000000-0008-0000-0800-00002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8" name="Text Box 306">
          <a:extLst>
            <a:ext uri="{FF2B5EF4-FFF2-40B4-BE49-F238E27FC236}">
              <a16:creationId xmlns:a16="http://schemas.microsoft.com/office/drawing/2014/main" id="{00000000-0008-0000-0800-00002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9" name="Text Box 307">
          <a:extLst>
            <a:ext uri="{FF2B5EF4-FFF2-40B4-BE49-F238E27FC236}">
              <a16:creationId xmlns:a16="http://schemas.microsoft.com/office/drawing/2014/main" id="{00000000-0008-0000-0800-00002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0" name="Text Box 308">
          <a:extLst>
            <a:ext uri="{FF2B5EF4-FFF2-40B4-BE49-F238E27FC236}">
              <a16:creationId xmlns:a16="http://schemas.microsoft.com/office/drawing/2014/main" id="{00000000-0008-0000-0800-00002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1" name="Text Box 309">
          <a:extLst>
            <a:ext uri="{FF2B5EF4-FFF2-40B4-BE49-F238E27FC236}">
              <a16:creationId xmlns:a16="http://schemas.microsoft.com/office/drawing/2014/main" id="{00000000-0008-0000-0800-00002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2" name="Text Box 310">
          <a:extLst>
            <a:ext uri="{FF2B5EF4-FFF2-40B4-BE49-F238E27FC236}">
              <a16:creationId xmlns:a16="http://schemas.microsoft.com/office/drawing/2014/main" id="{00000000-0008-0000-0800-00002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3" name="Text Box 311">
          <a:extLst>
            <a:ext uri="{FF2B5EF4-FFF2-40B4-BE49-F238E27FC236}">
              <a16:creationId xmlns:a16="http://schemas.microsoft.com/office/drawing/2014/main" id="{00000000-0008-0000-0800-00002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4" name="Text Box 312">
          <a:extLst>
            <a:ext uri="{FF2B5EF4-FFF2-40B4-BE49-F238E27FC236}">
              <a16:creationId xmlns:a16="http://schemas.microsoft.com/office/drawing/2014/main" id="{00000000-0008-0000-0800-00002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5" name="Text Box 313">
          <a:extLst>
            <a:ext uri="{FF2B5EF4-FFF2-40B4-BE49-F238E27FC236}">
              <a16:creationId xmlns:a16="http://schemas.microsoft.com/office/drawing/2014/main" id="{00000000-0008-0000-0800-00002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6" name="Text Box 314">
          <a:extLst>
            <a:ext uri="{FF2B5EF4-FFF2-40B4-BE49-F238E27FC236}">
              <a16:creationId xmlns:a16="http://schemas.microsoft.com/office/drawing/2014/main" id="{00000000-0008-0000-0800-00002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7" name="Text Box 315">
          <a:extLst>
            <a:ext uri="{FF2B5EF4-FFF2-40B4-BE49-F238E27FC236}">
              <a16:creationId xmlns:a16="http://schemas.microsoft.com/office/drawing/2014/main" id="{00000000-0008-0000-0800-00002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8" name="Text Box 316">
          <a:extLst>
            <a:ext uri="{FF2B5EF4-FFF2-40B4-BE49-F238E27FC236}">
              <a16:creationId xmlns:a16="http://schemas.microsoft.com/office/drawing/2014/main" id="{00000000-0008-0000-0800-00002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9" name="Text Box 317">
          <a:extLst>
            <a:ext uri="{FF2B5EF4-FFF2-40B4-BE49-F238E27FC236}">
              <a16:creationId xmlns:a16="http://schemas.microsoft.com/office/drawing/2014/main" id="{00000000-0008-0000-0800-00002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0" name="Text Box 318">
          <a:extLst>
            <a:ext uri="{FF2B5EF4-FFF2-40B4-BE49-F238E27FC236}">
              <a16:creationId xmlns:a16="http://schemas.microsoft.com/office/drawing/2014/main" id="{00000000-0008-0000-0800-00002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1" name="Text Box 319">
          <a:extLst>
            <a:ext uri="{FF2B5EF4-FFF2-40B4-BE49-F238E27FC236}">
              <a16:creationId xmlns:a16="http://schemas.microsoft.com/office/drawing/2014/main" id="{00000000-0008-0000-0800-00002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2" name="Text Box 320">
          <a:extLst>
            <a:ext uri="{FF2B5EF4-FFF2-40B4-BE49-F238E27FC236}">
              <a16:creationId xmlns:a16="http://schemas.microsoft.com/office/drawing/2014/main" id="{00000000-0008-0000-0800-00003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3" name="Text Box 28">
          <a:extLst>
            <a:ext uri="{FF2B5EF4-FFF2-40B4-BE49-F238E27FC236}">
              <a16:creationId xmlns:a16="http://schemas.microsoft.com/office/drawing/2014/main" id="{00000000-0008-0000-0800-00003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4" name="Text Box 29">
          <a:extLst>
            <a:ext uri="{FF2B5EF4-FFF2-40B4-BE49-F238E27FC236}">
              <a16:creationId xmlns:a16="http://schemas.microsoft.com/office/drawing/2014/main" id="{00000000-0008-0000-0800-00003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5" name="Text Box 30">
          <a:extLst>
            <a:ext uri="{FF2B5EF4-FFF2-40B4-BE49-F238E27FC236}">
              <a16:creationId xmlns:a16="http://schemas.microsoft.com/office/drawing/2014/main" id="{00000000-0008-0000-0800-00003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6" name="Text Box 31">
          <a:extLst>
            <a:ext uri="{FF2B5EF4-FFF2-40B4-BE49-F238E27FC236}">
              <a16:creationId xmlns:a16="http://schemas.microsoft.com/office/drawing/2014/main" id="{00000000-0008-0000-0800-00003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7" name="Text Box 32">
          <a:extLst>
            <a:ext uri="{FF2B5EF4-FFF2-40B4-BE49-F238E27FC236}">
              <a16:creationId xmlns:a16="http://schemas.microsoft.com/office/drawing/2014/main" id="{00000000-0008-0000-0800-00003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8" name="Text Box 33">
          <a:extLst>
            <a:ext uri="{FF2B5EF4-FFF2-40B4-BE49-F238E27FC236}">
              <a16:creationId xmlns:a16="http://schemas.microsoft.com/office/drawing/2014/main" id="{00000000-0008-0000-0800-00003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9" name="Text Box 34">
          <a:extLst>
            <a:ext uri="{FF2B5EF4-FFF2-40B4-BE49-F238E27FC236}">
              <a16:creationId xmlns:a16="http://schemas.microsoft.com/office/drawing/2014/main" id="{00000000-0008-0000-0800-00003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0" name="Text Box 35">
          <a:extLst>
            <a:ext uri="{FF2B5EF4-FFF2-40B4-BE49-F238E27FC236}">
              <a16:creationId xmlns:a16="http://schemas.microsoft.com/office/drawing/2014/main" id="{00000000-0008-0000-0800-00003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1" name="Text Box 36">
          <a:extLst>
            <a:ext uri="{FF2B5EF4-FFF2-40B4-BE49-F238E27FC236}">
              <a16:creationId xmlns:a16="http://schemas.microsoft.com/office/drawing/2014/main" id="{00000000-0008-0000-0800-00003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2" name="Text Box 37">
          <a:extLst>
            <a:ext uri="{FF2B5EF4-FFF2-40B4-BE49-F238E27FC236}">
              <a16:creationId xmlns:a16="http://schemas.microsoft.com/office/drawing/2014/main" id="{00000000-0008-0000-0800-00003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3" name="Text Box 38">
          <a:extLst>
            <a:ext uri="{FF2B5EF4-FFF2-40B4-BE49-F238E27FC236}">
              <a16:creationId xmlns:a16="http://schemas.microsoft.com/office/drawing/2014/main" id="{00000000-0008-0000-0800-00003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4" name="Text Box 39">
          <a:extLst>
            <a:ext uri="{FF2B5EF4-FFF2-40B4-BE49-F238E27FC236}">
              <a16:creationId xmlns:a16="http://schemas.microsoft.com/office/drawing/2014/main" id="{00000000-0008-0000-0800-00003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5" name="Text Box 40">
          <a:extLst>
            <a:ext uri="{FF2B5EF4-FFF2-40B4-BE49-F238E27FC236}">
              <a16:creationId xmlns:a16="http://schemas.microsoft.com/office/drawing/2014/main" id="{00000000-0008-0000-0800-00003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6" name="Text Box 41">
          <a:extLst>
            <a:ext uri="{FF2B5EF4-FFF2-40B4-BE49-F238E27FC236}">
              <a16:creationId xmlns:a16="http://schemas.microsoft.com/office/drawing/2014/main" id="{00000000-0008-0000-0800-00003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7" name="Text Box 42">
          <a:extLst>
            <a:ext uri="{FF2B5EF4-FFF2-40B4-BE49-F238E27FC236}">
              <a16:creationId xmlns:a16="http://schemas.microsoft.com/office/drawing/2014/main" id="{00000000-0008-0000-0800-00003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8" name="Text Box 43">
          <a:extLst>
            <a:ext uri="{FF2B5EF4-FFF2-40B4-BE49-F238E27FC236}">
              <a16:creationId xmlns:a16="http://schemas.microsoft.com/office/drawing/2014/main" id="{00000000-0008-0000-0800-00004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9" name="Text Box 44">
          <a:extLst>
            <a:ext uri="{FF2B5EF4-FFF2-40B4-BE49-F238E27FC236}">
              <a16:creationId xmlns:a16="http://schemas.microsoft.com/office/drawing/2014/main" id="{00000000-0008-0000-0800-00004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0" name="Text Box 45">
          <a:extLst>
            <a:ext uri="{FF2B5EF4-FFF2-40B4-BE49-F238E27FC236}">
              <a16:creationId xmlns:a16="http://schemas.microsoft.com/office/drawing/2014/main" id="{00000000-0008-0000-0800-00004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1" name="Text Box 46">
          <a:extLst>
            <a:ext uri="{FF2B5EF4-FFF2-40B4-BE49-F238E27FC236}">
              <a16:creationId xmlns:a16="http://schemas.microsoft.com/office/drawing/2014/main" id="{00000000-0008-0000-0800-00004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2" name="Text Box 47">
          <a:extLst>
            <a:ext uri="{FF2B5EF4-FFF2-40B4-BE49-F238E27FC236}">
              <a16:creationId xmlns:a16="http://schemas.microsoft.com/office/drawing/2014/main" id="{00000000-0008-0000-0800-00004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3" name="Text Box 48">
          <a:extLst>
            <a:ext uri="{FF2B5EF4-FFF2-40B4-BE49-F238E27FC236}">
              <a16:creationId xmlns:a16="http://schemas.microsoft.com/office/drawing/2014/main" id="{00000000-0008-0000-0800-00004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4" name="Text Box 49">
          <a:extLst>
            <a:ext uri="{FF2B5EF4-FFF2-40B4-BE49-F238E27FC236}">
              <a16:creationId xmlns:a16="http://schemas.microsoft.com/office/drawing/2014/main" id="{00000000-0008-0000-0800-00004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5" name="Text Box 50">
          <a:extLst>
            <a:ext uri="{FF2B5EF4-FFF2-40B4-BE49-F238E27FC236}">
              <a16:creationId xmlns:a16="http://schemas.microsoft.com/office/drawing/2014/main" id="{00000000-0008-0000-0800-00004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6" name="Text Box 51">
          <a:extLst>
            <a:ext uri="{FF2B5EF4-FFF2-40B4-BE49-F238E27FC236}">
              <a16:creationId xmlns:a16="http://schemas.microsoft.com/office/drawing/2014/main" id="{00000000-0008-0000-0800-00004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7" name="Text Box 52">
          <a:extLst>
            <a:ext uri="{FF2B5EF4-FFF2-40B4-BE49-F238E27FC236}">
              <a16:creationId xmlns:a16="http://schemas.microsoft.com/office/drawing/2014/main" id="{00000000-0008-0000-0800-00004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8" name="Text Box 53">
          <a:extLst>
            <a:ext uri="{FF2B5EF4-FFF2-40B4-BE49-F238E27FC236}">
              <a16:creationId xmlns:a16="http://schemas.microsoft.com/office/drawing/2014/main" id="{00000000-0008-0000-0800-00004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9" name="Text Box 54">
          <a:extLst>
            <a:ext uri="{FF2B5EF4-FFF2-40B4-BE49-F238E27FC236}">
              <a16:creationId xmlns:a16="http://schemas.microsoft.com/office/drawing/2014/main" id="{00000000-0008-0000-0800-00004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0" name="Text Box 55">
          <a:extLst>
            <a:ext uri="{FF2B5EF4-FFF2-40B4-BE49-F238E27FC236}">
              <a16:creationId xmlns:a16="http://schemas.microsoft.com/office/drawing/2014/main" id="{00000000-0008-0000-0800-00004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1" name="Text Box 56">
          <a:extLst>
            <a:ext uri="{FF2B5EF4-FFF2-40B4-BE49-F238E27FC236}">
              <a16:creationId xmlns:a16="http://schemas.microsoft.com/office/drawing/2014/main" id="{00000000-0008-0000-0800-00004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2" name="Text Box 57">
          <a:extLst>
            <a:ext uri="{FF2B5EF4-FFF2-40B4-BE49-F238E27FC236}">
              <a16:creationId xmlns:a16="http://schemas.microsoft.com/office/drawing/2014/main" id="{00000000-0008-0000-0800-00004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3" name="Text Box 58">
          <a:extLst>
            <a:ext uri="{FF2B5EF4-FFF2-40B4-BE49-F238E27FC236}">
              <a16:creationId xmlns:a16="http://schemas.microsoft.com/office/drawing/2014/main" id="{00000000-0008-0000-0800-00004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4" name="Text Box 59">
          <a:extLst>
            <a:ext uri="{FF2B5EF4-FFF2-40B4-BE49-F238E27FC236}">
              <a16:creationId xmlns:a16="http://schemas.microsoft.com/office/drawing/2014/main" id="{00000000-0008-0000-0800-00005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5" name="Text Box 60">
          <a:extLst>
            <a:ext uri="{FF2B5EF4-FFF2-40B4-BE49-F238E27FC236}">
              <a16:creationId xmlns:a16="http://schemas.microsoft.com/office/drawing/2014/main" id="{00000000-0008-0000-0800-00005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6" name="Text Box 61">
          <a:extLst>
            <a:ext uri="{FF2B5EF4-FFF2-40B4-BE49-F238E27FC236}">
              <a16:creationId xmlns:a16="http://schemas.microsoft.com/office/drawing/2014/main" id="{00000000-0008-0000-0800-00005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7" name="Text Box 62">
          <a:extLst>
            <a:ext uri="{FF2B5EF4-FFF2-40B4-BE49-F238E27FC236}">
              <a16:creationId xmlns:a16="http://schemas.microsoft.com/office/drawing/2014/main" id="{00000000-0008-0000-0800-00005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8" name="Text Box 63">
          <a:extLst>
            <a:ext uri="{FF2B5EF4-FFF2-40B4-BE49-F238E27FC236}">
              <a16:creationId xmlns:a16="http://schemas.microsoft.com/office/drawing/2014/main" id="{00000000-0008-0000-0800-00005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9" name="Text Box 64">
          <a:extLst>
            <a:ext uri="{FF2B5EF4-FFF2-40B4-BE49-F238E27FC236}">
              <a16:creationId xmlns:a16="http://schemas.microsoft.com/office/drawing/2014/main" id="{00000000-0008-0000-0800-00005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0" name="Text Box 65">
          <a:extLst>
            <a:ext uri="{FF2B5EF4-FFF2-40B4-BE49-F238E27FC236}">
              <a16:creationId xmlns:a16="http://schemas.microsoft.com/office/drawing/2014/main" id="{00000000-0008-0000-0800-00005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1" name="Text Box 66">
          <a:extLst>
            <a:ext uri="{FF2B5EF4-FFF2-40B4-BE49-F238E27FC236}">
              <a16:creationId xmlns:a16="http://schemas.microsoft.com/office/drawing/2014/main" id="{00000000-0008-0000-0800-00005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2" name="Text Box 67">
          <a:extLst>
            <a:ext uri="{FF2B5EF4-FFF2-40B4-BE49-F238E27FC236}">
              <a16:creationId xmlns:a16="http://schemas.microsoft.com/office/drawing/2014/main" id="{00000000-0008-0000-0800-00005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3" name="Text Box 68">
          <a:extLst>
            <a:ext uri="{FF2B5EF4-FFF2-40B4-BE49-F238E27FC236}">
              <a16:creationId xmlns:a16="http://schemas.microsoft.com/office/drawing/2014/main" id="{00000000-0008-0000-0800-00005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4" name="Text Box 69">
          <a:extLst>
            <a:ext uri="{FF2B5EF4-FFF2-40B4-BE49-F238E27FC236}">
              <a16:creationId xmlns:a16="http://schemas.microsoft.com/office/drawing/2014/main" id="{00000000-0008-0000-0800-00005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5" name="Text Box 70">
          <a:extLst>
            <a:ext uri="{FF2B5EF4-FFF2-40B4-BE49-F238E27FC236}">
              <a16:creationId xmlns:a16="http://schemas.microsoft.com/office/drawing/2014/main" id="{00000000-0008-0000-0800-00005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6" name="Text Box 71">
          <a:extLst>
            <a:ext uri="{FF2B5EF4-FFF2-40B4-BE49-F238E27FC236}">
              <a16:creationId xmlns:a16="http://schemas.microsoft.com/office/drawing/2014/main" id="{00000000-0008-0000-0800-00005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7" name="Text Box 72">
          <a:extLst>
            <a:ext uri="{FF2B5EF4-FFF2-40B4-BE49-F238E27FC236}">
              <a16:creationId xmlns:a16="http://schemas.microsoft.com/office/drawing/2014/main" id="{00000000-0008-0000-0800-00005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8" name="Text Box 73">
          <a:extLst>
            <a:ext uri="{FF2B5EF4-FFF2-40B4-BE49-F238E27FC236}">
              <a16:creationId xmlns:a16="http://schemas.microsoft.com/office/drawing/2014/main" id="{00000000-0008-0000-0800-00005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9" name="Text Box 74">
          <a:extLst>
            <a:ext uri="{FF2B5EF4-FFF2-40B4-BE49-F238E27FC236}">
              <a16:creationId xmlns:a16="http://schemas.microsoft.com/office/drawing/2014/main" id="{00000000-0008-0000-0800-00005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0" name="Text Box 75">
          <a:extLst>
            <a:ext uri="{FF2B5EF4-FFF2-40B4-BE49-F238E27FC236}">
              <a16:creationId xmlns:a16="http://schemas.microsoft.com/office/drawing/2014/main" id="{00000000-0008-0000-0800-00006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1" name="Text Box 76">
          <a:extLst>
            <a:ext uri="{FF2B5EF4-FFF2-40B4-BE49-F238E27FC236}">
              <a16:creationId xmlns:a16="http://schemas.microsoft.com/office/drawing/2014/main" id="{00000000-0008-0000-0800-00006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2" name="Text Box 77">
          <a:extLst>
            <a:ext uri="{FF2B5EF4-FFF2-40B4-BE49-F238E27FC236}">
              <a16:creationId xmlns:a16="http://schemas.microsoft.com/office/drawing/2014/main" id="{00000000-0008-0000-0800-00006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3" name="Text Box 78">
          <a:extLst>
            <a:ext uri="{FF2B5EF4-FFF2-40B4-BE49-F238E27FC236}">
              <a16:creationId xmlns:a16="http://schemas.microsoft.com/office/drawing/2014/main" id="{00000000-0008-0000-0800-00006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4" name="Text Box 79">
          <a:extLst>
            <a:ext uri="{FF2B5EF4-FFF2-40B4-BE49-F238E27FC236}">
              <a16:creationId xmlns:a16="http://schemas.microsoft.com/office/drawing/2014/main" id="{00000000-0008-0000-0800-00006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5" name="Text Box 80">
          <a:extLst>
            <a:ext uri="{FF2B5EF4-FFF2-40B4-BE49-F238E27FC236}">
              <a16:creationId xmlns:a16="http://schemas.microsoft.com/office/drawing/2014/main" id="{00000000-0008-0000-0800-00006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6" name="Text Box 81">
          <a:extLst>
            <a:ext uri="{FF2B5EF4-FFF2-40B4-BE49-F238E27FC236}">
              <a16:creationId xmlns:a16="http://schemas.microsoft.com/office/drawing/2014/main" id="{00000000-0008-0000-0800-00006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7" name="Text Box 82">
          <a:extLst>
            <a:ext uri="{FF2B5EF4-FFF2-40B4-BE49-F238E27FC236}">
              <a16:creationId xmlns:a16="http://schemas.microsoft.com/office/drawing/2014/main" id="{00000000-0008-0000-0800-00006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8" name="Text Box 83">
          <a:extLst>
            <a:ext uri="{FF2B5EF4-FFF2-40B4-BE49-F238E27FC236}">
              <a16:creationId xmlns:a16="http://schemas.microsoft.com/office/drawing/2014/main" id="{00000000-0008-0000-0800-00006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9" name="Text Box 84">
          <a:extLst>
            <a:ext uri="{FF2B5EF4-FFF2-40B4-BE49-F238E27FC236}">
              <a16:creationId xmlns:a16="http://schemas.microsoft.com/office/drawing/2014/main" id="{00000000-0008-0000-0800-00006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0" name="Text Box 85">
          <a:extLst>
            <a:ext uri="{FF2B5EF4-FFF2-40B4-BE49-F238E27FC236}">
              <a16:creationId xmlns:a16="http://schemas.microsoft.com/office/drawing/2014/main" id="{00000000-0008-0000-0800-00006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1" name="Text Box 86">
          <a:extLst>
            <a:ext uri="{FF2B5EF4-FFF2-40B4-BE49-F238E27FC236}">
              <a16:creationId xmlns:a16="http://schemas.microsoft.com/office/drawing/2014/main" id="{00000000-0008-0000-0800-00006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2" name="Text Box 87">
          <a:extLst>
            <a:ext uri="{FF2B5EF4-FFF2-40B4-BE49-F238E27FC236}">
              <a16:creationId xmlns:a16="http://schemas.microsoft.com/office/drawing/2014/main" id="{00000000-0008-0000-0800-00006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3" name="Text Box 88">
          <a:extLst>
            <a:ext uri="{FF2B5EF4-FFF2-40B4-BE49-F238E27FC236}">
              <a16:creationId xmlns:a16="http://schemas.microsoft.com/office/drawing/2014/main" id="{00000000-0008-0000-0800-00006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4" name="Text Box 89">
          <a:extLst>
            <a:ext uri="{FF2B5EF4-FFF2-40B4-BE49-F238E27FC236}">
              <a16:creationId xmlns:a16="http://schemas.microsoft.com/office/drawing/2014/main" id="{00000000-0008-0000-0800-00006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5" name="Text Box 90">
          <a:extLst>
            <a:ext uri="{FF2B5EF4-FFF2-40B4-BE49-F238E27FC236}">
              <a16:creationId xmlns:a16="http://schemas.microsoft.com/office/drawing/2014/main" id="{00000000-0008-0000-0800-00006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6" name="Text Box 91">
          <a:extLst>
            <a:ext uri="{FF2B5EF4-FFF2-40B4-BE49-F238E27FC236}">
              <a16:creationId xmlns:a16="http://schemas.microsoft.com/office/drawing/2014/main" id="{00000000-0008-0000-0800-00007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7" name="Text Box 92">
          <a:extLst>
            <a:ext uri="{FF2B5EF4-FFF2-40B4-BE49-F238E27FC236}">
              <a16:creationId xmlns:a16="http://schemas.microsoft.com/office/drawing/2014/main" id="{00000000-0008-0000-0800-00007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8" name="Text Box 93">
          <a:extLst>
            <a:ext uri="{FF2B5EF4-FFF2-40B4-BE49-F238E27FC236}">
              <a16:creationId xmlns:a16="http://schemas.microsoft.com/office/drawing/2014/main" id="{00000000-0008-0000-0800-00007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9" name="Text Box 94">
          <a:extLst>
            <a:ext uri="{FF2B5EF4-FFF2-40B4-BE49-F238E27FC236}">
              <a16:creationId xmlns:a16="http://schemas.microsoft.com/office/drawing/2014/main" id="{00000000-0008-0000-0800-00007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0" name="Text Box 95">
          <a:extLst>
            <a:ext uri="{FF2B5EF4-FFF2-40B4-BE49-F238E27FC236}">
              <a16:creationId xmlns:a16="http://schemas.microsoft.com/office/drawing/2014/main" id="{00000000-0008-0000-0800-00007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1" name="Text Box 96">
          <a:extLst>
            <a:ext uri="{FF2B5EF4-FFF2-40B4-BE49-F238E27FC236}">
              <a16:creationId xmlns:a16="http://schemas.microsoft.com/office/drawing/2014/main" id="{00000000-0008-0000-0800-00007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2" name="Text Box 97">
          <a:extLst>
            <a:ext uri="{FF2B5EF4-FFF2-40B4-BE49-F238E27FC236}">
              <a16:creationId xmlns:a16="http://schemas.microsoft.com/office/drawing/2014/main" id="{00000000-0008-0000-0800-00007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3" name="Text Box 100">
          <a:extLst>
            <a:ext uri="{FF2B5EF4-FFF2-40B4-BE49-F238E27FC236}">
              <a16:creationId xmlns:a16="http://schemas.microsoft.com/office/drawing/2014/main" id="{00000000-0008-0000-0800-00007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4" name="Text Box 101">
          <a:extLst>
            <a:ext uri="{FF2B5EF4-FFF2-40B4-BE49-F238E27FC236}">
              <a16:creationId xmlns:a16="http://schemas.microsoft.com/office/drawing/2014/main" id="{00000000-0008-0000-0800-00007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5" name="Text Box 102">
          <a:extLst>
            <a:ext uri="{FF2B5EF4-FFF2-40B4-BE49-F238E27FC236}">
              <a16:creationId xmlns:a16="http://schemas.microsoft.com/office/drawing/2014/main" id="{00000000-0008-0000-0800-00007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6" name="Text Box 103">
          <a:extLst>
            <a:ext uri="{FF2B5EF4-FFF2-40B4-BE49-F238E27FC236}">
              <a16:creationId xmlns:a16="http://schemas.microsoft.com/office/drawing/2014/main" id="{00000000-0008-0000-0800-00007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7" name="Text Box 104">
          <a:extLst>
            <a:ext uri="{FF2B5EF4-FFF2-40B4-BE49-F238E27FC236}">
              <a16:creationId xmlns:a16="http://schemas.microsoft.com/office/drawing/2014/main" id="{00000000-0008-0000-0800-00007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8" name="Text Box 105">
          <a:extLst>
            <a:ext uri="{FF2B5EF4-FFF2-40B4-BE49-F238E27FC236}">
              <a16:creationId xmlns:a16="http://schemas.microsoft.com/office/drawing/2014/main" id="{00000000-0008-0000-0800-00007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9" name="Text Box 106">
          <a:extLst>
            <a:ext uri="{FF2B5EF4-FFF2-40B4-BE49-F238E27FC236}">
              <a16:creationId xmlns:a16="http://schemas.microsoft.com/office/drawing/2014/main" id="{00000000-0008-0000-0800-00007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0" name="Text Box 107">
          <a:extLst>
            <a:ext uri="{FF2B5EF4-FFF2-40B4-BE49-F238E27FC236}">
              <a16:creationId xmlns:a16="http://schemas.microsoft.com/office/drawing/2014/main" id="{00000000-0008-0000-0800-00007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1" name="Text Box 108">
          <a:extLst>
            <a:ext uri="{FF2B5EF4-FFF2-40B4-BE49-F238E27FC236}">
              <a16:creationId xmlns:a16="http://schemas.microsoft.com/office/drawing/2014/main" id="{00000000-0008-0000-0800-00007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2" name="Text Box 109">
          <a:extLst>
            <a:ext uri="{FF2B5EF4-FFF2-40B4-BE49-F238E27FC236}">
              <a16:creationId xmlns:a16="http://schemas.microsoft.com/office/drawing/2014/main" id="{00000000-0008-0000-0800-00008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3" name="Text Box 110">
          <a:extLst>
            <a:ext uri="{FF2B5EF4-FFF2-40B4-BE49-F238E27FC236}">
              <a16:creationId xmlns:a16="http://schemas.microsoft.com/office/drawing/2014/main" id="{00000000-0008-0000-0800-00008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4" name="Text Box 111">
          <a:extLst>
            <a:ext uri="{FF2B5EF4-FFF2-40B4-BE49-F238E27FC236}">
              <a16:creationId xmlns:a16="http://schemas.microsoft.com/office/drawing/2014/main" id="{00000000-0008-0000-0800-00008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5" name="Text Box 119">
          <a:extLst>
            <a:ext uri="{FF2B5EF4-FFF2-40B4-BE49-F238E27FC236}">
              <a16:creationId xmlns:a16="http://schemas.microsoft.com/office/drawing/2014/main" id="{00000000-0008-0000-0800-00008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6" name="Text Box 120">
          <a:extLst>
            <a:ext uri="{FF2B5EF4-FFF2-40B4-BE49-F238E27FC236}">
              <a16:creationId xmlns:a16="http://schemas.microsoft.com/office/drawing/2014/main" id="{00000000-0008-0000-0800-00008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7" name="Text Box 121">
          <a:extLst>
            <a:ext uri="{FF2B5EF4-FFF2-40B4-BE49-F238E27FC236}">
              <a16:creationId xmlns:a16="http://schemas.microsoft.com/office/drawing/2014/main" id="{00000000-0008-0000-0800-00008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8" name="Text Box 122">
          <a:extLst>
            <a:ext uri="{FF2B5EF4-FFF2-40B4-BE49-F238E27FC236}">
              <a16:creationId xmlns:a16="http://schemas.microsoft.com/office/drawing/2014/main" id="{00000000-0008-0000-0800-00008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9" name="Text Box 123">
          <a:extLst>
            <a:ext uri="{FF2B5EF4-FFF2-40B4-BE49-F238E27FC236}">
              <a16:creationId xmlns:a16="http://schemas.microsoft.com/office/drawing/2014/main" id="{00000000-0008-0000-0800-00008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0" name="Text Box 124">
          <a:extLst>
            <a:ext uri="{FF2B5EF4-FFF2-40B4-BE49-F238E27FC236}">
              <a16:creationId xmlns:a16="http://schemas.microsoft.com/office/drawing/2014/main" id="{00000000-0008-0000-0800-00008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1" name="Text Box 125">
          <a:extLst>
            <a:ext uri="{FF2B5EF4-FFF2-40B4-BE49-F238E27FC236}">
              <a16:creationId xmlns:a16="http://schemas.microsoft.com/office/drawing/2014/main" id="{00000000-0008-0000-0800-00008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2" name="Text Box 126">
          <a:extLst>
            <a:ext uri="{FF2B5EF4-FFF2-40B4-BE49-F238E27FC236}">
              <a16:creationId xmlns:a16="http://schemas.microsoft.com/office/drawing/2014/main" id="{00000000-0008-0000-0800-00008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3" name="Text Box 127">
          <a:extLst>
            <a:ext uri="{FF2B5EF4-FFF2-40B4-BE49-F238E27FC236}">
              <a16:creationId xmlns:a16="http://schemas.microsoft.com/office/drawing/2014/main" id="{00000000-0008-0000-0800-00008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4" name="Text Box 128">
          <a:extLst>
            <a:ext uri="{FF2B5EF4-FFF2-40B4-BE49-F238E27FC236}">
              <a16:creationId xmlns:a16="http://schemas.microsoft.com/office/drawing/2014/main" id="{00000000-0008-0000-0800-00008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5" name="Text Box 129">
          <a:extLst>
            <a:ext uri="{FF2B5EF4-FFF2-40B4-BE49-F238E27FC236}">
              <a16:creationId xmlns:a16="http://schemas.microsoft.com/office/drawing/2014/main" id="{00000000-0008-0000-0800-00008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6" name="Text Box 130">
          <a:extLst>
            <a:ext uri="{FF2B5EF4-FFF2-40B4-BE49-F238E27FC236}">
              <a16:creationId xmlns:a16="http://schemas.microsoft.com/office/drawing/2014/main" id="{00000000-0008-0000-0800-00008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7" name="Text Box 133">
          <a:extLst>
            <a:ext uri="{FF2B5EF4-FFF2-40B4-BE49-F238E27FC236}">
              <a16:creationId xmlns:a16="http://schemas.microsoft.com/office/drawing/2014/main" id="{00000000-0008-0000-0800-00008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8" name="Text Box 134">
          <a:extLst>
            <a:ext uri="{FF2B5EF4-FFF2-40B4-BE49-F238E27FC236}">
              <a16:creationId xmlns:a16="http://schemas.microsoft.com/office/drawing/2014/main" id="{00000000-0008-0000-0800-00009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9" name="Text Box 135">
          <a:extLst>
            <a:ext uri="{FF2B5EF4-FFF2-40B4-BE49-F238E27FC236}">
              <a16:creationId xmlns:a16="http://schemas.microsoft.com/office/drawing/2014/main" id="{00000000-0008-0000-0800-00009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0" name="Text Box 136">
          <a:extLst>
            <a:ext uri="{FF2B5EF4-FFF2-40B4-BE49-F238E27FC236}">
              <a16:creationId xmlns:a16="http://schemas.microsoft.com/office/drawing/2014/main" id="{00000000-0008-0000-0800-00009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1" name="Text Box 137">
          <a:extLst>
            <a:ext uri="{FF2B5EF4-FFF2-40B4-BE49-F238E27FC236}">
              <a16:creationId xmlns:a16="http://schemas.microsoft.com/office/drawing/2014/main" id="{00000000-0008-0000-0800-00009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2" name="Text Box 138">
          <a:extLst>
            <a:ext uri="{FF2B5EF4-FFF2-40B4-BE49-F238E27FC236}">
              <a16:creationId xmlns:a16="http://schemas.microsoft.com/office/drawing/2014/main" id="{00000000-0008-0000-0800-00009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3" name="Text Box 139">
          <a:extLst>
            <a:ext uri="{FF2B5EF4-FFF2-40B4-BE49-F238E27FC236}">
              <a16:creationId xmlns:a16="http://schemas.microsoft.com/office/drawing/2014/main" id="{00000000-0008-0000-0800-00009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4" name="Text Box 140">
          <a:extLst>
            <a:ext uri="{FF2B5EF4-FFF2-40B4-BE49-F238E27FC236}">
              <a16:creationId xmlns:a16="http://schemas.microsoft.com/office/drawing/2014/main" id="{00000000-0008-0000-0800-00009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5" name="Text Box 141">
          <a:extLst>
            <a:ext uri="{FF2B5EF4-FFF2-40B4-BE49-F238E27FC236}">
              <a16:creationId xmlns:a16="http://schemas.microsoft.com/office/drawing/2014/main" id="{00000000-0008-0000-0800-00009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6" name="Text Box 142">
          <a:extLst>
            <a:ext uri="{FF2B5EF4-FFF2-40B4-BE49-F238E27FC236}">
              <a16:creationId xmlns:a16="http://schemas.microsoft.com/office/drawing/2014/main" id="{00000000-0008-0000-0800-00009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7" name="Text Box 143">
          <a:extLst>
            <a:ext uri="{FF2B5EF4-FFF2-40B4-BE49-F238E27FC236}">
              <a16:creationId xmlns:a16="http://schemas.microsoft.com/office/drawing/2014/main" id="{00000000-0008-0000-0800-00009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8" name="Text Box 144">
          <a:extLst>
            <a:ext uri="{FF2B5EF4-FFF2-40B4-BE49-F238E27FC236}">
              <a16:creationId xmlns:a16="http://schemas.microsoft.com/office/drawing/2014/main" id="{00000000-0008-0000-0800-00009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9" name="Text Box 145">
          <a:extLst>
            <a:ext uri="{FF2B5EF4-FFF2-40B4-BE49-F238E27FC236}">
              <a16:creationId xmlns:a16="http://schemas.microsoft.com/office/drawing/2014/main" id="{00000000-0008-0000-0800-00009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0" name="Text Box 146">
          <a:extLst>
            <a:ext uri="{FF2B5EF4-FFF2-40B4-BE49-F238E27FC236}">
              <a16:creationId xmlns:a16="http://schemas.microsoft.com/office/drawing/2014/main" id="{00000000-0008-0000-0800-00009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1" name="Text Box 147">
          <a:extLst>
            <a:ext uri="{FF2B5EF4-FFF2-40B4-BE49-F238E27FC236}">
              <a16:creationId xmlns:a16="http://schemas.microsoft.com/office/drawing/2014/main" id="{00000000-0008-0000-0800-00009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2" name="Text Box 148">
          <a:extLst>
            <a:ext uri="{FF2B5EF4-FFF2-40B4-BE49-F238E27FC236}">
              <a16:creationId xmlns:a16="http://schemas.microsoft.com/office/drawing/2014/main" id="{00000000-0008-0000-0800-00009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3" name="Text Box 149">
          <a:extLst>
            <a:ext uri="{FF2B5EF4-FFF2-40B4-BE49-F238E27FC236}">
              <a16:creationId xmlns:a16="http://schemas.microsoft.com/office/drawing/2014/main" id="{00000000-0008-0000-0800-00009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4" name="Text Box 150">
          <a:extLst>
            <a:ext uri="{FF2B5EF4-FFF2-40B4-BE49-F238E27FC236}">
              <a16:creationId xmlns:a16="http://schemas.microsoft.com/office/drawing/2014/main" id="{00000000-0008-0000-0800-0000A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5" name="Text Box 151">
          <a:extLst>
            <a:ext uri="{FF2B5EF4-FFF2-40B4-BE49-F238E27FC236}">
              <a16:creationId xmlns:a16="http://schemas.microsoft.com/office/drawing/2014/main" id="{00000000-0008-0000-0800-0000A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6" name="Text Box 152">
          <a:extLst>
            <a:ext uri="{FF2B5EF4-FFF2-40B4-BE49-F238E27FC236}">
              <a16:creationId xmlns:a16="http://schemas.microsoft.com/office/drawing/2014/main" id="{00000000-0008-0000-0800-0000A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7" name="Text Box 153">
          <a:extLst>
            <a:ext uri="{FF2B5EF4-FFF2-40B4-BE49-F238E27FC236}">
              <a16:creationId xmlns:a16="http://schemas.microsoft.com/office/drawing/2014/main" id="{00000000-0008-0000-0800-0000A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8" name="Text Box 154">
          <a:extLst>
            <a:ext uri="{FF2B5EF4-FFF2-40B4-BE49-F238E27FC236}">
              <a16:creationId xmlns:a16="http://schemas.microsoft.com/office/drawing/2014/main" id="{00000000-0008-0000-0800-0000A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9" name="Text Box 155">
          <a:extLst>
            <a:ext uri="{FF2B5EF4-FFF2-40B4-BE49-F238E27FC236}">
              <a16:creationId xmlns:a16="http://schemas.microsoft.com/office/drawing/2014/main" id="{00000000-0008-0000-0800-0000A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0" name="Text Box 156">
          <a:extLst>
            <a:ext uri="{FF2B5EF4-FFF2-40B4-BE49-F238E27FC236}">
              <a16:creationId xmlns:a16="http://schemas.microsoft.com/office/drawing/2014/main" id="{00000000-0008-0000-0800-0000A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1" name="Text Box 157">
          <a:extLst>
            <a:ext uri="{FF2B5EF4-FFF2-40B4-BE49-F238E27FC236}">
              <a16:creationId xmlns:a16="http://schemas.microsoft.com/office/drawing/2014/main" id="{00000000-0008-0000-0800-0000A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2" name="Text Box 158">
          <a:extLst>
            <a:ext uri="{FF2B5EF4-FFF2-40B4-BE49-F238E27FC236}">
              <a16:creationId xmlns:a16="http://schemas.microsoft.com/office/drawing/2014/main" id="{00000000-0008-0000-0800-0000A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3" name="Text Box 159">
          <a:extLst>
            <a:ext uri="{FF2B5EF4-FFF2-40B4-BE49-F238E27FC236}">
              <a16:creationId xmlns:a16="http://schemas.microsoft.com/office/drawing/2014/main" id="{00000000-0008-0000-0800-0000A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4" name="Text Box 160">
          <a:extLst>
            <a:ext uri="{FF2B5EF4-FFF2-40B4-BE49-F238E27FC236}">
              <a16:creationId xmlns:a16="http://schemas.microsoft.com/office/drawing/2014/main" id="{00000000-0008-0000-0800-0000A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5" name="Text Box 161">
          <a:extLst>
            <a:ext uri="{FF2B5EF4-FFF2-40B4-BE49-F238E27FC236}">
              <a16:creationId xmlns:a16="http://schemas.microsoft.com/office/drawing/2014/main" id="{00000000-0008-0000-0800-0000A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6" name="Text Box 162">
          <a:extLst>
            <a:ext uri="{FF2B5EF4-FFF2-40B4-BE49-F238E27FC236}">
              <a16:creationId xmlns:a16="http://schemas.microsoft.com/office/drawing/2014/main" id="{00000000-0008-0000-0800-0000A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7" name="Text Box 163">
          <a:extLst>
            <a:ext uri="{FF2B5EF4-FFF2-40B4-BE49-F238E27FC236}">
              <a16:creationId xmlns:a16="http://schemas.microsoft.com/office/drawing/2014/main" id="{00000000-0008-0000-0800-0000A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8" name="Text Box 164">
          <a:extLst>
            <a:ext uri="{FF2B5EF4-FFF2-40B4-BE49-F238E27FC236}">
              <a16:creationId xmlns:a16="http://schemas.microsoft.com/office/drawing/2014/main" id="{00000000-0008-0000-0800-0000A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9" name="Text Box 165">
          <a:extLst>
            <a:ext uri="{FF2B5EF4-FFF2-40B4-BE49-F238E27FC236}">
              <a16:creationId xmlns:a16="http://schemas.microsoft.com/office/drawing/2014/main" id="{00000000-0008-0000-0800-0000A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0" name="Text Box 166">
          <a:extLst>
            <a:ext uri="{FF2B5EF4-FFF2-40B4-BE49-F238E27FC236}">
              <a16:creationId xmlns:a16="http://schemas.microsoft.com/office/drawing/2014/main" id="{00000000-0008-0000-0800-0000B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1" name="Text Box 167">
          <a:extLst>
            <a:ext uri="{FF2B5EF4-FFF2-40B4-BE49-F238E27FC236}">
              <a16:creationId xmlns:a16="http://schemas.microsoft.com/office/drawing/2014/main" id="{00000000-0008-0000-0800-0000B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2" name="Text Box 168">
          <a:extLst>
            <a:ext uri="{FF2B5EF4-FFF2-40B4-BE49-F238E27FC236}">
              <a16:creationId xmlns:a16="http://schemas.microsoft.com/office/drawing/2014/main" id="{00000000-0008-0000-0800-0000B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3" name="Text Box 169">
          <a:extLst>
            <a:ext uri="{FF2B5EF4-FFF2-40B4-BE49-F238E27FC236}">
              <a16:creationId xmlns:a16="http://schemas.microsoft.com/office/drawing/2014/main" id="{00000000-0008-0000-0800-0000B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4" name="Text Box 170">
          <a:extLst>
            <a:ext uri="{FF2B5EF4-FFF2-40B4-BE49-F238E27FC236}">
              <a16:creationId xmlns:a16="http://schemas.microsoft.com/office/drawing/2014/main" id="{00000000-0008-0000-0800-0000B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5" name="Text Box 171">
          <a:extLst>
            <a:ext uri="{FF2B5EF4-FFF2-40B4-BE49-F238E27FC236}">
              <a16:creationId xmlns:a16="http://schemas.microsoft.com/office/drawing/2014/main" id="{00000000-0008-0000-0800-0000B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6" name="Text Box 172">
          <a:extLst>
            <a:ext uri="{FF2B5EF4-FFF2-40B4-BE49-F238E27FC236}">
              <a16:creationId xmlns:a16="http://schemas.microsoft.com/office/drawing/2014/main" id="{00000000-0008-0000-0800-0000B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7" name="Text Box 173">
          <a:extLst>
            <a:ext uri="{FF2B5EF4-FFF2-40B4-BE49-F238E27FC236}">
              <a16:creationId xmlns:a16="http://schemas.microsoft.com/office/drawing/2014/main" id="{00000000-0008-0000-0800-0000B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8" name="Text Box 174">
          <a:extLst>
            <a:ext uri="{FF2B5EF4-FFF2-40B4-BE49-F238E27FC236}">
              <a16:creationId xmlns:a16="http://schemas.microsoft.com/office/drawing/2014/main" id="{00000000-0008-0000-0800-0000B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9" name="Text Box 175">
          <a:extLst>
            <a:ext uri="{FF2B5EF4-FFF2-40B4-BE49-F238E27FC236}">
              <a16:creationId xmlns:a16="http://schemas.microsoft.com/office/drawing/2014/main" id="{00000000-0008-0000-0800-0000B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0" name="Text Box 176">
          <a:extLst>
            <a:ext uri="{FF2B5EF4-FFF2-40B4-BE49-F238E27FC236}">
              <a16:creationId xmlns:a16="http://schemas.microsoft.com/office/drawing/2014/main" id="{00000000-0008-0000-0800-0000B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1" name="Text Box 177">
          <a:extLst>
            <a:ext uri="{FF2B5EF4-FFF2-40B4-BE49-F238E27FC236}">
              <a16:creationId xmlns:a16="http://schemas.microsoft.com/office/drawing/2014/main" id="{00000000-0008-0000-0800-0000B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2" name="Text Box 178">
          <a:extLst>
            <a:ext uri="{FF2B5EF4-FFF2-40B4-BE49-F238E27FC236}">
              <a16:creationId xmlns:a16="http://schemas.microsoft.com/office/drawing/2014/main" id="{00000000-0008-0000-0800-0000B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3" name="Text Box 179">
          <a:extLst>
            <a:ext uri="{FF2B5EF4-FFF2-40B4-BE49-F238E27FC236}">
              <a16:creationId xmlns:a16="http://schemas.microsoft.com/office/drawing/2014/main" id="{00000000-0008-0000-0800-0000B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4" name="Text Box 180">
          <a:extLst>
            <a:ext uri="{FF2B5EF4-FFF2-40B4-BE49-F238E27FC236}">
              <a16:creationId xmlns:a16="http://schemas.microsoft.com/office/drawing/2014/main" id="{00000000-0008-0000-0800-0000B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5" name="Text Box 181">
          <a:extLst>
            <a:ext uri="{FF2B5EF4-FFF2-40B4-BE49-F238E27FC236}">
              <a16:creationId xmlns:a16="http://schemas.microsoft.com/office/drawing/2014/main" id="{00000000-0008-0000-0800-0000B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6" name="Text Box 182">
          <a:extLst>
            <a:ext uri="{FF2B5EF4-FFF2-40B4-BE49-F238E27FC236}">
              <a16:creationId xmlns:a16="http://schemas.microsoft.com/office/drawing/2014/main" id="{00000000-0008-0000-0800-0000C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7" name="Text Box 183">
          <a:extLst>
            <a:ext uri="{FF2B5EF4-FFF2-40B4-BE49-F238E27FC236}">
              <a16:creationId xmlns:a16="http://schemas.microsoft.com/office/drawing/2014/main" id="{00000000-0008-0000-0800-0000C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8" name="Text Box 184">
          <a:extLst>
            <a:ext uri="{FF2B5EF4-FFF2-40B4-BE49-F238E27FC236}">
              <a16:creationId xmlns:a16="http://schemas.microsoft.com/office/drawing/2014/main" id="{00000000-0008-0000-0800-0000C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9" name="Text Box 185">
          <a:extLst>
            <a:ext uri="{FF2B5EF4-FFF2-40B4-BE49-F238E27FC236}">
              <a16:creationId xmlns:a16="http://schemas.microsoft.com/office/drawing/2014/main" id="{00000000-0008-0000-0800-0000C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0" name="Text Box 186">
          <a:extLst>
            <a:ext uri="{FF2B5EF4-FFF2-40B4-BE49-F238E27FC236}">
              <a16:creationId xmlns:a16="http://schemas.microsoft.com/office/drawing/2014/main" id="{00000000-0008-0000-0800-0000C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1" name="Text Box 187">
          <a:extLst>
            <a:ext uri="{FF2B5EF4-FFF2-40B4-BE49-F238E27FC236}">
              <a16:creationId xmlns:a16="http://schemas.microsoft.com/office/drawing/2014/main" id="{00000000-0008-0000-0800-0000C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2" name="Text Box 188">
          <a:extLst>
            <a:ext uri="{FF2B5EF4-FFF2-40B4-BE49-F238E27FC236}">
              <a16:creationId xmlns:a16="http://schemas.microsoft.com/office/drawing/2014/main" id="{00000000-0008-0000-0800-0000C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3" name="Text Box 189">
          <a:extLst>
            <a:ext uri="{FF2B5EF4-FFF2-40B4-BE49-F238E27FC236}">
              <a16:creationId xmlns:a16="http://schemas.microsoft.com/office/drawing/2014/main" id="{00000000-0008-0000-0800-0000C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4" name="Text Box 190">
          <a:extLst>
            <a:ext uri="{FF2B5EF4-FFF2-40B4-BE49-F238E27FC236}">
              <a16:creationId xmlns:a16="http://schemas.microsoft.com/office/drawing/2014/main" id="{00000000-0008-0000-0800-0000C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5" name="Text Box 191">
          <a:extLst>
            <a:ext uri="{FF2B5EF4-FFF2-40B4-BE49-F238E27FC236}">
              <a16:creationId xmlns:a16="http://schemas.microsoft.com/office/drawing/2014/main" id="{00000000-0008-0000-0800-0000C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6" name="Text Box 192">
          <a:extLst>
            <a:ext uri="{FF2B5EF4-FFF2-40B4-BE49-F238E27FC236}">
              <a16:creationId xmlns:a16="http://schemas.microsoft.com/office/drawing/2014/main" id="{00000000-0008-0000-0800-0000C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7" name="Text Box 193">
          <a:extLst>
            <a:ext uri="{FF2B5EF4-FFF2-40B4-BE49-F238E27FC236}">
              <a16:creationId xmlns:a16="http://schemas.microsoft.com/office/drawing/2014/main" id="{00000000-0008-0000-0800-0000C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8" name="Text Box 194">
          <a:extLst>
            <a:ext uri="{FF2B5EF4-FFF2-40B4-BE49-F238E27FC236}">
              <a16:creationId xmlns:a16="http://schemas.microsoft.com/office/drawing/2014/main" id="{00000000-0008-0000-0800-0000C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9" name="Text Box 195">
          <a:extLst>
            <a:ext uri="{FF2B5EF4-FFF2-40B4-BE49-F238E27FC236}">
              <a16:creationId xmlns:a16="http://schemas.microsoft.com/office/drawing/2014/main" id="{00000000-0008-0000-0800-0000C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0" name="Text Box 196">
          <a:extLst>
            <a:ext uri="{FF2B5EF4-FFF2-40B4-BE49-F238E27FC236}">
              <a16:creationId xmlns:a16="http://schemas.microsoft.com/office/drawing/2014/main" id="{00000000-0008-0000-0800-0000C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1" name="Text Box 197">
          <a:extLst>
            <a:ext uri="{FF2B5EF4-FFF2-40B4-BE49-F238E27FC236}">
              <a16:creationId xmlns:a16="http://schemas.microsoft.com/office/drawing/2014/main" id="{00000000-0008-0000-0800-0000C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2" name="Text Box 198">
          <a:extLst>
            <a:ext uri="{FF2B5EF4-FFF2-40B4-BE49-F238E27FC236}">
              <a16:creationId xmlns:a16="http://schemas.microsoft.com/office/drawing/2014/main" id="{00000000-0008-0000-0800-0000D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3" name="Text Box 199">
          <a:extLst>
            <a:ext uri="{FF2B5EF4-FFF2-40B4-BE49-F238E27FC236}">
              <a16:creationId xmlns:a16="http://schemas.microsoft.com/office/drawing/2014/main" id="{00000000-0008-0000-0800-0000D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4" name="Text Box 200">
          <a:extLst>
            <a:ext uri="{FF2B5EF4-FFF2-40B4-BE49-F238E27FC236}">
              <a16:creationId xmlns:a16="http://schemas.microsoft.com/office/drawing/2014/main" id="{00000000-0008-0000-0800-0000D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5" name="Text Box 201">
          <a:extLst>
            <a:ext uri="{FF2B5EF4-FFF2-40B4-BE49-F238E27FC236}">
              <a16:creationId xmlns:a16="http://schemas.microsoft.com/office/drawing/2014/main" id="{00000000-0008-0000-0800-0000D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6" name="Text Box 202">
          <a:extLst>
            <a:ext uri="{FF2B5EF4-FFF2-40B4-BE49-F238E27FC236}">
              <a16:creationId xmlns:a16="http://schemas.microsoft.com/office/drawing/2014/main" id="{00000000-0008-0000-0800-0000D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7" name="Text Box 203">
          <a:extLst>
            <a:ext uri="{FF2B5EF4-FFF2-40B4-BE49-F238E27FC236}">
              <a16:creationId xmlns:a16="http://schemas.microsoft.com/office/drawing/2014/main" id="{00000000-0008-0000-0800-0000D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8" name="Text Box 204">
          <a:extLst>
            <a:ext uri="{FF2B5EF4-FFF2-40B4-BE49-F238E27FC236}">
              <a16:creationId xmlns:a16="http://schemas.microsoft.com/office/drawing/2014/main" id="{00000000-0008-0000-0800-0000D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9" name="Text Box 205">
          <a:extLst>
            <a:ext uri="{FF2B5EF4-FFF2-40B4-BE49-F238E27FC236}">
              <a16:creationId xmlns:a16="http://schemas.microsoft.com/office/drawing/2014/main" id="{00000000-0008-0000-0800-0000D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0" name="Text Box 206">
          <a:extLst>
            <a:ext uri="{FF2B5EF4-FFF2-40B4-BE49-F238E27FC236}">
              <a16:creationId xmlns:a16="http://schemas.microsoft.com/office/drawing/2014/main" id="{00000000-0008-0000-0800-0000D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1" name="Text Box 207">
          <a:extLst>
            <a:ext uri="{FF2B5EF4-FFF2-40B4-BE49-F238E27FC236}">
              <a16:creationId xmlns:a16="http://schemas.microsoft.com/office/drawing/2014/main" id="{00000000-0008-0000-0800-0000D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2" name="Text Box 208">
          <a:extLst>
            <a:ext uri="{FF2B5EF4-FFF2-40B4-BE49-F238E27FC236}">
              <a16:creationId xmlns:a16="http://schemas.microsoft.com/office/drawing/2014/main" id="{00000000-0008-0000-0800-0000D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3" name="Text Box 209">
          <a:extLst>
            <a:ext uri="{FF2B5EF4-FFF2-40B4-BE49-F238E27FC236}">
              <a16:creationId xmlns:a16="http://schemas.microsoft.com/office/drawing/2014/main" id="{00000000-0008-0000-0800-0000D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4" name="Text Box 210">
          <a:extLst>
            <a:ext uri="{FF2B5EF4-FFF2-40B4-BE49-F238E27FC236}">
              <a16:creationId xmlns:a16="http://schemas.microsoft.com/office/drawing/2014/main" id="{00000000-0008-0000-0800-0000D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5" name="Text Box 211">
          <a:extLst>
            <a:ext uri="{FF2B5EF4-FFF2-40B4-BE49-F238E27FC236}">
              <a16:creationId xmlns:a16="http://schemas.microsoft.com/office/drawing/2014/main" id="{00000000-0008-0000-0800-0000D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6" name="Text Box 212">
          <a:extLst>
            <a:ext uri="{FF2B5EF4-FFF2-40B4-BE49-F238E27FC236}">
              <a16:creationId xmlns:a16="http://schemas.microsoft.com/office/drawing/2014/main" id="{00000000-0008-0000-0800-0000D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7" name="Text Box 213">
          <a:extLst>
            <a:ext uri="{FF2B5EF4-FFF2-40B4-BE49-F238E27FC236}">
              <a16:creationId xmlns:a16="http://schemas.microsoft.com/office/drawing/2014/main" id="{00000000-0008-0000-0800-0000D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8" name="Text Box 214">
          <a:extLst>
            <a:ext uri="{FF2B5EF4-FFF2-40B4-BE49-F238E27FC236}">
              <a16:creationId xmlns:a16="http://schemas.microsoft.com/office/drawing/2014/main" id="{00000000-0008-0000-0800-0000E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9" name="Text Box 215">
          <a:extLst>
            <a:ext uri="{FF2B5EF4-FFF2-40B4-BE49-F238E27FC236}">
              <a16:creationId xmlns:a16="http://schemas.microsoft.com/office/drawing/2014/main" id="{00000000-0008-0000-0800-0000E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0" name="Text Box 216">
          <a:extLst>
            <a:ext uri="{FF2B5EF4-FFF2-40B4-BE49-F238E27FC236}">
              <a16:creationId xmlns:a16="http://schemas.microsoft.com/office/drawing/2014/main" id="{00000000-0008-0000-0800-0000E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1" name="Text Box 217">
          <a:extLst>
            <a:ext uri="{FF2B5EF4-FFF2-40B4-BE49-F238E27FC236}">
              <a16:creationId xmlns:a16="http://schemas.microsoft.com/office/drawing/2014/main" id="{00000000-0008-0000-0800-0000E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2" name="Text Box 218">
          <a:extLst>
            <a:ext uri="{FF2B5EF4-FFF2-40B4-BE49-F238E27FC236}">
              <a16:creationId xmlns:a16="http://schemas.microsoft.com/office/drawing/2014/main" id="{00000000-0008-0000-0800-0000E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3" name="Text Box 219">
          <a:extLst>
            <a:ext uri="{FF2B5EF4-FFF2-40B4-BE49-F238E27FC236}">
              <a16:creationId xmlns:a16="http://schemas.microsoft.com/office/drawing/2014/main" id="{00000000-0008-0000-0800-0000E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4" name="Text Box 220">
          <a:extLst>
            <a:ext uri="{FF2B5EF4-FFF2-40B4-BE49-F238E27FC236}">
              <a16:creationId xmlns:a16="http://schemas.microsoft.com/office/drawing/2014/main" id="{00000000-0008-0000-0800-0000E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5" name="Text Box 221">
          <a:extLst>
            <a:ext uri="{FF2B5EF4-FFF2-40B4-BE49-F238E27FC236}">
              <a16:creationId xmlns:a16="http://schemas.microsoft.com/office/drawing/2014/main" id="{00000000-0008-0000-0800-0000E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6" name="Text Box 222">
          <a:extLst>
            <a:ext uri="{FF2B5EF4-FFF2-40B4-BE49-F238E27FC236}">
              <a16:creationId xmlns:a16="http://schemas.microsoft.com/office/drawing/2014/main" id="{00000000-0008-0000-0800-0000E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7" name="Text Box 223">
          <a:extLst>
            <a:ext uri="{FF2B5EF4-FFF2-40B4-BE49-F238E27FC236}">
              <a16:creationId xmlns:a16="http://schemas.microsoft.com/office/drawing/2014/main" id="{00000000-0008-0000-0800-0000E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8" name="Text Box 224">
          <a:extLst>
            <a:ext uri="{FF2B5EF4-FFF2-40B4-BE49-F238E27FC236}">
              <a16:creationId xmlns:a16="http://schemas.microsoft.com/office/drawing/2014/main" id="{00000000-0008-0000-0800-0000E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9" name="Text Box 225">
          <a:extLst>
            <a:ext uri="{FF2B5EF4-FFF2-40B4-BE49-F238E27FC236}">
              <a16:creationId xmlns:a16="http://schemas.microsoft.com/office/drawing/2014/main" id="{00000000-0008-0000-0800-0000E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80" name="Text Box 226">
          <a:extLst>
            <a:ext uri="{FF2B5EF4-FFF2-40B4-BE49-F238E27FC236}">
              <a16:creationId xmlns:a16="http://schemas.microsoft.com/office/drawing/2014/main" id="{00000000-0008-0000-0800-0000E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1" name="Text Box 227">
          <a:extLst>
            <a:ext uri="{FF2B5EF4-FFF2-40B4-BE49-F238E27FC236}">
              <a16:creationId xmlns:a16="http://schemas.microsoft.com/office/drawing/2014/main" id="{00000000-0008-0000-0800-0000E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2" name="Text Box 228">
          <a:extLst>
            <a:ext uri="{FF2B5EF4-FFF2-40B4-BE49-F238E27FC236}">
              <a16:creationId xmlns:a16="http://schemas.microsoft.com/office/drawing/2014/main" id="{00000000-0008-0000-0800-0000E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3" name="Text Box 229">
          <a:extLst>
            <a:ext uri="{FF2B5EF4-FFF2-40B4-BE49-F238E27FC236}">
              <a16:creationId xmlns:a16="http://schemas.microsoft.com/office/drawing/2014/main" id="{00000000-0008-0000-0800-0000E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4" name="Text Box 230">
          <a:extLst>
            <a:ext uri="{FF2B5EF4-FFF2-40B4-BE49-F238E27FC236}">
              <a16:creationId xmlns:a16="http://schemas.microsoft.com/office/drawing/2014/main" id="{00000000-0008-0000-0800-0000F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5" name="Text Box 231">
          <a:extLst>
            <a:ext uri="{FF2B5EF4-FFF2-40B4-BE49-F238E27FC236}">
              <a16:creationId xmlns:a16="http://schemas.microsoft.com/office/drawing/2014/main" id="{00000000-0008-0000-0800-0000F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6" name="Text Box 232">
          <a:extLst>
            <a:ext uri="{FF2B5EF4-FFF2-40B4-BE49-F238E27FC236}">
              <a16:creationId xmlns:a16="http://schemas.microsoft.com/office/drawing/2014/main" id="{00000000-0008-0000-0800-0000F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7" name="Text Box 233">
          <a:extLst>
            <a:ext uri="{FF2B5EF4-FFF2-40B4-BE49-F238E27FC236}">
              <a16:creationId xmlns:a16="http://schemas.microsoft.com/office/drawing/2014/main" id="{00000000-0008-0000-0800-0000F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8" name="Text Box 234">
          <a:extLst>
            <a:ext uri="{FF2B5EF4-FFF2-40B4-BE49-F238E27FC236}">
              <a16:creationId xmlns:a16="http://schemas.microsoft.com/office/drawing/2014/main" id="{00000000-0008-0000-0800-0000F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9" name="Text Box 235">
          <a:extLst>
            <a:ext uri="{FF2B5EF4-FFF2-40B4-BE49-F238E27FC236}">
              <a16:creationId xmlns:a16="http://schemas.microsoft.com/office/drawing/2014/main" id="{00000000-0008-0000-0800-0000F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0" name="Text Box 236">
          <a:extLst>
            <a:ext uri="{FF2B5EF4-FFF2-40B4-BE49-F238E27FC236}">
              <a16:creationId xmlns:a16="http://schemas.microsoft.com/office/drawing/2014/main" id="{00000000-0008-0000-0800-0000F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1" name="Text Box 237">
          <a:extLst>
            <a:ext uri="{FF2B5EF4-FFF2-40B4-BE49-F238E27FC236}">
              <a16:creationId xmlns:a16="http://schemas.microsoft.com/office/drawing/2014/main" id="{00000000-0008-0000-0800-0000F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2" name="Text Box 238">
          <a:extLst>
            <a:ext uri="{FF2B5EF4-FFF2-40B4-BE49-F238E27FC236}">
              <a16:creationId xmlns:a16="http://schemas.microsoft.com/office/drawing/2014/main" id="{00000000-0008-0000-0800-0000F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3" name="Text Box 239">
          <a:extLst>
            <a:ext uri="{FF2B5EF4-FFF2-40B4-BE49-F238E27FC236}">
              <a16:creationId xmlns:a16="http://schemas.microsoft.com/office/drawing/2014/main" id="{00000000-0008-0000-0800-0000F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4" name="Text Box 240">
          <a:extLst>
            <a:ext uri="{FF2B5EF4-FFF2-40B4-BE49-F238E27FC236}">
              <a16:creationId xmlns:a16="http://schemas.microsoft.com/office/drawing/2014/main" id="{00000000-0008-0000-0800-0000F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5" name="Text Box 241">
          <a:extLst>
            <a:ext uri="{FF2B5EF4-FFF2-40B4-BE49-F238E27FC236}">
              <a16:creationId xmlns:a16="http://schemas.microsoft.com/office/drawing/2014/main" id="{00000000-0008-0000-0800-0000F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6" name="Text Box 242">
          <a:extLst>
            <a:ext uri="{FF2B5EF4-FFF2-40B4-BE49-F238E27FC236}">
              <a16:creationId xmlns:a16="http://schemas.microsoft.com/office/drawing/2014/main" id="{00000000-0008-0000-0800-0000F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7" name="Text Box 243">
          <a:extLst>
            <a:ext uri="{FF2B5EF4-FFF2-40B4-BE49-F238E27FC236}">
              <a16:creationId xmlns:a16="http://schemas.microsoft.com/office/drawing/2014/main" id="{00000000-0008-0000-0800-0000F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8" name="Text Box 244">
          <a:extLst>
            <a:ext uri="{FF2B5EF4-FFF2-40B4-BE49-F238E27FC236}">
              <a16:creationId xmlns:a16="http://schemas.microsoft.com/office/drawing/2014/main" id="{00000000-0008-0000-0800-0000F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9" name="Text Box 245">
          <a:extLst>
            <a:ext uri="{FF2B5EF4-FFF2-40B4-BE49-F238E27FC236}">
              <a16:creationId xmlns:a16="http://schemas.microsoft.com/office/drawing/2014/main" id="{00000000-0008-0000-0800-0000F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0" name="Text Box 246">
          <a:extLst>
            <a:ext uri="{FF2B5EF4-FFF2-40B4-BE49-F238E27FC236}">
              <a16:creationId xmlns:a16="http://schemas.microsoft.com/office/drawing/2014/main" id="{00000000-0008-0000-0800-00000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1" name="Text Box 247">
          <a:extLst>
            <a:ext uri="{FF2B5EF4-FFF2-40B4-BE49-F238E27FC236}">
              <a16:creationId xmlns:a16="http://schemas.microsoft.com/office/drawing/2014/main" id="{00000000-0008-0000-0800-00000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2" name="Text Box 248">
          <a:extLst>
            <a:ext uri="{FF2B5EF4-FFF2-40B4-BE49-F238E27FC236}">
              <a16:creationId xmlns:a16="http://schemas.microsoft.com/office/drawing/2014/main" id="{00000000-0008-0000-0800-00000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3" name="Text Box 249">
          <a:extLst>
            <a:ext uri="{FF2B5EF4-FFF2-40B4-BE49-F238E27FC236}">
              <a16:creationId xmlns:a16="http://schemas.microsoft.com/office/drawing/2014/main" id="{00000000-0008-0000-0800-00000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4" name="Text Box 250">
          <a:extLst>
            <a:ext uri="{FF2B5EF4-FFF2-40B4-BE49-F238E27FC236}">
              <a16:creationId xmlns:a16="http://schemas.microsoft.com/office/drawing/2014/main" id="{00000000-0008-0000-0800-00000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5" name="Text Box 251">
          <a:extLst>
            <a:ext uri="{FF2B5EF4-FFF2-40B4-BE49-F238E27FC236}">
              <a16:creationId xmlns:a16="http://schemas.microsoft.com/office/drawing/2014/main" id="{00000000-0008-0000-0800-00000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6" name="Text Box 252">
          <a:extLst>
            <a:ext uri="{FF2B5EF4-FFF2-40B4-BE49-F238E27FC236}">
              <a16:creationId xmlns:a16="http://schemas.microsoft.com/office/drawing/2014/main" id="{00000000-0008-0000-0800-00000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7" name="Text Box 253">
          <a:extLst>
            <a:ext uri="{FF2B5EF4-FFF2-40B4-BE49-F238E27FC236}">
              <a16:creationId xmlns:a16="http://schemas.microsoft.com/office/drawing/2014/main" id="{00000000-0008-0000-0800-00000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8" name="Text Box 254">
          <a:extLst>
            <a:ext uri="{FF2B5EF4-FFF2-40B4-BE49-F238E27FC236}">
              <a16:creationId xmlns:a16="http://schemas.microsoft.com/office/drawing/2014/main" id="{00000000-0008-0000-0800-00000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9" name="Text Box 255">
          <a:extLst>
            <a:ext uri="{FF2B5EF4-FFF2-40B4-BE49-F238E27FC236}">
              <a16:creationId xmlns:a16="http://schemas.microsoft.com/office/drawing/2014/main" id="{00000000-0008-0000-0800-00000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0" name="Text Box 256">
          <a:extLst>
            <a:ext uri="{FF2B5EF4-FFF2-40B4-BE49-F238E27FC236}">
              <a16:creationId xmlns:a16="http://schemas.microsoft.com/office/drawing/2014/main" id="{00000000-0008-0000-0800-00000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1" name="Text Box 257">
          <a:extLst>
            <a:ext uri="{FF2B5EF4-FFF2-40B4-BE49-F238E27FC236}">
              <a16:creationId xmlns:a16="http://schemas.microsoft.com/office/drawing/2014/main" id="{00000000-0008-0000-0800-00000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2" name="Text Box 258">
          <a:extLst>
            <a:ext uri="{FF2B5EF4-FFF2-40B4-BE49-F238E27FC236}">
              <a16:creationId xmlns:a16="http://schemas.microsoft.com/office/drawing/2014/main" id="{00000000-0008-0000-0800-00000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3" name="Text Box 259">
          <a:extLst>
            <a:ext uri="{FF2B5EF4-FFF2-40B4-BE49-F238E27FC236}">
              <a16:creationId xmlns:a16="http://schemas.microsoft.com/office/drawing/2014/main" id="{00000000-0008-0000-0800-00000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4" name="Text Box 260">
          <a:extLst>
            <a:ext uri="{FF2B5EF4-FFF2-40B4-BE49-F238E27FC236}">
              <a16:creationId xmlns:a16="http://schemas.microsoft.com/office/drawing/2014/main" id="{00000000-0008-0000-0800-00000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5" name="Text Box 261">
          <a:extLst>
            <a:ext uri="{FF2B5EF4-FFF2-40B4-BE49-F238E27FC236}">
              <a16:creationId xmlns:a16="http://schemas.microsoft.com/office/drawing/2014/main" id="{00000000-0008-0000-0800-00000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6" name="Text Box 262">
          <a:extLst>
            <a:ext uri="{FF2B5EF4-FFF2-40B4-BE49-F238E27FC236}">
              <a16:creationId xmlns:a16="http://schemas.microsoft.com/office/drawing/2014/main" id="{00000000-0008-0000-0800-00001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7" name="Text Box 263">
          <a:extLst>
            <a:ext uri="{FF2B5EF4-FFF2-40B4-BE49-F238E27FC236}">
              <a16:creationId xmlns:a16="http://schemas.microsoft.com/office/drawing/2014/main" id="{00000000-0008-0000-0800-00001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8" name="Text Box 264">
          <a:extLst>
            <a:ext uri="{FF2B5EF4-FFF2-40B4-BE49-F238E27FC236}">
              <a16:creationId xmlns:a16="http://schemas.microsoft.com/office/drawing/2014/main" id="{00000000-0008-0000-0800-00001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9" name="Text Box 265">
          <a:extLst>
            <a:ext uri="{FF2B5EF4-FFF2-40B4-BE49-F238E27FC236}">
              <a16:creationId xmlns:a16="http://schemas.microsoft.com/office/drawing/2014/main" id="{00000000-0008-0000-0800-00001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0" name="Text Box 266">
          <a:extLst>
            <a:ext uri="{FF2B5EF4-FFF2-40B4-BE49-F238E27FC236}">
              <a16:creationId xmlns:a16="http://schemas.microsoft.com/office/drawing/2014/main" id="{00000000-0008-0000-0800-00001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1" name="Text Box 267">
          <a:extLst>
            <a:ext uri="{FF2B5EF4-FFF2-40B4-BE49-F238E27FC236}">
              <a16:creationId xmlns:a16="http://schemas.microsoft.com/office/drawing/2014/main" id="{00000000-0008-0000-0800-00001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2" name="Text Box 268">
          <a:extLst>
            <a:ext uri="{FF2B5EF4-FFF2-40B4-BE49-F238E27FC236}">
              <a16:creationId xmlns:a16="http://schemas.microsoft.com/office/drawing/2014/main" id="{00000000-0008-0000-0800-00001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3" name="Text Box 269">
          <a:extLst>
            <a:ext uri="{FF2B5EF4-FFF2-40B4-BE49-F238E27FC236}">
              <a16:creationId xmlns:a16="http://schemas.microsoft.com/office/drawing/2014/main" id="{00000000-0008-0000-0800-00001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4" name="Text Box 270">
          <a:extLst>
            <a:ext uri="{FF2B5EF4-FFF2-40B4-BE49-F238E27FC236}">
              <a16:creationId xmlns:a16="http://schemas.microsoft.com/office/drawing/2014/main" id="{00000000-0008-0000-0800-00001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5" name="Text Box 271">
          <a:extLst>
            <a:ext uri="{FF2B5EF4-FFF2-40B4-BE49-F238E27FC236}">
              <a16:creationId xmlns:a16="http://schemas.microsoft.com/office/drawing/2014/main" id="{00000000-0008-0000-0800-00001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6" name="Text Box 272">
          <a:extLst>
            <a:ext uri="{FF2B5EF4-FFF2-40B4-BE49-F238E27FC236}">
              <a16:creationId xmlns:a16="http://schemas.microsoft.com/office/drawing/2014/main" id="{00000000-0008-0000-0800-00001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7" name="Text Box 273">
          <a:extLst>
            <a:ext uri="{FF2B5EF4-FFF2-40B4-BE49-F238E27FC236}">
              <a16:creationId xmlns:a16="http://schemas.microsoft.com/office/drawing/2014/main" id="{00000000-0008-0000-0800-00001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8" name="Text Box 274">
          <a:extLst>
            <a:ext uri="{FF2B5EF4-FFF2-40B4-BE49-F238E27FC236}">
              <a16:creationId xmlns:a16="http://schemas.microsoft.com/office/drawing/2014/main" id="{00000000-0008-0000-0800-00001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9" name="Text Box 275">
          <a:extLst>
            <a:ext uri="{FF2B5EF4-FFF2-40B4-BE49-F238E27FC236}">
              <a16:creationId xmlns:a16="http://schemas.microsoft.com/office/drawing/2014/main" id="{00000000-0008-0000-0800-00001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0" name="Text Box 276">
          <a:extLst>
            <a:ext uri="{FF2B5EF4-FFF2-40B4-BE49-F238E27FC236}">
              <a16:creationId xmlns:a16="http://schemas.microsoft.com/office/drawing/2014/main" id="{00000000-0008-0000-0800-00001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1" name="Text Box 277">
          <a:extLst>
            <a:ext uri="{FF2B5EF4-FFF2-40B4-BE49-F238E27FC236}">
              <a16:creationId xmlns:a16="http://schemas.microsoft.com/office/drawing/2014/main" id="{00000000-0008-0000-0800-00001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2" name="Text Box 278">
          <a:extLst>
            <a:ext uri="{FF2B5EF4-FFF2-40B4-BE49-F238E27FC236}">
              <a16:creationId xmlns:a16="http://schemas.microsoft.com/office/drawing/2014/main" id="{00000000-0008-0000-0800-00002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3" name="Text Box 279">
          <a:extLst>
            <a:ext uri="{FF2B5EF4-FFF2-40B4-BE49-F238E27FC236}">
              <a16:creationId xmlns:a16="http://schemas.microsoft.com/office/drawing/2014/main" id="{00000000-0008-0000-0800-00002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4" name="Text Box 280">
          <a:extLst>
            <a:ext uri="{FF2B5EF4-FFF2-40B4-BE49-F238E27FC236}">
              <a16:creationId xmlns:a16="http://schemas.microsoft.com/office/drawing/2014/main" id="{00000000-0008-0000-0800-00002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5" name="Text Box 281">
          <a:extLst>
            <a:ext uri="{FF2B5EF4-FFF2-40B4-BE49-F238E27FC236}">
              <a16:creationId xmlns:a16="http://schemas.microsoft.com/office/drawing/2014/main" id="{00000000-0008-0000-0800-00002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6" name="Text Box 282">
          <a:extLst>
            <a:ext uri="{FF2B5EF4-FFF2-40B4-BE49-F238E27FC236}">
              <a16:creationId xmlns:a16="http://schemas.microsoft.com/office/drawing/2014/main" id="{00000000-0008-0000-0800-00002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7" name="Text Box 283">
          <a:extLst>
            <a:ext uri="{FF2B5EF4-FFF2-40B4-BE49-F238E27FC236}">
              <a16:creationId xmlns:a16="http://schemas.microsoft.com/office/drawing/2014/main" id="{00000000-0008-0000-0800-00002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8" name="Text Box 284">
          <a:extLst>
            <a:ext uri="{FF2B5EF4-FFF2-40B4-BE49-F238E27FC236}">
              <a16:creationId xmlns:a16="http://schemas.microsoft.com/office/drawing/2014/main" id="{00000000-0008-0000-0800-00002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9" name="Text Box 285">
          <a:extLst>
            <a:ext uri="{FF2B5EF4-FFF2-40B4-BE49-F238E27FC236}">
              <a16:creationId xmlns:a16="http://schemas.microsoft.com/office/drawing/2014/main" id="{00000000-0008-0000-0800-00002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0" name="Text Box 286">
          <a:extLst>
            <a:ext uri="{FF2B5EF4-FFF2-40B4-BE49-F238E27FC236}">
              <a16:creationId xmlns:a16="http://schemas.microsoft.com/office/drawing/2014/main" id="{00000000-0008-0000-0800-00002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1" name="Text Box 287">
          <a:extLst>
            <a:ext uri="{FF2B5EF4-FFF2-40B4-BE49-F238E27FC236}">
              <a16:creationId xmlns:a16="http://schemas.microsoft.com/office/drawing/2014/main" id="{00000000-0008-0000-0800-00002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2" name="Text Box 288">
          <a:extLst>
            <a:ext uri="{FF2B5EF4-FFF2-40B4-BE49-F238E27FC236}">
              <a16:creationId xmlns:a16="http://schemas.microsoft.com/office/drawing/2014/main" id="{00000000-0008-0000-0800-00002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3" name="Text Box 289">
          <a:extLst>
            <a:ext uri="{FF2B5EF4-FFF2-40B4-BE49-F238E27FC236}">
              <a16:creationId xmlns:a16="http://schemas.microsoft.com/office/drawing/2014/main" id="{00000000-0008-0000-0800-00002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4" name="Text Box 290">
          <a:extLst>
            <a:ext uri="{FF2B5EF4-FFF2-40B4-BE49-F238E27FC236}">
              <a16:creationId xmlns:a16="http://schemas.microsoft.com/office/drawing/2014/main" id="{00000000-0008-0000-0800-00002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5" name="Text Box 291">
          <a:extLst>
            <a:ext uri="{FF2B5EF4-FFF2-40B4-BE49-F238E27FC236}">
              <a16:creationId xmlns:a16="http://schemas.microsoft.com/office/drawing/2014/main" id="{00000000-0008-0000-0800-00002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6" name="Text Box 292">
          <a:extLst>
            <a:ext uri="{FF2B5EF4-FFF2-40B4-BE49-F238E27FC236}">
              <a16:creationId xmlns:a16="http://schemas.microsoft.com/office/drawing/2014/main" id="{00000000-0008-0000-0800-00002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7" name="Text Box 293">
          <a:extLst>
            <a:ext uri="{FF2B5EF4-FFF2-40B4-BE49-F238E27FC236}">
              <a16:creationId xmlns:a16="http://schemas.microsoft.com/office/drawing/2014/main" id="{00000000-0008-0000-0800-00002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8" name="Text Box 294">
          <a:extLst>
            <a:ext uri="{FF2B5EF4-FFF2-40B4-BE49-F238E27FC236}">
              <a16:creationId xmlns:a16="http://schemas.microsoft.com/office/drawing/2014/main" id="{00000000-0008-0000-0800-00003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9" name="Text Box 295">
          <a:extLst>
            <a:ext uri="{FF2B5EF4-FFF2-40B4-BE49-F238E27FC236}">
              <a16:creationId xmlns:a16="http://schemas.microsoft.com/office/drawing/2014/main" id="{00000000-0008-0000-0800-00003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50" name="Text Box 296">
          <a:extLst>
            <a:ext uri="{FF2B5EF4-FFF2-40B4-BE49-F238E27FC236}">
              <a16:creationId xmlns:a16="http://schemas.microsoft.com/office/drawing/2014/main" id="{00000000-0008-0000-0800-00003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1" name="Text Box 297">
          <a:extLst>
            <a:ext uri="{FF2B5EF4-FFF2-40B4-BE49-F238E27FC236}">
              <a16:creationId xmlns:a16="http://schemas.microsoft.com/office/drawing/2014/main" id="{00000000-0008-0000-0800-00003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2" name="Text Box 298">
          <a:extLst>
            <a:ext uri="{FF2B5EF4-FFF2-40B4-BE49-F238E27FC236}">
              <a16:creationId xmlns:a16="http://schemas.microsoft.com/office/drawing/2014/main" id="{00000000-0008-0000-0800-00003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3" name="Text Box 299">
          <a:extLst>
            <a:ext uri="{FF2B5EF4-FFF2-40B4-BE49-F238E27FC236}">
              <a16:creationId xmlns:a16="http://schemas.microsoft.com/office/drawing/2014/main" id="{00000000-0008-0000-0800-00003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4" name="Text Box 300">
          <a:extLst>
            <a:ext uri="{FF2B5EF4-FFF2-40B4-BE49-F238E27FC236}">
              <a16:creationId xmlns:a16="http://schemas.microsoft.com/office/drawing/2014/main" id="{00000000-0008-0000-0800-00003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5" name="Text Box 301">
          <a:extLst>
            <a:ext uri="{FF2B5EF4-FFF2-40B4-BE49-F238E27FC236}">
              <a16:creationId xmlns:a16="http://schemas.microsoft.com/office/drawing/2014/main" id="{00000000-0008-0000-0800-00003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6" name="Text Box 302">
          <a:extLst>
            <a:ext uri="{FF2B5EF4-FFF2-40B4-BE49-F238E27FC236}">
              <a16:creationId xmlns:a16="http://schemas.microsoft.com/office/drawing/2014/main" id="{00000000-0008-0000-0800-00003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7" name="Text Box 303">
          <a:extLst>
            <a:ext uri="{FF2B5EF4-FFF2-40B4-BE49-F238E27FC236}">
              <a16:creationId xmlns:a16="http://schemas.microsoft.com/office/drawing/2014/main" id="{00000000-0008-0000-0800-00003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8" name="Text Box 304">
          <a:extLst>
            <a:ext uri="{FF2B5EF4-FFF2-40B4-BE49-F238E27FC236}">
              <a16:creationId xmlns:a16="http://schemas.microsoft.com/office/drawing/2014/main" id="{00000000-0008-0000-0800-00003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9" name="Text Box 305">
          <a:extLst>
            <a:ext uri="{FF2B5EF4-FFF2-40B4-BE49-F238E27FC236}">
              <a16:creationId xmlns:a16="http://schemas.microsoft.com/office/drawing/2014/main" id="{00000000-0008-0000-0800-00003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0" name="Text Box 306">
          <a:extLst>
            <a:ext uri="{FF2B5EF4-FFF2-40B4-BE49-F238E27FC236}">
              <a16:creationId xmlns:a16="http://schemas.microsoft.com/office/drawing/2014/main" id="{00000000-0008-0000-0800-00003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1" name="Text Box 307">
          <a:extLst>
            <a:ext uri="{FF2B5EF4-FFF2-40B4-BE49-F238E27FC236}">
              <a16:creationId xmlns:a16="http://schemas.microsoft.com/office/drawing/2014/main" id="{00000000-0008-0000-0800-00003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2" name="Text Box 308">
          <a:extLst>
            <a:ext uri="{FF2B5EF4-FFF2-40B4-BE49-F238E27FC236}">
              <a16:creationId xmlns:a16="http://schemas.microsoft.com/office/drawing/2014/main" id="{00000000-0008-0000-0800-00003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3" name="Text Box 309">
          <a:extLst>
            <a:ext uri="{FF2B5EF4-FFF2-40B4-BE49-F238E27FC236}">
              <a16:creationId xmlns:a16="http://schemas.microsoft.com/office/drawing/2014/main" id="{00000000-0008-0000-0800-00003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4" name="Text Box 310">
          <a:extLst>
            <a:ext uri="{FF2B5EF4-FFF2-40B4-BE49-F238E27FC236}">
              <a16:creationId xmlns:a16="http://schemas.microsoft.com/office/drawing/2014/main" id="{00000000-0008-0000-0800-00004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5" name="Text Box 311">
          <a:extLst>
            <a:ext uri="{FF2B5EF4-FFF2-40B4-BE49-F238E27FC236}">
              <a16:creationId xmlns:a16="http://schemas.microsoft.com/office/drawing/2014/main" id="{00000000-0008-0000-0800-00004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6" name="Text Box 312">
          <a:extLst>
            <a:ext uri="{FF2B5EF4-FFF2-40B4-BE49-F238E27FC236}">
              <a16:creationId xmlns:a16="http://schemas.microsoft.com/office/drawing/2014/main" id="{00000000-0008-0000-0800-00004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7" name="Text Box 313">
          <a:extLst>
            <a:ext uri="{FF2B5EF4-FFF2-40B4-BE49-F238E27FC236}">
              <a16:creationId xmlns:a16="http://schemas.microsoft.com/office/drawing/2014/main" id="{00000000-0008-0000-0800-00004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8" name="Text Box 314">
          <a:extLst>
            <a:ext uri="{FF2B5EF4-FFF2-40B4-BE49-F238E27FC236}">
              <a16:creationId xmlns:a16="http://schemas.microsoft.com/office/drawing/2014/main" id="{00000000-0008-0000-0800-00004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9" name="Text Box 315">
          <a:extLst>
            <a:ext uri="{FF2B5EF4-FFF2-40B4-BE49-F238E27FC236}">
              <a16:creationId xmlns:a16="http://schemas.microsoft.com/office/drawing/2014/main" id="{00000000-0008-0000-0800-00004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0" name="Text Box 316">
          <a:extLst>
            <a:ext uri="{FF2B5EF4-FFF2-40B4-BE49-F238E27FC236}">
              <a16:creationId xmlns:a16="http://schemas.microsoft.com/office/drawing/2014/main" id="{00000000-0008-0000-0800-00004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1" name="Text Box 317">
          <a:extLst>
            <a:ext uri="{FF2B5EF4-FFF2-40B4-BE49-F238E27FC236}">
              <a16:creationId xmlns:a16="http://schemas.microsoft.com/office/drawing/2014/main" id="{00000000-0008-0000-0800-00004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2" name="Text Box 318">
          <a:extLst>
            <a:ext uri="{FF2B5EF4-FFF2-40B4-BE49-F238E27FC236}">
              <a16:creationId xmlns:a16="http://schemas.microsoft.com/office/drawing/2014/main" id="{00000000-0008-0000-0800-00004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3" name="Text Box 319">
          <a:extLst>
            <a:ext uri="{FF2B5EF4-FFF2-40B4-BE49-F238E27FC236}">
              <a16:creationId xmlns:a16="http://schemas.microsoft.com/office/drawing/2014/main" id="{00000000-0008-0000-0800-00004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4" name="Text Box 320">
          <a:extLst>
            <a:ext uri="{FF2B5EF4-FFF2-40B4-BE49-F238E27FC236}">
              <a16:creationId xmlns:a16="http://schemas.microsoft.com/office/drawing/2014/main" id="{00000000-0008-0000-0800-00004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5" name="Text Box 28">
          <a:extLst>
            <a:ext uri="{FF2B5EF4-FFF2-40B4-BE49-F238E27FC236}">
              <a16:creationId xmlns:a16="http://schemas.microsoft.com/office/drawing/2014/main" id="{00000000-0008-0000-0800-00004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6" name="Text Box 29">
          <a:extLst>
            <a:ext uri="{FF2B5EF4-FFF2-40B4-BE49-F238E27FC236}">
              <a16:creationId xmlns:a16="http://schemas.microsoft.com/office/drawing/2014/main" id="{00000000-0008-0000-0800-00004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7" name="Text Box 30">
          <a:extLst>
            <a:ext uri="{FF2B5EF4-FFF2-40B4-BE49-F238E27FC236}">
              <a16:creationId xmlns:a16="http://schemas.microsoft.com/office/drawing/2014/main" id="{00000000-0008-0000-0800-00004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8" name="Text Box 31">
          <a:extLst>
            <a:ext uri="{FF2B5EF4-FFF2-40B4-BE49-F238E27FC236}">
              <a16:creationId xmlns:a16="http://schemas.microsoft.com/office/drawing/2014/main" id="{00000000-0008-0000-0800-00004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9" name="Text Box 32">
          <a:extLst>
            <a:ext uri="{FF2B5EF4-FFF2-40B4-BE49-F238E27FC236}">
              <a16:creationId xmlns:a16="http://schemas.microsoft.com/office/drawing/2014/main" id="{00000000-0008-0000-0800-00004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0" name="Text Box 33">
          <a:extLst>
            <a:ext uri="{FF2B5EF4-FFF2-40B4-BE49-F238E27FC236}">
              <a16:creationId xmlns:a16="http://schemas.microsoft.com/office/drawing/2014/main" id="{00000000-0008-0000-0800-00005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1" name="Text Box 34">
          <a:extLst>
            <a:ext uri="{FF2B5EF4-FFF2-40B4-BE49-F238E27FC236}">
              <a16:creationId xmlns:a16="http://schemas.microsoft.com/office/drawing/2014/main" id="{00000000-0008-0000-0800-00005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2" name="Text Box 35">
          <a:extLst>
            <a:ext uri="{FF2B5EF4-FFF2-40B4-BE49-F238E27FC236}">
              <a16:creationId xmlns:a16="http://schemas.microsoft.com/office/drawing/2014/main" id="{00000000-0008-0000-0800-00005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3" name="Text Box 36">
          <a:extLst>
            <a:ext uri="{FF2B5EF4-FFF2-40B4-BE49-F238E27FC236}">
              <a16:creationId xmlns:a16="http://schemas.microsoft.com/office/drawing/2014/main" id="{00000000-0008-0000-0800-00005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4" name="Text Box 37">
          <a:extLst>
            <a:ext uri="{FF2B5EF4-FFF2-40B4-BE49-F238E27FC236}">
              <a16:creationId xmlns:a16="http://schemas.microsoft.com/office/drawing/2014/main" id="{00000000-0008-0000-0800-00005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5" name="Text Box 38">
          <a:extLst>
            <a:ext uri="{FF2B5EF4-FFF2-40B4-BE49-F238E27FC236}">
              <a16:creationId xmlns:a16="http://schemas.microsoft.com/office/drawing/2014/main" id="{00000000-0008-0000-0800-00005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6" name="Text Box 39">
          <a:extLst>
            <a:ext uri="{FF2B5EF4-FFF2-40B4-BE49-F238E27FC236}">
              <a16:creationId xmlns:a16="http://schemas.microsoft.com/office/drawing/2014/main" id="{00000000-0008-0000-0800-00005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7" name="Text Box 40">
          <a:extLst>
            <a:ext uri="{FF2B5EF4-FFF2-40B4-BE49-F238E27FC236}">
              <a16:creationId xmlns:a16="http://schemas.microsoft.com/office/drawing/2014/main" id="{00000000-0008-0000-0800-00005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8" name="Text Box 41">
          <a:extLst>
            <a:ext uri="{FF2B5EF4-FFF2-40B4-BE49-F238E27FC236}">
              <a16:creationId xmlns:a16="http://schemas.microsoft.com/office/drawing/2014/main" id="{00000000-0008-0000-0800-00005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9" name="Text Box 42">
          <a:extLst>
            <a:ext uri="{FF2B5EF4-FFF2-40B4-BE49-F238E27FC236}">
              <a16:creationId xmlns:a16="http://schemas.microsoft.com/office/drawing/2014/main" id="{00000000-0008-0000-0800-00005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0" name="Text Box 43">
          <a:extLst>
            <a:ext uri="{FF2B5EF4-FFF2-40B4-BE49-F238E27FC236}">
              <a16:creationId xmlns:a16="http://schemas.microsoft.com/office/drawing/2014/main" id="{00000000-0008-0000-0800-00005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1" name="Text Box 44">
          <a:extLst>
            <a:ext uri="{FF2B5EF4-FFF2-40B4-BE49-F238E27FC236}">
              <a16:creationId xmlns:a16="http://schemas.microsoft.com/office/drawing/2014/main" id="{00000000-0008-0000-0800-00005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2" name="Text Box 45">
          <a:extLst>
            <a:ext uri="{FF2B5EF4-FFF2-40B4-BE49-F238E27FC236}">
              <a16:creationId xmlns:a16="http://schemas.microsoft.com/office/drawing/2014/main" id="{00000000-0008-0000-0800-00005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3" name="Text Box 46">
          <a:extLst>
            <a:ext uri="{FF2B5EF4-FFF2-40B4-BE49-F238E27FC236}">
              <a16:creationId xmlns:a16="http://schemas.microsoft.com/office/drawing/2014/main" id="{00000000-0008-0000-0800-00005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4" name="Text Box 47">
          <a:extLst>
            <a:ext uri="{FF2B5EF4-FFF2-40B4-BE49-F238E27FC236}">
              <a16:creationId xmlns:a16="http://schemas.microsoft.com/office/drawing/2014/main" id="{00000000-0008-0000-0800-00005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5" name="Text Box 48">
          <a:extLst>
            <a:ext uri="{FF2B5EF4-FFF2-40B4-BE49-F238E27FC236}">
              <a16:creationId xmlns:a16="http://schemas.microsoft.com/office/drawing/2014/main" id="{00000000-0008-0000-0800-00005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6" name="Text Box 49">
          <a:extLst>
            <a:ext uri="{FF2B5EF4-FFF2-40B4-BE49-F238E27FC236}">
              <a16:creationId xmlns:a16="http://schemas.microsoft.com/office/drawing/2014/main" id="{00000000-0008-0000-0800-00006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7" name="Text Box 50">
          <a:extLst>
            <a:ext uri="{FF2B5EF4-FFF2-40B4-BE49-F238E27FC236}">
              <a16:creationId xmlns:a16="http://schemas.microsoft.com/office/drawing/2014/main" id="{00000000-0008-0000-0800-00006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8" name="Text Box 51">
          <a:extLst>
            <a:ext uri="{FF2B5EF4-FFF2-40B4-BE49-F238E27FC236}">
              <a16:creationId xmlns:a16="http://schemas.microsoft.com/office/drawing/2014/main" id="{00000000-0008-0000-0800-00006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9" name="Text Box 52">
          <a:extLst>
            <a:ext uri="{FF2B5EF4-FFF2-40B4-BE49-F238E27FC236}">
              <a16:creationId xmlns:a16="http://schemas.microsoft.com/office/drawing/2014/main" id="{00000000-0008-0000-0800-00006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0" name="Text Box 53">
          <a:extLst>
            <a:ext uri="{FF2B5EF4-FFF2-40B4-BE49-F238E27FC236}">
              <a16:creationId xmlns:a16="http://schemas.microsoft.com/office/drawing/2014/main" id="{00000000-0008-0000-0800-00006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1" name="Text Box 54">
          <a:extLst>
            <a:ext uri="{FF2B5EF4-FFF2-40B4-BE49-F238E27FC236}">
              <a16:creationId xmlns:a16="http://schemas.microsoft.com/office/drawing/2014/main" id="{00000000-0008-0000-0800-00006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2" name="Text Box 55">
          <a:extLst>
            <a:ext uri="{FF2B5EF4-FFF2-40B4-BE49-F238E27FC236}">
              <a16:creationId xmlns:a16="http://schemas.microsoft.com/office/drawing/2014/main" id="{00000000-0008-0000-0800-00006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3" name="Text Box 56">
          <a:extLst>
            <a:ext uri="{FF2B5EF4-FFF2-40B4-BE49-F238E27FC236}">
              <a16:creationId xmlns:a16="http://schemas.microsoft.com/office/drawing/2014/main" id="{00000000-0008-0000-0800-00006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4" name="Text Box 57">
          <a:extLst>
            <a:ext uri="{FF2B5EF4-FFF2-40B4-BE49-F238E27FC236}">
              <a16:creationId xmlns:a16="http://schemas.microsoft.com/office/drawing/2014/main" id="{00000000-0008-0000-0800-00006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5" name="Text Box 58">
          <a:extLst>
            <a:ext uri="{FF2B5EF4-FFF2-40B4-BE49-F238E27FC236}">
              <a16:creationId xmlns:a16="http://schemas.microsoft.com/office/drawing/2014/main" id="{00000000-0008-0000-0800-00006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6" name="Text Box 59">
          <a:extLst>
            <a:ext uri="{FF2B5EF4-FFF2-40B4-BE49-F238E27FC236}">
              <a16:creationId xmlns:a16="http://schemas.microsoft.com/office/drawing/2014/main" id="{00000000-0008-0000-0800-00006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7" name="Text Box 60">
          <a:extLst>
            <a:ext uri="{FF2B5EF4-FFF2-40B4-BE49-F238E27FC236}">
              <a16:creationId xmlns:a16="http://schemas.microsoft.com/office/drawing/2014/main" id="{00000000-0008-0000-0800-00006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8" name="Text Box 61">
          <a:extLst>
            <a:ext uri="{FF2B5EF4-FFF2-40B4-BE49-F238E27FC236}">
              <a16:creationId xmlns:a16="http://schemas.microsoft.com/office/drawing/2014/main" id="{00000000-0008-0000-0800-00006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9" name="Text Box 62">
          <a:extLst>
            <a:ext uri="{FF2B5EF4-FFF2-40B4-BE49-F238E27FC236}">
              <a16:creationId xmlns:a16="http://schemas.microsoft.com/office/drawing/2014/main" id="{00000000-0008-0000-0800-00006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0" name="Text Box 63">
          <a:extLst>
            <a:ext uri="{FF2B5EF4-FFF2-40B4-BE49-F238E27FC236}">
              <a16:creationId xmlns:a16="http://schemas.microsoft.com/office/drawing/2014/main" id="{00000000-0008-0000-0800-00006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1" name="Text Box 64">
          <a:extLst>
            <a:ext uri="{FF2B5EF4-FFF2-40B4-BE49-F238E27FC236}">
              <a16:creationId xmlns:a16="http://schemas.microsoft.com/office/drawing/2014/main" id="{00000000-0008-0000-0800-00006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2" name="Text Box 65">
          <a:extLst>
            <a:ext uri="{FF2B5EF4-FFF2-40B4-BE49-F238E27FC236}">
              <a16:creationId xmlns:a16="http://schemas.microsoft.com/office/drawing/2014/main" id="{00000000-0008-0000-0800-00007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3" name="Text Box 66">
          <a:extLst>
            <a:ext uri="{FF2B5EF4-FFF2-40B4-BE49-F238E27FC236}">
              <a16:creationId xmlns:a16="http://schemas.microsoft.com/office/drawing/2014/main" id="{00000000-0008-0000-0800-00007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4" name="Text Box 67">
          <a:extLst>
            <a:ext uri="{FF2B5EF4-FFF2-40B4-BE49-F238E27FC236}">
              <a16:creationId xmlns:a16="http://schemas.microsoft.com/office/drawing/2014/main" id="{00000000-0008-0000-0800-00007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5" name="Text Box 68">
          <a:extLst>
            <a:ext uri="{FF2B5EF4-FFF2-40B4-BE49-F238E27FC236}">
              <a16:creationId xmlns:a16="http://schemas.microsoft.com/office/drawing/2014/main" id="{00000000-0008-0000-0800-00007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6" name="Text Box 69">
          <a:extLst>
            <a:ext uri="{FF2B5EF4-FFF2-40B4-BE49-F238E27FC236}">
              <a16:creationId xmlns:a16="http://schemas.microsoft.com/office/drawing/2014/main" id="{00000000-0008-0000-0800-00007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7" name="Text Box 70">
          <a:extLst>
            <a:ext uri="{FF2B5EF4-FFF2-40B4-BE49-F238E27FC236}">
              <a16:creationId xmlns:a16="http://schemas.microsoft.com/office/drawing/2014/main" id="{00000000-0008-0000-0800-00007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8" name="Text Box 71">
          <a:extLst>
            <a:ext uri="{FF2B5EF4-FFF2-40B4-BE49-F238E27FC236}">
              <a16:creationId xmlns:a16="http://schemas.microsoft.com/office/drawing/2014/main" id="{00000000-0008-0000-0800-00007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9" name="Text Box 72">
          <a:extLst>
            <a:ext uri="{FF2B5EF4-FFF2-40B4-BE49-F238E27FC236}">
              <a16:creationId xmlns:a16="http://schemas.microsoft.com/office/drawing/2014/main" id="{00000000-0008-0000-0800-00007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0" name="Text Box 73">
          <a:extLst>
            <a:ext uri="{FF2B5EF4-FFF2-40B4-BE49-F238E27FC236}">
              <a16:creationId xmlns:a16="http://schemas.microsoft.com/office/drawing/2014/main" id="{00000000-0008-0000-0800-00007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1" name="Text Box 74">
          <a:extLst>
            <a:ext uri="{FF2B5EF4-FFF2-40B4-BE49-F238E27FC236}">
              <a16:creationId xmlns:a16="http://schemas.microsoft.com/office/drawing/2014/main" id="{00000000-0008-0000-0800-00007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2" name="Text Box 75">
          <a:extLst>
            <a:ext uri="{FF2B5EF4-FFF2-40B4-BE49-F238E27FC236}">
              <a16:creationId xmlns:a16="http://schemas.microsoft.com/office/drawing/2014/main" id="{00000000-0008-0000-0800-00007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3" name="Text Box 76">
          <a:extLst>
            <a:ext uri="{FF2B5EF4-FFF2-40B4-BE49-F238E27FC236}">
              <a16:creationId xmlns:a16="http://schemas.microsoft.com/office/drawing/2014/main" id="{00000000-0008-0000-0800-00007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4" name="Text Box 77">
          <a:extLst>
            <a:ext uri="{FF2B5EF4-FFF2-40B4-BE49-F238E27FC236}">
              <a16:creationId xmlns:a16="http://schemas.microsoft.com/office/drawing/2014/main" id="{00000000-0008-0000-0800-00007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5" name="Text Box 78">
          <a:extLst>
            <a:ext uri="{FF2B5EF4-FFF2-40B4-BE49-F238E27FC236}">
              <a16:creationId xmlns:a16="http://schemas.microsoft.com/office/drawing/2014/main" id="{00000000-0008-0000-0800-00007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6" name="Text Box 79">
          <a:extLst>
            <a:ext uri="{FF2B5EF4-FFF2-40B4-BE49-F238E27FC236}">
              <a16:creationId xmlns:a16="http://schemas.microsoft.com/office/drawing/2014/main" id="{00000000-0008-0000-0800-00007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7" name="Text Box 80">
          <a:extLst>
            <a:ext uri="{FF2B5EF4-FFF2-40B4-BE49-F238E27FC236}">
              <a16:creationId xmlns:a16="http://schemas.microsoft.com/office/drawing/2014/main" id="{00000000-0008-0000-0800-00007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8" name="Text Box 81">
          <a:extLst>
            <a:ext uri="{FF2B5EF4-FFF2-40B4-BE49-F238E27FC236}">
              <a16:creationId xmlns:a16="http://schemas.microsoft.com/office/drawing/2014/main" id="{00000000-0008-0000-0800-00008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9" name="Text Box 82">
          <a:extLst>
            <a:ext uri="{FF2B5EF4-FFF2-40B4-BE49-F238E27FC236}">
              <a16:creationId xmlns:a16="http://schemas.microsoft.com/office/drawing/2014/main" id="{00000000-0008-0000-0800-00008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0" name="Text Box 83">
          <a:extLst>
            <a:ext uri="{FF2B5EF4-FFF2-40B4-BE49-F238E27FC236}">
              <a16:creationId xmlns:a16="http://schemas.microsoft.com/office/drawing/2014/main" id="{00000000-0008-0000-0800-00008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1" name="Text Box 84">
          <a:extLst>
            <a:ext uri="{FF2B5EF4-FFF2-40B4-BE49-F238E27FC236}">
              <a16:creationId xmlns:a16="http://schemas.microsoft.com/office/drawing/2014/main" id="{00000000-0008-0000-0800-00008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2" name="Text Box 85">
          <a:extLst>
            <a:ext uri="{FF2B5EF4-FFF2-40B4-BE49-F238E27FC236}">
              <a16:creationId xmlns:a16="http://schemas.microsoft.com/office/drawing/2014/main" id="{00000000-0008-0000-0800-00008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3" name="Text Box 86">
          <a:extLst>
            <a:ext uri="{FF2B5EF4-FFF2-40B4-BE49-F238E27FC236}">
              <a16:creationId xmlns:a16="http://schemas.microsoft.com/office/drawing/2014/main" id="{00000000-0008-0000-0800-00008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4" name="Text Box 87">
          <a:extLst>
            <a:ext uri="{FF2B5EF4-FFF2-40B4-BE49-F238E27FC236}">
              <a16:creationId xmlns:a16="http://schemas.microsoft.com/office/drawing/2014/main" id="{00000000-0008-0000-0800-00008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5" name="Text Box 88">
          <a:extLst>
            <a:ext uri="{FF2B5EF4-FFF2-40B4-BE49-F238E27FC236}">
              <a16:creationId xmlns:a16="http://schemas.microsoft.com/office/drawing/2014/main" id="{00000000-0008-0000-0800-00008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6" name="Text Box 89">
          <a:extLst>
            <a:ext uri="{FF2B5EF4-FFF2-40B4-BE49-F238E27FC236}">
              <a16:creationId xmlns:a16="http://schemas.microsoft.com/office/drawing/2014/main" id="{00000000-0008-0000-0800-00008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7" name="Text Box 90">
          <a:extLst>
            <a:ext uri="{FF2B5EF4-FFF2-40B4-BE49-F238E27FC236}">
              <a16:creationId xmlns:a16="http://schemas.microsoft.com/office/drawing/2014/main" id="{00000000-0008-0000-0800-00008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8" name="Text Box 91">
          <a:extLst>
            <a:ext uri="{FF2B5EF4-FFF2-40B4-BE49-F238E27FC236}">
              <a16:creationId xmlns:a16="http://schemas.microsoft.com/office/drawing/2014/main" id="{00000000-0008-0000-0800-00008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9" name="Text Box 92">
          <a:extLst>
            <a:ext uri="{FF2B5EF4-FFF2-40B4-BE49-F238E27FC236}">
              <a16:creationId xmlns:a16="http://schemas.microsoft.com/office/drawing/2014/main" id="{00000000-0008-0000-0800-00008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0" name="Text Box 93">
          <a:extLst>
            <a:ext uri="{FF2B5EF4-FFF2-40B4-BE49-F238E27FC236}">
              <a16:creationId xmlns:a16="http://schemas.microsoft.com/office/drawing/2014/main" id="{00000000-0008-0000-0800-00008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1" name="Text Box 94">
          <a:extLst>
            <a:ext uri="{FF2B5EF4-FFF2-40B4-BE49-F238E27FC236}">
              <a16:creationId xmlns:a16="http://schemas.microsoft.com/office/drawing/2014/main" id="{00000000-0008-0000-0800-00008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2" name="Text Box 95">
          <a:extLst>
            <a:ext uri="{FF2B5EF4-FFF2-40B4-BE49-F238E27FC236}">
              <a16:creationId xmlns:a16="http://schemas.microsoft.com/office/drawing/2014/main" id="{00000000-0008-0000-0800-00008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3" name="Text Box 96">
          <a:extLst>
            <a:ext uri="{FF2B5EF4-FFF2-40B4-BE49-F238E27FC236}">
              <a16:creationId xmlns:a16="http://schemas.microsoft.com/office/drawing/2014/main" id="{00000000-0008-0000-0800-00008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4" name="Text Box 97">
          <a:extLst>
            <a:ext uri="{FF2B5EF4-FFF2-40B4-BE49-F238E27FC236}">
              <a16:creationId xmlns:a16="http://schemas.microsoft.com/office/drawing/2014/main" id="{00000000-0008-0000-0800-00009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5" name="Text Box 100">
          <a:extLst>
            <a:ext uri="{FF2B5EF4-FFF2-40B4-BE49-F238E27FC236}">
              <a16:creationId xmlns:a16="http://schemas.microsoft.com/office/drawing/2014/main" id="{00000000-0008-0000-0800-00009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6" name="Text Box 101">
          <a:extLst>
            <a:ext uri="{FF2B5EF4-FFF2-40B4-BE49-F238E27FC236}">
              <a16:creationId xmlns:a16="http://schemas.microsoft.com/office/drawing/2014/main" id="{00000000-0008-0000-0800-00009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7" name="Text Box 102">
          <a:extLst>
            <a:ext uri="{FF2B5EF4-FFF2-40B4-BE49-F238E27FC236}">
              <a16:creationId xmlns:a16="http://schemas.microsoft.com/office/drawing/2014/main" id="{00000000-0008-0000-0800-00009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8" name="Text Box 103">
          <a:extLst>
            <a:ext uri="{FF2B5EF4-FFF2-40B4-BE49-F238E27FC236}">
              <a16:creationId xmlns:a16="http://schemas.microsoft.com/office/drawing/2014/main" id="{00000000-0008-0000-0800-00009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9" name="Text Box 104">
          <a:extLst>
            <a:ext uri="{FF2B5EF4-FFF2-40B4-BE49-F238E27FC236}">
              <a16:creationId xmlns:a16="http://schemas.microsoft.com/office/drawing/2014/main" id="{00000000-0008-0000-0800-00009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0" name="Text Box 105">
          <a:extLst>
            <a:ext uri="{FF2B5EF4-FFF2-40B4-BE49-F238E27FC236}">
              <a16:creationId xmlns:a16="http://schemas.microsoft.com/office/drawing/2014/main" id="{00000000-0008-0000-0800-00009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1" name="Text Box 106">
          <a:extLst>
            <a:ext uri="{FF2B5EF4-FFF2-40B4-BE49-F238E27FC236}">
              <a16:creationId xmlns:a16="http://schemas.microsoft.com/office/drawing/2014/main" id="{00000000-0008-0000-0800-00009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2" name="Text Box 107">
          <a:extLst>
            <a:ext uri="{FF2B5EF4-FFF2-40B4-BE49-F238E27FC236}">
              <a16:creationId xmlns:a16="http://schemas.microsoft.com/office/drawing/2014/main" id="{00000000-0008-0000-0800-00009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3" name="Text Box 108">
          <a:extLst>
            <a:ext uri="{FF2B5EF4-FFF2-40B4-BE49-F238E27FC236}">
              <a16:creationId xmlns:a16="http://schemas.microsoft.com/office/drawing/2014/main" id="{00000000-0008-0000-0800-00009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4" name="Text Box 109">
          <a:extLst>
            <a:ext uri="{FF2B5EF4-FFF2-40B4-BE49-F238E27FC236}">
              <a16:creationId xmlns:a16="http://schemas.microsoft.com/office/drawing/2014/main" id="{00000000-0008-0000-0800-00009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5" name="Text Box 110">
          <a:extLst>
            <a:ext uri="{FF2B5EF4-FFF2-40B4-BE49-F238E27FC236}">
              <a16:creationId xmlns:a16="http://schemas.microsoft.com/office/drawing/2014/main" id="{00000000-0008-0000-0800-00009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6" name="Text Box 111">
          <a:extLst>
            <a:ext uri="{FF2B5EF4-FFF2-40B4-BE49-F238E27FC236}">
              <a16:creationId xmlns:a16="http://schemas.microsoft.com/office/drawing/2014/main" id="{00000000-0008-0000-0800-00009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7" name="Text Box 119">
          <a:extLst>
            <a:ext uri="{FF2B5EF4-FFF2-40B4-BE49-F238E27FC236}">
              <a16:creationId xmlns:a16="http://schemas.microsoft.com/office/drawing/2014/main" id="{00000000-0008-0000-0800-00009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8" name="Text Box 120">
          <a:extLst>
            <a:ext uri="{FF2B5EF4-FFF2-40B4-BE49-F238E27FC236}">
              <a16:creationId xmlns:a16="http://schemas.microsoft.com/office/drawing/2014/main" id="{00000000-0008-0000-0800-00009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9" name="Text Box 121">
          <a:extLst>
            <a:ext uri="{FF2B5EF4-FFF2-40B4-BE49-F238E27FC236}">
              <a16:creationId xmlns:a16="http://schemas.microsoft.com/office/drawing/2014/main" id="{00000000-0008-0000-0800-00009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0" name="Text Box 122">
          <a:extLst>
            <a:ext uri="{FF2B5EF4-FFF2-40B4-BE49-F238E27FC236}">
              <a16:creationId xmlns:a16="http://schemas.microsoft.com/office/drawing/2014/main" id="{00000000-0008-0000-0800-0000A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1" name="Text Box 123">
          <a:extLst>
            <a:ext uri="{FF2B5EF4-FFF2-40B4-BE49-F238E27FC236}">
              <a16:creationId xmlns:a16="http://schemas.microsoft.com/office/drawing/2014/main" id="{00000000-0008-0000-0800-0000A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2" name="Text Box 124">
          <a:extLst>
            <a:ext uri="{FF2B5EF4-FFF2-40B4-BE49-F238E27FC236}">
              <a16:creationId xmlns:a16="http://schemas.microsoft.com/office/drawing/2014/main" id="{00000000-0008-0000-0800-0000A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3" name="Text Box 125">
          <a:extLst>
            <a:ext uri="{FF2B5EF4-FFF2-40B4-BE49-F238E27FC236}">
              <a16:creationId xmlns:a16="http://schemas.microsoft.com/office/drawing/2014/main" id="{00000000-0008-0000-0800-0000A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4" name="Text Box 126">
          <a:extLst>
            <a:ext uri="{FF2B5EF4-FFF2-40B4-BE49-F238E27FC236}">
              <a16:creationId xmlns:a16="http://schemas.microsoft.com/office/drawing/2014/main" id="{00000000-0008-0000-0800-0000A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5" name="Text Box 127">
          <a:extLst>
            <a:ext uri="{FF2B5EF4-FFF2-40B4-BE49-F238E27FC236}">
              <a16:creationId xmlns:a16="http://schemas.microsoft.com/office/drawing/2014/main" id="{00000000-0008-0000-0800-0000A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6" name="Text Box 128">
          <a:extLst>
            <a:ext uri="{FF2B5EF4-FFF2-40B4-BE49-F238E27FC236}">
              <a16:creationId xmlns:a16="http://schemas.microsoft.com/office/drawing/2014/main" id="{00000000-0008-0000-0800-0000A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7" name="Text Box 129">
          <a:extLst>
            <a:ext uri="{FF2B5EF4-FFF2-40B4-BE49-F238E27FC236}">
              <a16:creationId xmlns:a16="http://schemas.microsoft.com/office/drawing/2014/main" id="{00000000-0008-0000-0800-0000A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8" name="Text Box 130">
          <a:extLst>
            <a:ext uri="{FF2B5EF4-FFF2-40B4-BE49-F238E27FC236}">
              <a16:creationId xmlns:a16="http://schemas.microsoft.com/office/drawing/2014/main" id="{00000000-0008-0000-0800-0000A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69" name="Text Box 133">
          <a:extLst>
            <a:ext uri="{FF2B5EF4-FFF2-40B4-BE49-F238E27FC236}">
              <a16:creationId xmlns:a16="http://schemas.microsoft.com/office/drawing/2014/main" id="{00000000-0008-0000-0800-0000A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0" name="Text Box 134">
          <a:extLst>
            <a:ext uri="{FF2B5EF4-FFF2-40B4-BE49-F238E27FC236}">
              <a16:creationId xmlns:a16="http://schemas.microsoft.com/office/drawing/2014/main" id="{00000000-0008-0000-0800-0000A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1" name="Text Box 135">
          <a:extLst>
            <a:ext uri="{FF2B5EF4-FFF2-40B4-BE49-F238E27FC236}">
              <a16:creationId xmlns:a16="http://schemas.microsoft.com/office/drawing/2014/main" id="{00000000-0008-0000-0800-0000A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2" name="Text Box 136">
          <a:extLst>
            <a:ext uri="{FF2B5EF4-FFF2-40B4-BE49-F238E27FC236}">
              <a16:creationId xmlns:a16="http://schemas.microsoft.com/office/drawing/2014/main" id="{00000000-0008-0000-0800-0000A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3" name="Text Box 137">
          <a:extLst>
            <a:ext uri="{FF2B5EF4-FFF2-40B4-BE49-F238E27FC236}">
              <a16:creationId xmlns:a16="http://schemas.microsoft.com/office/drawing/2014/main" id="{00000000-0008-0000-0800-0000A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4" name="Text Box 138">
          <a:extLst>
            <a:ext uri="{FF2B5EF4-FFF2-40B4-BE49-F238E27FC236}">
              <a16:creationId xmlns:a16="http://schemas.microsoft.com/office/drawing/2014/main" id="{00000000-0008-0000-0800-0000A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5" name="Text Box 139">
          <a:extLst>
            <a:ext uri="{FF2B5EF4-FFF2-40B4-BE49-F238E27FC236}">
              <a16:creationId xmlns:a16="http://schemas.microsoft.com/office/drawing/2014/main" id="{00000000-0008-0000-0800-0000A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6" name="Text Box 140">
          <a:extLst>
            <a:ext uri="{FF2B5EF4-FFF2-40B4-BE49-F238E27FC236}">
              <a16:creationId xmlns:a16="http://schemas.microsoft.com/office/drawing/2014/main" id="{00000000-0008-0000-0800-0000B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7" name="Text Box 141">
          <a:extLst>
            <a:ext uri="{FF2B5EF4-FFF2-40B4-BE49-F238E27FC236}">
              <a16:creationId xmlns:a16="http://schemas.microsoft.com/office/drawing/2014/main" id="{00000000-0008-0000-0800-0000B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8" name="Text Box 142">
          <a:extLst>
            <a:ext uri="{FF2B5EF4-FFF2-40B4-BE49-F238E27FC236}">
              <a16:creationId xmlns:a16="http://schemas.microsoft.com/office/drawing/2014/main" id="{00000000-0008-0000-0800-0000B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9" name="Text Box 143">
          <a:extLst>
            <a:ext uri="{FF2B5EF4-FFF2-40B4-BE49-F238E27FC236}">
              <a16:creationId xmlns:a16="http://schemas.microsoft.com/office/drawing/2014/main" id="{00000000-0008-0000-0800-0000B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0" name="Text Box 144">
          <a:extLst>
            <a:ext uri="{FF2B5EF4-FFF2-40B4-BE49-F238E27FC236}">
              <a16:creationId xmlns:a16="http://schemas.microsoft.com/office/drawing/2014/main" id="{00000000-0008-0000-0800-0000B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1" name="Text Box 145">
          <a:extLst>
            <a:ext uri="{FF2B5EF4-FFF2-40B4-BE49-F238E27FC236}">
              <a16:creationId xmlns:a16="http://schemas.microsoft.com/office/drawing/2014/main" id="{00000000-0008-0000-0800-0000B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2" name="Text Box 146">
          <a:extLst>
            <a:ext uri="{FF2B5EF4-FFF2-40B4-BE49-F238E27FC236}">
              <a16:creationId xmlns:a16="http://schemas.microsoft.com/office/drawing/2014/main" id="{00000000-0008-0000-0800-0000B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3" name="Text Box 147">
          <a:extLst>
            <a:ext uri="{FF2B5EF4-FFF2-40B4-BE49-F238E27FC236}">
              <a16:creationId xmlns:a16="http://schemas.microsoft.com/office/drawing/2014/main" id="{00000000-0008-0000-0800-0000B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4" name="Text Box 148">
          <a:extLst>
            <a:ext uri="{FF2B5EF4-FFF2-40B4-BE49-F238E27FC236}">
              <a16:creationId xmlns:a16="http://schemas.microsoft.com/office/drawing/2014/main" id="{00000000-0008-0000-0800-0000B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5" name="Text Box 149">
          <a:extLst>
            <a:ext uri="{FF2B5EF4-FFF2-40B4-BE49-F238E27FC236}">
              <a16:creationId xmlns:a16="http://schemas.microsoft.com/office/drawing/2014/main" id="{00000000-0008-0000-0800-0000B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6" name="Text Box 150">
          <a:extLst>
            <a:ext uri="{FF2B5EF4-FFF2-40B4-BE49-F238E27FC236}">
              <a16:creationId xmlns:a16="http://schemas.microsoft.com/office/drawing/2014/main" id="{00000000-0008-0000-0800-0000B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7" name="Text Box 151">
          <a:extLst>
            <a:ext uri="{FF2B5EF4-FFF2-40B4-BE49-F238E27FC236}">
              <a16:creationId xmlns:a16="http://schemas.microsoft.com/office/drawing/2014/main" id="{00000000-0008-0000-0800-0000B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8" name="Text Box 152">
          <a:extLst>
            <a:ext uri="{FF2B5EF4-FFF2-40B4-BE49-F238E27FC236}">
              <a16:creationId xmlns:a16="http://schemas.microsoft.com/office/drawing/2014/main" id="{00000000-0008-0000-0800-0000B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9" name="Text Box 153">
          <a:extLst>
            <a:ext uri="{FF2B5EF4-FFF2-40B4-BE49-F238E27FC236}">
              <a16:creationId xmlns:a16="http://schemas.microsoft.com/office/drawing/2014/main" id="{00000000-0008-0000-0800-0000B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0" name="Text Box 154">
          <a:extLst>
            <a:ext uri="{FF2B5EF4-FFF2-40B4-BE49-F238E27FC236}">
              <a16:creationId xmlns:a16="http://schemas.microsoft.com/office/drawing/2014/main" id="{00000000-0008-0000-0800-0000B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1" name="Text Box 155">
          <a:extLst>
            <a:ext uri="{FF2B5EF4-FFF2-40B4-BE49-F238E27FC236}">
              <a16:creationId xmlns:a16="http://schemas.microsoft.com/office/drawing/2014/main" id="{00000000-0008-0000-0800-0000B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2" name="Text Box 156">
          <a:extLst>
            <a:ext uri="{FF2B5EF4-FFF2-40B4-BE49-F238E27FC236}">
              <a16:creationId xmlns:a16="http://schemas.microsoft.com/office/drawing/2014/main" id="{00000000-0008-0000-0800-0000C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3" name="Text Box 157">
          <a:extLst>
            <a:ext uri="{FF2B5EF4-FFF2-40B4-BE49-F238E27FC236}">
              <a16:creationId xmlns:a16="http://schemas.microsoft.com/office/drawing/2014/main" id="{00000000-0008-0000-0800-0000C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4" name="Text Box 158">
          <a:extLst>
            <a:ext uri="{FF2B5EF4-FFF2-40B4-BE49-F238E27FC236}">
              <a16:creationId xmlns:a16="http://schemas.microsoft.com/office/drawing/2014/main" id="{00000000-0008-0000-0800-0000C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5" name="Text Box 159">
          <a:extLst>
            <a:ext uri="{FF2B5EF4-FFF2-40B4-BE49-F238E27FC236}">
              <a16:creationId xmlns:a16="http://schemas.microsoft.com/office/drawing/2014/main" id="{00000000-0008-0000-0800-0000C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6" name="Text Box 160">
          <a:extLst>
            <a:ext uri="{FF2B5EF4-FFF2-40B4-BE49-F238E27FC236}">
              <a16:creationId xmlns:a16="http://schemas.microsoft.com/office/drawing/2014/main" id="{00000000-0008-0000-0800-0000C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7" name="Text Box 161">
          <a:extLst>
            <a:ext uri="{FF2B5EF4-FFF2-40B4-BE49-F238E27FC236}">
              <a16:creationId xmlns:a16="http://schemas.microsoft.com/office/drawing/2014/main" id="{00000000-0008-0000-0800-0000C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8" name="Text Box 162">
          <a:extLst>
            <a:ext uri="{FF2B5EF4-FFF2-40B4-BE49-F238E27FC236}">
              <a16:creationId xmlns:a16="http://schemas.microsoft.com/office/drawing/2014/main" id="{00000000-0008-0000-0800-0000C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9" name="Text Box 163">
          <a:extLst>
            <a:ext uri="{FF2B5EF4-FFF2-40B4-BE49-F238E27FC236}">
              <a16:creationId xmlns:a16="http://schemas.microsoft.com/office/drawing/2014/main" id="{00000000-0008-0000-0800-0000C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0" name="Text Box 164">
          <a:extLst>
            <a:ext uri="{FF2B5EF4-FFF2-40B4-BE49-F238E27FC236}">
              <a16:creationId xmlns:a16="http://schemas.microsoft.com/office/drawing/2014/main" id="{00000000-0008-0000-0800-0000C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1" name="Text Box 165">
          <a:extLst>
            <a:ext uri="{FF2B5EF4-FFF2-40B4-BE49-F238E27FC236}">
              <a16:creationId xmlns:a16="http://schemas.microsoft.com/office/drawing/2014/main" id="{00000000-0008-0000-0800-0000C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2" name="Text Box 166">
          <a:extLst>
            <a:ext uri="{FF2B5EF4-FFF2-40B4-BE49-F238E27FC236}">
              <a16:creationId xmlns:a16="http://schemas.microsoft.com/office/drawing/2014/main" id="{00000000-0008-0000-0800-0000C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3" name="Text Box 167">
          <a:extLst>
            <a:ext uri="{FF2B5EF4-FFF2-40B4-BE49-F238E27FC236}">
              <a16:creationId xmlns:a16="http://schemas.microsoft.com/office/drawing/2014/main" id="{00000000-0008-0000-0800-0000C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4" name="Text Box 168">
          <a:extLst>
            <a:ext uri="{FF2B5EF4-FFF2-40B4-BE49-F238E27FC236}">
              <a16:creationId xmlns:a16="http://schemas.microsoft.com/office/drawing/2014/main" id="{00000000-0008-0000-0800-0000C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5" name="Text Box 169">
          <a:extLst>
            <a:ext uri="{FF2B5EF4-FFF2-40B4-BE49-F238E27FC236}">
              <a16:creationId xmlns:a16="http://schemas.microsoft.com/office/drawing/2014/main" id="{00000000-0008-0000-0800-0000C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6" name="Text Box 170">
          <a:extLst>
            <a:ext uri="{FF2B5EF4-FFF2-40B4-BE49-F238E27FC236}">
              <a16:creationId xmlns:a16="http://schemas.microsoft.com/office/drawing/2014/main" id="{00000000-0008-0000-0800-0000C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7" name="Text Box 171">
          <a:extLst>
            <a:ext uri="{FF2B5EF4-FFF2-40B4-BE49-F238E27FC236}">
              <a16:creationId xmlns:a16="http://schemas.microsoft.com/office/drawing/2014/main" id="{00000000-0008-0000-0800-0000C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8" name="Text Box 172">
          <a:extLst>
            <a:ext uri="{FF2B5EF4-FFF2-40B4-BE49-F238E27FC236}">
              <a16:creationId xmlns:a16="http://schemas.microsoft.com/office/drawing/2014/main" id="{00000000-0008-0000-0800-0000D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9" name="Text Box 173">
          <a:extLst>
            <a:ext uri="{FF2B5EF4-FFF2-40B4-BE49-F238E27FC236}">
              <a16:creationId xmlns:a16="http://schemas.microsoft.com/office/drawing/2014/main" id="{00000000-0008-0000-0800-0000D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0" name="Text Box 174">
          <a:extLst>
            <a:ext uri="{FF2B5EF4-FFF2-40B4-BE49-F238E27FC236}">
              <a16:creationId xmlns:a16="http://schemas.microsoft.com/office/drawing/2014/main" id="{00000000-0008-0000-0800-0000D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1" name="Text Box 175">
          <a:extLst>
            <a:ext uri="{FF2B5EF4-FFF2-40B4-BE49-F238E27FC236}">
              <a16:creationId xmlns:a16="http://schemas.microsoft.com/office/drawing/2014/main" id="{00000000-0008-0000-0800-0000D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2" name="Text Box 176">
          <a:extLst>
            <a:ext uri="{FF2B5EF4-FFF2-40B4-BE49-F238E27FC236}">
              <a16:creationId xmlns:a16="http://schemas.microsoft.com/office/drawing/2014/main" id="{00000000-0008-0000-0800-0000D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3" name="Text Box 177">
          <a:extLst>
            <a:ext uri="{FF2B5EF4-FFF2-40B4-BE49-F238E27FC236}">
              <a16:creationId xmlns:a16="http://schemas.microsoft.com/office/drawing/2014/main" id="{00000000-0008-0000-0800-0000D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4" name="Text Box 178">
          <a:extLst>
            <a:ext uri="{FF2B5EF4-FFF2-40B4-BE49-F238E27FC236}">
              <a16:creationId xmlns:a16="http://schemas.microsoft.com/office/drawing/2014/main" id="{00000000-0008-0000-0800-0000D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5" name="Text Box 179">
          <a:extLst>
            <a:ext uri="{FF2B5EF4-FFF2-40B4-BE49-F238E27FC236}">
              <a16:creationId xmlns:a16="http://schemas.microsoft.com/office/drawing/2014/main" id="{00000000-0008-0000-0800-0000D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6" name="Text Box 180">
          <a:extLst>
            <a:ext uri="{FF2B5EF4-FFF2-40B4-BE49-F238E27FC236}">
              <a16:creationId xmlns:a16="http://schemas.microsoft.com/office/drawing/2014/main" id="{00000000-0008-0000-0800-0000D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7" name="Text Box 181">
          <a:extLst>
            <a:ext uri="{FF2B5EF4-FFF2-40B4-BE49-F238E27FC236}">
              <a16:creationId xmlns:a16="http://schemas.microsoft.com/office/drawing/2014/main" id="{00000000-0008-0000-0800-0000D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8" name="Text Box 182">
          <a:extLst>
            <a:ext uri="{FF2B5EF4-FFF2-40B4-BE49-F238E27FC236}">
              <a16:creationId xmlns:a16="http://schemas.microsoft.com/office/drawing/2014/main" id="{00000000-0008-0000-0800-0000D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9" name="Text Box 183">
          <a:extLst>
            <a:ext uri="{FF2B5EF4-FFF2-40B4-BE49-F238E27FC236}">
              <a16:creationId xmlns:a16="http://schemas.microsoft.com/office/drawing/2014/main" id="{00000000-0008-0000-0800-0000D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0" name="Text Box 184">
          <a:extLst>
            <a:ext uri="{FF2B5EF4-FFF2-40B4-BE49-F238E27FC236}">
              <a16:creationId xmlns:a16="http://schemas.microsoft.com/office/drawing/2014/main" id="{00000000-0008-0000-0800-0000D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1" name="Text Box 185">
          <a:extLst>
            <a:ext uri="{FF2B5EF4-FFF2-40B4-BE49-F238E27FC236}">
              <a16:creationId xmlns:a16="http://schemas.microsoft.com/office/drawing/2014/main" id="{00000000-0008-0000-0800-0000D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2" name="Text Box 186">
          <a:extLst>
            <a:ext uri="{FF2B5EF4-FFF2-40B4-BE49-F238E27FC236}">
              <a16:creationId xmlns:a16="http://schemas.microsoft.com/office/drawing/2014/main" id="{00000000-0008-0000-0800-0000D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3" name="Text Box 187">
          <a:extLst>
            <a:ext uri="{FF2B5EF4-FFF2-40B4-BE49-F238E27FC236}">
              <a16:creationId xmlns:a16="http://schemas.microsoft.com/office/drawing/2014/main" id="{00000000-0008-0000-0800-0000D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4" name="Text Box 188">
          <a:extLst>
            <a:ext uri="{FF2B5EF4-FFF2-40B4-BE49-F238E27FC236}">
              <a16:creationId xmlns:a16="http://schemas.microsoft.com/office/drawing/2014/main" id="{00000000-0008-0000-0800-0000E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5" name="Text Box 189">
          <a:extLst>
            <a:ext uri="{FF2B5EF4-FFF2-40B4-BE49-F238E27FC236}">
              <a16:creationId xmlns:a16="http://schemas.microsoft.com/office/drawing/2014/main" id="{00000000-0008-0000-0800-0000E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6" name="Text Box 190">
          <a:extLst>
            <a:ext uri="{FF2B5EF4-FFF2-40B4-BE49-F238E27FC236}">
              <a16:creationId xmlns:a16="http://schemas.microsoft.com/office/drawing/2014/main" id="{00000000-0008-0000-0800-0000E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7" name="Text Box 191">
          <a:extLst>
            <a:ext uri="{FF2B5EF4-FFF2-40B4-BE49-F238E27FC236}">
              <a16:creationId xmlns:a16="http://schemas.microsoft.com/office/drawing/2014/main" id="{00000000-0008-0000-0800-0000E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8" name="Text Box 192">
          <a:extLst>
            <a:ext uri="{FF2B5EF4-FFF2-40B4-BE49-F238E27FC236}">
              <a16:creationId xmlns:a16="http://schemas.microsoft.com/office/drawing/2014/main" id="{00000000-0008-0000-0800-0000E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9" name="Text Box 193">
          <a:extLst>
            <a:ext uri="{FF2B5EF4-FFF2-40B4-BE49-F238E27FC236}">
              <a16:creationId xmlns:a16="http://schemas.microsoft.com/office/drawing/2014/main" id="{00000000-0008-0000-0800-0000E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0" name="Text Box 194">
          <a:extLst>
            <a:ext uri="{FF2B5EF4-FFF2-40B4-BE49-F238E27FC236}">
              <a16:creationId xmlns:a16="http://schemas.microsoft.com/office/drawing/2014/main" id="{00000000-0008-0000-0800-0000E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1" name="Text Box 195">
          <a:extLst>
            <a:ext uri="{FF2B5EF4-FFF2-40B4-BE49-F238E27FC236}">
              <a16:creationId xmlns:a16="http://schemas.microsoft.com/office/drawing/2014/main" id="{00000000-0008-0000-0800-0000E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2" name="Text Box 196">
          <a:extLst>
            <a:ext uri="{FF2B5EF4-FFF2-40B4-BE49-F238E27FC236}">
              <a16:creationId xmlns:a16="http://schemas.microsoft.com/office/drawing/2014/main" id="{00000000-0008-0000-0800-0000E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3" name="Text Box 197">
          <a:extLst>
            <a:ext uri="{FF2B5EF4-FFF2-40B4-BE49-F238E27FC236}">
              <a16:creationId xmlns:a16="http://schemas.microsoft.com/office/drawing/2014/main" id="{00000000-0008-0000-0800-0000E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4" name="Text Box 198">
          <a:extLst>
            <a:ext uri="{FF2B5EF4-FFF2-40B4-BE49-F238E27FC236}">
              <a16:creationId xmlns:a16="http://schemas.microsoft.com/office/drawing/2014/main" id="{00000000-0008-0000-0800-0000E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5" name="Text Box 199">
          <a:extLst>
            <a:ext uri="{FF2B5EF4-FFF2-40B4-BE49-F238E27FC236}">
              <a16:creationId xmlns:a16="http://schemas.microsoft.com/office/drawing/2014/main" id="{00000000-0008-0000-0800-0000E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6" name="Text Box 200">
          <a:extLst>
            <a:ext uri="{FF2B5EF4-FFF2-40B4-BE49-F238E27FC236}">
              <a16:creationId xmlns:a16="http://schemas.microsoft.com/office/drawing/2014/main" id="{00000000-0008-0000-0800-0000E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7" name="Text Box 201">
          <a:extLst>
            <a:ext uri="{FF2B5EF4-FFF2-40B4-BE49-F238E27FC236}">
              <a16:creationId xmlns:a16="http://schemas.microsoft.com/office/drawing/2014/main" id="{00000000-0008-0000-0800-0000E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8" name="Text Box 202">
          <a:extLst>
            <a:ext uri="{FF2B5EF4-FFF2-40B4-BE49-F238E27FC236}">
              <a16:creationId xmlns:a16="http://schemas.microsoft.com/office/drawing/2014/main" id="{00000000-0008-0000-0800-0000E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39" name="Text Box 203">
          <a:extLst>
            <a:ext uri="{FF2B5EF4-FFF2-40B4-BE49-F238E27FC236}">
              <a16:creationId xmlns:a16="http://schemas.microsoft.com/office/drawing/2014/main" id="{00000000-0008-0000-0800-0000E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0" name="Text Box 204">
          <a:extLst>
            <a:ext uri="{FF2B5EF4-FFF2-40B4-BE49-F238E27FC236}">
              <a16:creationId xmlns:a16="http://schemas.microsoft.com/office/drawing/2014/main" id="{00000000-0008-0000-0800-0000F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1" name="Text Box 205">
          <a:extLst>
            <a:ext uri="{FF2B5EF4-FFF2-40B4-BE49-F238E27FC236}">
              <a16:creationId xmlns:a16="http://schemas.microsoft.com/office/drawing/2014/main" id="{00000000-0008-0000-0800-0000F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2" name="Text Box 206">
          <a:extLst>
            <a:ext uri="{FF2B5EF4-FFF2-40B4-BE49-F238E27FC236}">
              <a16:creationId xmlns:a16="http://schemas.microsoft.com/office/drawing/2014/main" id="{00000000-0008-0000-0800-0000F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3" name="Text Box 207">
          <a:extLst>
            <a:ext uri="{FF2B5EF4-FFF2-40B4-BE49-F238E27FC236}">
              <a16:creationId xmlns:a16="http://schemas.microsoft.com/office/drawing/2014/main" id="{00000000-0008-0000-0800-0000F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4" name="Text Box 208">
          <a:extLst>
            <a:ext uri="{FF2B5EF4-FFF2-40B4-BE49-F238E27FC236}">
              <a16:creationId xmlns:a16="http://schemas.microsoft.com/office/drawing/2014/main" id="{00000000-0008-0000-0800-0000F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5" name="Text Box 209">
          <a:extLst>
            <a:ext uri="{FF2B5EF4-FFF2-40B4-BE49-F238E27FC236}">
              <a16:creationId xmlns:a16="http://schemas.microsoft.com/office/drawing/2014/main" id="{00000000-0008-0000-0800-0000F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6" name="Text Box 210">
          <a:extLst>
            <a:ext uri="{FF2B5EF4-FFF2-40B4-BE49-F238E27FC236}">
              <a16:creationId xmlns:a16="http://schemas.microsoft.com/office/drawing/2014/main" id="{00000000-0008-0000-0800-0000F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7" name="Text Box 211">
          <a:extLst>
            <a:ext uri="{FF2B5EF4-FFF2-40B4-BE49-F238E27FC236}">
              <a16:creationId xmlns:a16="http://schemas.microsoft.com/office/drawing/2014/main" id="{00000000-0008-0000-0800-0000F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8" name="Text Box 212">
          <a:extLst>
            <a:ext uri="{FF2B5EF4-FFF2-40B4-BE49-F238E27FC236}">
              <a16:creationId xmlns:a16="http://schemas.microsoft.com/office/drawing/2014/main" id="{00000000-0008-0000-0800-0000F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9" name="Text Box 213">
          <a:extLst>
            <a:ext uri="{FF2B5EF4-FFF2-40B4-BE49-F238E27FC236}">
              <a16:creationId xmlns:a16="http://schemas.microsoft.com/office/drawing/2014/main" id="{00000000-0008-0000-0800-0000F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0" name="Text Box 214">
          <a:extLst>
            <a:ext uri="{FF2B5EF4-FFF2-40B4-BE49-F238E27FC236}">
              <a16:creationId xmlns:a16="http://schemas.microsoft.com/office/drawing/2014/main" id="{00000000-0008-0000-0800-0000F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1" name="Text Box 215">
          <a:extLst>
            <a:ext uri="{FF2B5EF4-FFF2-40B4-BE49-F238E27FC236}">
              <a16:creationId xmlns:a16="http://schemas.microsoft.com/office/drawing/2014/main" id="{00000000-0008-0000-0800-0000F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2" name="Text Box 216">
          <a:extLst>
            <a:ext uri="{FF2B5EF4-FFF2-40B4-BE49-F238E27FC236}">
              <a16:creationId xmlns:a16="http://schemas.microsoft.com/office/drawing/2014/main" id="{00000000-0008-0000-0800-0000F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3" name="Text Box 217">
          <a:extLst>
            <a:ext uri="{FF2B5EF4-FFF2-40B4-BE49-F238E27FC236}">
              <a16:creationId xmlns:a16="http://schemas.microsoft.com/office/drawing/2014/main" id="{00000000-0008-0000-0800-0000F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4" name="Text Box 218">
          <a:extLst>
            <a:ext uri="{FF2B5EF4-FFF2-40B4-BE49-F238E27FC236}">
              <a16:creationId xmlns:a16="http://schemas.microsoft.com/office/drawing/2014/main" id="{00000000-0008-0000-0800-0000F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5" name="Text Box 219">
          <a:extLst>
            <a:ext uri="{FF2B5EF4-FFF2-40B4-BE49-F238E27FC236}">
              <a16:creationId xmlns:a16="http://schemas.microsoft.com/office/drawing/2014/main" id="{00000000-0008-0000-0800-0000F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6" name="Text Box 220">
          <a:extLst>
            <a:ext uri="{FF2B5EF4-FFF2-40B4-BE49-F238E27FC236}">
              <a16:creationId xmlns:a16="http://schemas.microsoft.com/office/drawing/2014/main" id="{00000000-0008-0000-0800-00000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7" name="Text Box 221">
          <a:extLst>
            <a:ext uri="{FF2B5EF4-FFF2-40B4-BE49-F238E27FC236}">
              <a16:creationId xmlns:a16="http://schemas.microsoft.com/office/drawing/2014/main" id="{00000000-0008-0000-0800-00000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8" name="Text Box 222">
          <a:extLst>
            <a:ext uri="{FF2B5EF4-FFF2-40B4-BE49-F238E27FC236}">
              <a16:creationId xmlns:a16="http://schemas.microsoft.com/office/drawing/2014/main" id="{00000000-0008-0000-0800-00000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9" name="Text Box 223">
          <a:extLst>
            <a:ext uri="{FF2B5EF4-FFF2-40B4-BE49-F238E27FC236}">
              <a16:creationId xmlns:a16="http://schemas.microsoft.com/office/drawing/2014/main" id="{00000000-0008-0000-0800-00000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0" name="Text Box 224">
          <a:extLst>
            <a:ext uri="{FF2B5EF4-FFF2-40B4-BE49-F238E27FC236}">
              <a16:creationId xmlns:a16="http://schemas.microsoft.com/office/drawing/2014/main" id="{00000000-0008-0000-0800-00000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1" name="Text Box 225">
          <a:extLst>
            <a:ext uri="{FF2B5EF4-FFF2-40B4-BE49-F238E27FC236}">
              <a16:creationId xmlns:a16="http://schemas.microsoft.com/office/drawing/2014/main" id="{00000000-0008-0000-0800-00000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2" name="Text Box 226">
          <a:extLst>
            <a:ext uri="{FF2B5EF4-FFF2-40B4-BE49-F238E27FC236}">
              <a16:creationId xmlns:a16="http://schemas.microsoft.com/office/drawing/2014/main" id="{00000000-0008-0000-0800-00000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3" name="Text Box 227">
          <a:extLst>
            <a:ext uri="{FF2B5EF4-FFF2-40B4-BE49-F238E27FC236}">
              <a16:creationId xmlns:a16="http://schemas.microsoft.com/office/drawing/2014/main" id="{00000000-0008-0000-0800-00000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4" name="Text Box 228">
          <a:extLst>
            <a:ext uri="{FF2B5EF4-FFF2-40B4-BE49-F238E27FC236}">
              <a16:creationId xmlns:a16="http://schemas.microsoft.com/office/drawing/2014/main" id="{00000000-0008-0000-0800-00000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5" name="Text Box 229">
          <a:extLst>
            <a:ext uri="{FF2B5EF4-FFF2-40B4-BE49-F238E27FC236}">
              <a16:creationId xmlns:a16="http://schemas.microsoft.com/office/drawing/2014/main" id="{00000000-0008-0000-0800-00000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6" name="Text Box 230">
          <a:extLst>
            <a:ext uri="{FF2B5EF4-FFF2-40B4-BE49-F238E27FC236}">
              <a16:creationId xmlns:a16="http://schemas.microsoft.com/office/drawing/2014/main" id="{00000000-0008-0000-0800-00000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7" name="Text Box 231">
          <a:extLst>
            <a:ext uri="{FF2B5EF4-FFF2-40B4-BE49-F238E27FC236}">
              <a16:creationId xmlns:a16="http://schemas.microsoft.com/office/drawing/2014/main" id="{00000000-0008-0000-0800-00000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8" name="Text Box 232">
          <a:extLst>
            <a:ext uri="{FF2B5EF4-FFF2-40B4-BE49-F238E27FC236}">
              <a16:creationId xmlns:a16="http://schemas.microsoft.com/office/drawing/2014/main" id="{00000000-0008-0000-0800-00000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9" name="Text Box 233">
          <a:extLst>
            <a:ext uri="{FF2B5EF4-FFF2-40B4-BE49-F238E27FC236}">
              <a16:creationId xmlns:a16="http://schemas.microsoft.com/office/drawing/2014/main" id="{00000000-0008-0000-0800-00000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0" name="Text Box 234">
          <a:extLst>
            <a:ext uri="{FF2B5EF4-FFF2-40B4-BE49-F238E27FC236}">
              <a16:creationId xmlns:a16="http://schemas.microsoft.com/office/drawing/2014/main" id="{00000000-0008-0000-0800-00000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1" name="Text Box 235">
          <a:extLst>
            <a:ext uri="{FF2B5EF4-FFF2-40B4-BE49-F238E27FC236}">
              <a16:creationId xmlns:a16="http://schemas.microsoft.com/office/drawing/2014/main" id="{00000000-0008-0000-0800-00000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2" name="Text Box 236">
          <a:extLst>
            <a:ext uri="{FF2B5EF4-FFF2-40B4-BE49-F238E27FC236}">
              <a16:creationId xmlns:a16="http://schemas.microsoft.com/office/drawing/2014/main" id="{00000000-0008-0000-0800-00001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3" name="Text Box 237">
          <a:extLst>
            <a:ext uri="{FF2B5EF4-FFF2-40B4-BE49-F238E27FC236}">
              <a16:creationId xmlns:a16="http://schemas.microsoft.com/office/drawing/2014/main" id="{00000000-0008-0000-0800-00001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4" name="Text Box 238">
          <a:extLst>
            <a:ext uri="{FF2B5EF4-FFF2-40B4-BE49-F238E27FC236}">
              <a16:creationId xmlns:a16="http://schemas.microsoft.com/office/drawing/2014/main" id="{00000000-0008-0000-0800-00001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5" name="Text Box 239">
          <a:extLst>
            <a:ext uri="{FF2B5EF4-FFF2-40B4-BE49-F238E27FC236}">
              <a16:creationId xmlns:a16="http://schemas.microsoft.com/office/drawing/2014/main" id="{00000000-0008-0000-0800-00001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6" name="Text Box 240">
          <a:extLst>
            <a:ext uri="{FF2B5EF4-FFF2-40B4-BE49-F238E27FC236}">
              <a16:creationId xmlns:a16="http://schemas.microsoft.com/office/drawing/2014/main" id="{00000000-0008-0000-0800-00001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7" name="Text Box 241">
          <a:extLst>
            <a:ext uri="{FF2B5EF4-FFF2-40B4-BE49-F238E27FC236}">
              <a16:creationId xmlns:a16="http://schemas.microsoft.com/office/drawing/2014/main" id="{00000000-0008-0000-0800-00001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8" name="Text Box 242">
          <a:extLst>
            <a:ext uri="{FF2B5EF4-FFF2-40B4-BE49-F238E27FC236}">
              <a16:creationId xmlns:a16="http://schemas.microsoft.com/office/drawing/2014/main" id="{00000000-0008-0000-0800-00001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9" name="Text Box 243">
          <a:extLst>
            <a:ext uri="{FF2B5EF4-FFF2-40B4-BE49-F238E27FC236}">
              <a16:creationId xmlns:a16="http://schemas.microsoft.com/office/drawing/2014/main" id="{00000000-0008-0000-0800-00001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0" name="Text Box 244">
          <a:extLst>
            <a:ext uri="{FF2B5EF4-FFF2-40B4-BE49-F238E27FC236}">
              <a16:creationId xmlns:a16="http://schemas.microsoft.com/office/drawing/2014/main" id="{00000000-0008-0000-0800-00001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1" name="Text Box 245">
          <a:extLst>
            <a:ext uri="{FF2B5EF4-FFF2-40B4-BE49-F238E27FC236}">
              <a16:creationId xmlns:a16="http://schemas.microsoft.com/office/drawing/2014/main" id="{00000000-0008-0000-0800-00001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2" name="Text Box 246">
          <a:extLst>
            <a:ext uri="{FF2B5EF4-FFF2-40B4-BE49-F238E27FC236}">
              <a16:creationId xmlns:a16="http://schemas.microsoft.com/office/drawing/2014/main" id="{00000000-0008-0000-0800-00001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3" name="Text Box 247">
          <a:extLst>
            <a:ext uri="{FF2B5EF4-FFF2-40B4-BE49-F238E27FC236}">
              <a16:creationId xmlns:a16="http://schemas.microsoft.com/office/drawing/2014/main" id="{00000000-0008-0000-0800-00001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4" name="Text Box 248">
          <a:extLst>
            <a:ext uri="{FF2B5EF4-FFF2-40B4-BE49-F238E27FC236}">
              <a16:creationId xmlns:a16="http://schemas.microsoft.com/office/drawing/2014/main" id="{00000000-0008-0000-0800-00001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5" name="Text Box 249">
          <a:extLst>
            <a:ext uri="{FF2B5EF4-FFF2-40B4-BE49-F238E27FC236}">
              <a16:creationId xmlns:a16="http://schemas.microsoft.com/office/drawing/2014/main" id="{00000000-0008-0000-0800-00001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6" name="Text Box 250">
          <a:extLst>
            <a:ext uri="{FF2B5EF4-FFF2-40B4-BE49-F238E27FC236}">
              <a16:creationId xmlns:a16="http://schemas.microsoft.com/office/drawing/2014/main" id="{00000000-0008-0000-0800-00001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7" name="Text Box 251">
          <a:extLst>
            <a:ext uri="{FF2B5EF4-FFF2-40B4-BE49-F238E27FC236}">
              <a16:creationId xmlns:a16="http://schemas.microsoft.com/office/drawing/2014/main" id="{00000000-0008-0000-0800-00001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8" name="Text Box 252">
          <a:extLst>
            <a:ext uri="{FF2B5EF4-FFF2-40B4-BE49-F238E27FC236}">
              <a16:creationId xmlns:a16="http://schemas.microsoft.com/office/drawing/2014/main" id="{00000000-0008-0000-0800-00002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9" name="Text Box 253">
          <a:extLst>
            <a:ext uri="{FF2B5EF4-FFF2-40B4-BE49-F238E27FC236}">
              <a16:creationId xmlns:a16="http://schemas.microsoft.com/office/drawing/2014/main" id="{00000000-0008-0000-0800-00002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0" name="Text Box 254">
          <a:extLst>
            <a:ext uri="{FF2B5EF4-FFF2-40B4-BE49-F238E27FC236}">
              <a16:creationId xmlns:a16="http://schemas.microsoft.com/office/drawing/2014/main" id="{00000000-0008-0000-0800-00002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1" name="Text Box 255">
          <a:extLst>
            <a:ext uri="{FF2B5EF4-FFF2-40B4-BE49-F238E27FC236}">
              <a16:creationId xmlns:a16="http://schemas.microsoft.com/office/drawing/2014/main" id="{00000000-0008-0000-0800-00002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2" name="Text Box 256">
          <a:extLst>
            <a:ext uri="{FF2B5EF4-FFF2-40B4-BE49-F238E27FC236}">
              <a16:creationId xmlns:a16="http://schemas.microsoft.com/office/drawing/2014/main" id="{00000000-0008-0000-0800-00002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3" name="Text Box 257">
          <a:extLst>
            <a:ext uri="{FF2B5EF4-FFF2-40B4-BE49-F238E27FC236}">
              <a16:creationId xmlns:a16="http://schemas.microsoft.com/office/drawing/2014/main" id="{00000000-0008-0000-0800-00002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4" name="Text Box 258">
          <a:extLst>
            <a:ext uri="{FF2B5EF4-FFF2-40B4-BE49-F238E27FC236}">
              <a16:creationId xmlns:a16="http://schemas.microsoft.com/office/drawing/2014/main" id="{00000000-0008-0000-0800-00002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5" name="Text Box 259">
          <a:extLst>
            <a:ext uri="{FF2B5EF4-FFF2-40B4-BE49-F238E27FC236}">
              <a16:creationId xmlns:a16="http://schemas.microsoft.com/office/drawing/2014/main" id="{00000000-0008-0000-0800-00002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6" name="Text Box 260">
          <a:extLst>
            <a:ext uri="{FF2B5EF4-FFF2-40B4-BE49-F238E27FC236}">
              <a16:creationId xmlns:a16="http://schemas.microsoft.com/office/drawing/2014/main" id="{00000000-0008-0000-0800-00002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7" name="Text Box 261">
          <a:extLst>
            <a:ext uri="{FF2B5EF4-FFF2-40B4-BE49-F238E27FC236}">
              <a16:creationId xmlns:a16="http://schemas.microsoft.com/office/drawing/2014/main" id="{00000000-0008-0000-0800-00002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8" name="Text Box 262">
          <a:extLst>
            <a:ext uri="{FF2B5EF4-FFF2-40B4-BE49-F238E27FC236}">
              <a16:creationId xmlns:a16="http://schemas.microsoft.com/office/drawing/2014/main" id="{00000000-0008-0000-0800-00002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9" name="Text Box 263">
          <a:extLst>
            <a:ext uri="{FF2B5EF4-FFF2-40B4-BE49-F238E27FC236}">
              <a16:creationId xmlns:a16="http://schemas.microsoft.com/office/drawing/2014/main" id="{00000000-0008-0000-0800-00002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0" name="Text Box 264">
          <a:extLst>
            <a:ext uri="{FF2B5EF4-FFF2-40B4-BE49-F238E27FC236}">
              <a16:creationId xmlns:a16="http://schemas.microsoft.com/office/drawing/2014/main" id="{00000000-0008-0000-0800-00002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1" name="Text Box 265">
          <a:extLst>
            <a:ext uri="{FF2B5EF4-FFF2-40B4-BE49-F238E27FC236}">
              <a16:creationId xmlns:a16="http://schemas.microsoft.com/office/drawing/2014/main" id="{00000000-0008-0000-0800-00002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2" name="Text Box 266">
          <a:extLst>
            <a:ext uri="{FF2B5EF4-FFF2-40B4-BE49-F238E27FC236}">
              <a16:creationId xmlns:a16="http://schemas.microsoft.com/office/drawing/2014/main" id="{00000000-0008-0000-0800-00002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3" name="Text Box 267">
          <a:extLst>
            <a:ext uri="{FF2B5EF4-FFF2-40B4-BE49-F238E27FC236}">
              <a16:creationId xmlns:a16="http://schemas.microsoft.com/office/drawing/2014/main" id="{00000000-0008-0000-0800-00002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4" name="Text Box 268">
          <a:extLst>
            <a:ext uri="{FF2B5EF4-FFF2-40B4-BE49-F238E27FC236}">
              <a16:creationId xmlns:a16="http://schemas.microsoft.com/office/drawing/2014/main" id="{00000000-0008-0000-0800-00003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5" name="Text Box 269">
          <a:extLst>
            <a:ext uri="{FF2B5EF4-FFF2-40B4-BE49-F238E27FC236}">
              <a16:creationId xmlns:a16="http://schemas.microsoft.com/office/drawing/2014/main" id="{00000000-0008-0000-0800-00003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6" name="Text Box 270">
          <a:extLst>
            <a:ext uri="{FF2B5EF4-FFF2-40B4-BE49-F238E27FC236}">
              <a16:creationId xmlns:a16="http://schemas.microsoft.com/office/drawing/2014/main" id="{00000000-0008-0000-0800-00003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7" name="Text Box 271">
          <a:extLst>
            <a:ext uri="{FF2B5EF4-FFF2-40B4-BE49-F238E27FC236}">
              <a16:creationId xmlns:a16="http://schemas.microsoft.com/office/drawing/2014/main" id="{00000000-0008-0000-0800-00003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8" name="Text Box 272">
          <a:extLst>
            <a:ext uri="{FF2B5EF4-FFF2-40B4-BE49-F238E27FC236}">
              <a16:creationId xmlns:a16="http://schemas.microsoft.com/office/drawing/2014/main" id="{00000000-0008-0000-0800-00003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9" name="Text Box 273">
          <a:extLst>
            <a:ext uri="{FF2B5EF4-FFF2-40B4-BE49-F238E27FC236}">
              <a16:creationId xmlns:a16="http://schemas.microsoft.com/office/drawing/2014/main" id="{00000000-0008-0000-0800-00003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0" name="Text Box 274">
          <a:extLst>
            <a:ext uri="{FF2B5EF4-FFF2-40B4-BE49-F238E27FC236}">
              <a16:creationId xmlns:a16="http://schemas.microsoft.com/office/drawing/2014/main" id="{00000000-0008-0000-0800-00003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1" name="Text Box 275">
          <a:extLst>
            <a:ext uri="{FF2B5EF4-FFF2-40B4-BE49-F238E27FC236}">
              <a16:creationId xmlns:a16="http://schemas.microsoft.com/office/drawing/2014/main" id="{00000000-0008-0000-0800-00003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2" name="Text Box 276">
          <a:extLst>
            <a:ext uri="{FF2B5EF4-FFF2-40B4-BE49-F238E27FC236}">
              <a16:creationId xmlns:a16="http://schemas.microsoft.com/office/drawing/2014/main" id="{00000000-0008-0000-0800-00003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3" name="Text Box 277">
          <a:extLst>
            <a:ext uri="{FF2B5EF4-FFF2-40B4-BE49-F238E27FC236}">
              <a16:creationId xmlns:a16="http://schemas.microsoft.com/office/drawing/2014/main" id="{00000000-0008-0000-0800-00003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4" name="Text Box 278">
          <a:extLst>
            <a:ext uri="{FF2B5EF4-FFF2-40B4-BE49-F238E27FC236}">
              <a16:creationId xmlns:a16="http://schemas.microsoft.com/office/drawing/2014/main" id="{00000000-0008-0000-0800-00003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5" name="Text Box 279">
          <a:extLst>
            <a:ext uri="{FF2B5EF4-FFF2-40B4-BE49-F238E27FC236}">
              <a16:creationId xmlns:a16="http://schemas.microsoft.com/office/drawing/2014/main" id="{00000000-0008-0000-0800-00003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6" name="Text Box 280">
          <a:extLst>
            <a:ext uri="{FF2B5EF4-FFF2-40B4-BE49-F238E27FC236}">
              <a16:creationId xmlns:a16="http://schemas.microsoft.com/office/drawing/2014/main" id="{00000000-0008-0000-0800-00003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7" name="Text Box 281">
          <a:extLst>
            <a:ext uri="{FF2B5EF4-FFF2-40B4-BE49-F238E27FC236}">
              <a16:creationId xmlns:a16="http://schemas.microsoft.com/office/drawing/2014/main" id="{00000000-0008-0000-0800-00003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8" name="Text Box 282">
          <a:extLst>
            <a:ext uri="{FF2B5EF4-FFF2-40B4-BE49-F238E27FC236}">
              <a16:creationId xmlns:a16="http://schemas.microsoft.com/office/drawing/2014/main" id="{00000000-0008-0000-0800-00003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9" name="Text Box 283">
          <a:extLst>
            <a:ext uri="{FF2B5EF4-FFF2-40B4-BE49-F238E27FC236}">
              <a16:creationId xmlns:a16="http://schemas.microsoft.com/office/drawing/2014/main" id="{00000000-0008-0000-0800-00003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0" name="Text Box 284">
          <a:extLst>
            <a:ext uri="{FF2B5EF4-FFF2-40B4-BE49-F238E27FC236}">
              <a16:creationId xmlns:a16="http://schemas.microsoft.com/office/drawing/2014/main" id="{00000000-0008-0000-0800-00004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1" name="Text Box 285">
          <a:extLst>
            <a:ext uri="{FF2B5EF4-FFF2-40B4-BE49-F238E27FC236}">
              <a16:creationId xmlns:a16="http://schemas.microsoft.com/office/drawing/2014/main" id="{00000000-0008-0000-0800-00004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2" name="Text Box 286">
          <a:extLst>
            <a:ext uri="{FF2B5EF4-FFF2-40B4-BE49-F238E27FC236}">
              <a16:creationId xmlns:a16="http://schemas.microsoft.com/office/drawing/2014/main" id="{00000000-0008-0000-0800-00004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3" name="Text Box 287">
          <a:extLst>
            <a:ext uri="{FF2B5EF4-FFF2-40B4-BE49-F238E27FC236}">
              <a16:creationId xmlns:a16="http://schemas.microsoft.com/office/drawing/2014/main" id="{00000000-0008-0000-0800-00004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4" name="Text Box 288">
          <a:extLst>
            <a:ext uri="{FF2B5EF4-FFF2-40B4-BE49-F238E27FC236}">
              <a16:creationId xmlns:a16="http://schemas.microsoft.com/office/drawing/2014/main" id="{00000000-0008-0000-0800-00004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5" name="Text Box 289">
          <a:extLst>
            <a:ext uri="{FF2B5EF4-FFF2-40B4-BE49-F238E27FC236}">
              <a16:creationId xmlns:a16="http://schemas.microsoft.com/office/drawing/2014/main" id="{00000000-0008-0000-0800-00004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6" name="Text Box 290">
          <a:extLst>
            <a:ext uri="{FF2B5EF4-FFF2-40B4-BE49-F238E27FC236}">
              <a16:creationId xmlns:a16="http://schemas.microsoft.com/office/drawing/2014/main" id="{00000000-0008-0000-0800-00004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7" name="Text Box 291">
          <a:extLst>
            <a:ext uri="{FF2B5EF4-FFF2-40B4-BE49-F238E27FC236}">
              <a16:creationId xmlns:a16="http://schemas.microsoft.com/office/drawing/2014/main" id="{00000000-0008-0000-0800-00004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8" name="Text Box 292">
          <a:extLst>
            <a:ext uri="{FF2B5EF4-FFF2-40B4-BE49-F238E27FC236}">
              <a16:creationId xmlns:a16="http://schemas.microsoft.com/office/drawing/2014/main" id="{00000000-0008-0000-0800-00004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9" name="Text Box 293">
          <a:extLst>
            <a:ext uri="{FF2B5EF4-FFF2-40B4-BE49-F238E27FC236}">
              <a16:creationId xmlns:a16="http://schemas.microsoft.com/office/drawing/2014/main" id="{00000000-0008-0000-0800-00004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0" name="Text Box 294">
          <a:extLst>
            <a:ext uri="{FF2B5EF4-FFF2-40B4-BE49-F238E27FC236}">
              <a16:creationId xmlns:a16="http://schemas.microsoft.com/office/drawing/2014/main" id="{00000000-0008-0000-0800-00004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1" name="Text Box 295">
          <a:extLst>
            <a:ext uri="{FF2B5EF4-FFF2-40B4-BE49-F238E27FC236}">
              <a16:creationId xmlns:a16="http://schemas.microsoft.com/office/drawing/2014/main" id="{00000000-0008-0000-0800-00004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2" name="Text Box 296">
          <a:extLst>
            <a:ext uri="{FF2B5EF4-FFF2-40B4-BE49-F238E27FC236}">
              <a16:creationId xmlns:a16="http://schemas.microsoft.com/office/drawing/2014/main" id="{00000000-0008-0000-0800-00004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3" name="Text Box 297">
          <a:extLst>
            <a:ext uri="{FF2B5EF4-FFF2-40B4-BE49-F238E27FC236}">
              <a16:creationId xmlns:a16="http://schemas.microsoft.com/office/drawing/2014/main" id="{00000000-0008-0000-0800-00004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4" name="Text Box 298">
          <a:extLst>
            <a:ext uri="{FF2B5EF4-FFF2-40B4-BE49-F238E27FC236}">
              <a16:creationId xmlns:a16="http://schemas.microsoft.com/office/drawing/2014/main" id="{00000000-0008-0000-0800-00004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5" name="Text Box 299">
          <a:extLst>
            <a:ext uri="{FF2B5EF4-FFF2-40B4-BE49-F238E27FC236}">
              <a16:creationId xmlns:a16="http://schemas.microsoft.com/office/drawing/2014/main" id="{00000000-0008-0000-0800-00004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6" name="Text Box 300">
          <a:extLst>
            <a:ext uri="{FF2B5EF4-FFF2-40B4-BE49-F238E27FC236}">
              <a16:creationId xmlns:a16="http://schemas.microsoft.com/office/drawing/2014/main" id="{00000000-0008-0000-0800-00005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7" name="Text Box 301">
          <a:extLst>
            <a:ext uri="{FF2B5EF4-FFF2-40B4-BE49-F238E27FC236}">
              <a16:creationId xmlns:a16="http://schemas.microsoft.com/office/drawing/2014/main" id="{00000000-0008-0000-0800-00005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8" name="Text Box 302">
          <a:extLst>
            <a:ext uri="{FF2B5EF4-FFF2-40B4-BE49-F238E27FC236}">
              <a16:creationId xmlns:a16="http://schemas.microsoft.com/office/drawing/2014/main" id="{00000000-0008-0000-0800-00005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9" name="Text Box 303">
          <a:extLst>
            <a:ext uri="{FF2B5EF4-FFF2-40B4-BE49-F238E27FC236}">
              <a16:creationId xmlns:a16="http://schemas.microsoft.com/office/drawing/2014/main" id="{00000000-0008-0000-0800-00005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0" name="Text Box 304">
          <a:extLst>
            <a:ext uri="{FF2B5EF4-FFF2-40B4-BE49-F238E27FC236}">
              <a16:creationId xmlns:a16="http://schemas.microsoft.com/office/drawing/2014/main" id="{00000000-0008-0000-0800-00005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1" name="Text Box 305">
          <a:extLst>
            <a:ext uri="{FF2B5EF4-FFF2-40B4-BE49-F238E27FC236}">
              <a16:creationId xmlns:a16="http://schemas.microsoft.com/office/drawing/2014/main" id="{00000000-0008-0000-0800-00005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2" name="Text Box 306">
          <a:extLst>
            <a:ext uri="{FF2B5EF4-FFF2-40B4-BE49-F238E27FC236}">
              <a16:creationId xmlns:a16="http://schemas.microsoft.com/office/drawing/2014/main" id="{00000000-0008-0000-0800-00005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3" name="Text Box 307">
          <a:extLst>
            <a:ext uri="{FF2B5EF4-FFF2-40B4-BE49-F238E27FC236}">
              <a16:creationId xmlns:a16="http://schemas.microsoft.com/office/drawing/2014/main" id="{00000000-0008-0000-0800-00005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4" name="Text Box 308">
          <a:extLst>
            <a:ext uri="{FF2B5EF4-FFF2-40B4-BE49-F238E27FC236}">
              <a16:creationId xmlns:a16="http://schemas.microsoft.com/office/drawing/2014/main" id="{00000000-0008-0000-0800-00005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5" name="Text Box 309">
          <a:extLst>
            <a:ext uri="{FF2B5EF4-FFF2-40B4-BE49-F238E27FC236}">
              <a16:creationId xmlns:a16="http://schemas.microsoft.com/office/drawing/2014/main" id="{00000000-0008-0000-0800-00005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6" name="Text Box 310">
          <a:extLst>
            <a:ext uri="{FF2B5EF4-FFF2-40B4-BE49-F238E27FC236}">
              <a16:creationId xmlns:a16="http://schemas.microsoft.com/office/drawing/2014/main" id="{00000000-0008-0000-0800-00005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7" name="Text Box 311">
          <a:extLst>
            <a:ext uri="{FF2B5EF4-FFF2-40B4-BE49-F238E27FC236}">
              <a16:creationId xmlns:a16="http://schemas.microsoft.com/office/drawing/2014/main" id="{00000000-0008-0000-0800-00005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8" name="Text Box 312">
          <a:extLst>
            <a:ext uri="{FF2B5EF4-FFF2-40B4-BE49-F238E27FC236}">
              <a16:creationId xmlns:a16="http://schemas.microsoft.com/office/drawing/2014/main" id="{00000000-0008-0000-0800-00005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9" name="Text Box 313">
          <a:extLst>
            <a:ext uri="{FF2B5EF4-FFF2-40B4-BE49-F238E27FC236}">
              <a16:creationId xmlns:a16="http://schemas.microsoft.com/office/drawing/2014/main" id="{00000000-0008-0000-0800-00005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0" name="Text Box 314">
          <a:extLst>
            <a:ext uri="{FF2B5EF4-FFF2-40B4-BE49-F238E27FC236}">
              <a16:creationId xmlns:a16="http://schemas.microsoft.com/office/drawing/2014/main" id="{00000000-0008-0000-0800-00005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1" name="Text Box 315">
          <a:extLst>
            <a:ext uri="{FF2B5EF4-FFF2-40B4-BE49-F238E27FC236}">
              <a16:creationId xmlns:a16="http://schemas.microsoft.com/office/drawing/2014/main" id="{00000000-0008-0000-0800-00005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2" name="Text Box 316">
          <a:extLst>
            <a:ext uri="{FF2B5EF4-FFF2-40B4-BE49-F238E27FC236}">
              <a16:creationId xmlns:a16="http://schemas.microsoft.com/office/drawing/2014/main" id="{00000000-0008-0000-0800-00006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3" name="Text Box 317">
          <a:extLst>
            <a:ext uri="{FF2B5EF4-FFF2-40B4-BE49-F238E27FC236}">
              <a16:creationId xmlns:a16="http://schemas.microsoft.com/office/drawing/2014/main" id="{00000000-0008-0000-0800-00006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4" name="Text Box 318">
          <a:extLst>
            <a:ext uri="{FF2B5EF4-FFF2-40B4-BE49-F238E27FC236}">
              <a16:creationId xmlns:a16="http://schemas.microsoft.com/office/drawing/2014/main" id="{00000000-0008-0000-0800-00006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5" name="Text Box 319">
          <a:extLst>
            <a:ext uri="{FF2B5EF4-FFF2-40B4-BE49-F238E27FC236}">
              <a16:creationId xmlns:a16="http://schemas.microsoft.com/office/drawing/2014/main" id="{00000000-0008-0000-0800-00006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6" name="Text Box 320">
          <a:extLst>
            <a:ext uri="{FF2B5EF4-FFF2-40B4-BE49-F238E27FC236}">
              <a16:creationId xmlns:a16="http://schemas.microsoft.com/office/drawing/2014/main" id="{00000000-0008-0000-0800-00006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7" name="Text Box 28">
          <a:extLst>
            <a:ext uri="{FF2B5EF4-FFF2-40B4-BE49-F238E27FC236}">
              <a16:creationId xmlns:a16="http://schemas.microsoft.com/office/drawing/2014/main" id="{00000000-0008-0000-0800-00006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8" name="Text Box 29">
          <a:extLst>
            <a:ext uri="{FF2B5EF4-FFF2-40B4-BE49-F238E27FC236}">
              <a16:creationId xmlns:a16="http://schemas.microsoft.com/office/drawing/2014/main" id="{00000000-0008-0000-0800-00006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9" name="Text Box 30">
          <a:extLst>
            <a:ext uri="{FF2B5EF4-FFF2-40B4-BE49-F238E27FC236}">
              <a16:creationId xmlns:a16="http://schemas.microsoft.com/office/drawing/2014/main" id="{00000000-0008-0000-0800-00006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0" name="Text Box 31">
          <a:extLst>
            <a:ext uri="{FF2B5EF4-FFF2-40B4-BE49-F238E27FC236}">
              <a16:creationId xmlns:a16="http://schemas.microsoft.com/office/drawing/2014/main" id="{00000000-0008-0000-0800-00006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1" name="Text Box 32">
          <a:extLst>
            <a:ext uri="{FF2B5EF4-FFF2-40B4-BE49-F238E27FC236}">
              <a16:creationId xmlns:a16="http://schemas.microsoft.com/office/drawing/2014/main" id="{00000000-0008-0000-0800-00006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2" name="Text Box 33">
          <a:extLst>
            <a:ext uri="{FF2B5EF4-FFF2-40B4-BE49-F238E27FC236}">
              <a16:creationId xmlns:a16="http://schemas.microsoft.com/office/drawing/2014/main" id="{00000000-0008-0000-0800-00006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3" name="Text Box 34">
          <a:extLst>
            <a:ext uri="{FF2B5EF4-FFF2-40B4-BE49-F238E27FC236}">
              <a16:creationId xmlns:a16="http://schemas.microsoft.com/office/drawing/2014/main" id="{00000000-0008-0000-0800-00006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4" name="Text Box 35">
          <a:extLst>
            <a:ext uri="{FF2B5EF4-FFF2-40B4-BE49-F238E27FC236}">
              <a16:creationId xmlns:a16="http://schemas.microsoft.com/office/drawing/2014/main" id="{00000000-0008-0000-0800-00006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5" name="Text Box 36">
          <a:extLst>
            <a:ext uri="{FF2B5EF4-FFF2-40B4-BE49-F238E27FC236}">
              <a16:creationId xmlns:a16="http://schemas.microsoft.com/office/drawing/2014/main" id="{00000000-0008-0000-0800-00006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6" name="Text Box 37">
          <a:extLst>
            <a:ext uri="{FF2B5EF4-FFF2-40B4-BE49-F238E27FC236}">
              <a16:creationId xmlns:a16="http://schemas.microsoft.com/office/drawing/2014/main" id="{00000000-0008-0000-0800-00006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7" name="Text Box 38">
          <a:extLst>
            <a:ext uri="{FF2B5EF4-FFF2-40B4-BE49-F238E27FC236}">
              <a16:creationId xmlns:a16="http://schemas.microsoft.com/office/drawing/2014/main" id="{00000000-0008-0000-0800-00006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8" name="Text Box 39">
          <a:extLst>
            <a:ext uri="{FF2B5EF4-FFF2-40B4-BE49-F238E27FC236}">
              <a16:creationId xmlns:a16="http://schemas.microsoft.com/office/drawing/2014/main" id="{00000000-0008-0000-0800-00007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9" name="Text Box 40">
          <a:extLst>
            <a:ext uri="{FF2B5EF4-FFF2-40B4-BE49-F238E27FC236}">
              <a16:creationId xmlns:a16="http://schemas.microsoft.com/office/drawing/2014/main" id="{00000000-0008-0000-0800-00007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0" name="Text Box 41">
          <a:extLst>
            <a:ext uri="{FF2B5EF4-FFF2-40B4-BE49-F238E27FC236}">
              <a16:creationId xmlns:a16="http://schemas.microsoft.com/office/drawing/2014/main" id="{00000000-0008-0000-0800-00007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1" name="Text Box 42">
          <a:extLst>
            <a:ext uri="{FF2B5EF4-FFF2-40B4-BE49-F238E27FC236}">
              <a16:creationId xmlns:a16="http://schemas.microsoft.com/office/drawing/2014/main" id="{00000000-0008-0000-0800-00007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2" name="Text Box 43">
          <a:extLst>
            <a:ext uri="{FF2B5EF4-FFF2-40B4-BE49-F238E27FC236}">
              <a16:creationId xmlns:a16="http://schemas.microsoft.com/office/drawing/2014/main" id="{00000000-0008-0000-0800-00007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3" name="Text Box 44">
          <a:extLst>
            <a:ext uri="{FF2B5EF4-FFF2-40B4-BE49-F238E27FC236}">
              <a16:creationId xmlns:a16="http://schemas.microsoft.com/office/drawing/2014/main" id="{00000000-0008-0000-0800-00007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4" name="Text Box 45">
          <a:extLst>
            <a:ext uri="{FF2B5EF4-FFF2-40B4-BE49-F238E27FC236}">
              <a16:creationId xmlns:a16="http://schemas.microsoft.com/office/drawing/2014/main" id="{00000000-0008-0000-0800-00007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5" name="Text Box 46">
          <a:extLst>
            <a:ext uri="{FF2B5EF4-FFF2-40B4-BE49-F238E27FC236}">
              <a16:creationId xmlns:a16="http://schemas.microsoft.com/office/drawing/2014/main" id="{00000000-0008-0000-0800-00007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6" name="Text Box 47">
          <a:extLst>
            <a:ext uri="{FF2B5EF4-FFF2-40B4-BE49-F238E27FC236}">
              <a16:creationId xmlns:a16="http://schemas.microsoft.com/office/drawing/2014/main" id="{00000000-0008-0000-0800-00007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7" name="Text Box 48">
          <a:extLst>
            <a:ext uri="{FF2B5EF4-FFF2-40B4-BE49-F238E27FC236}">
              <a16:creationId xmlns:a16="http://schemas.microsoft.com/office/drawing/2014/main" id="{00000000-0008-0000-0800-00007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8" name="Text Box 49">
          <a:extLst>
            <a:ext uri="{FF2B5EF4-FFF2-40B4-BE49-F238E27FC236}">
              <a16:creationId xmlns:a16="http://schemas.microsoft.com/office/drawing/2014/main" id="{00000000-0008-0000-0800-00007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9" name="Text Box 50">
          <a:extLst>
            <a:ext uri="{FF2B5EF4-FFF2-40B4-BE49-F238E27FC236}">
              <a16:creationId xmlns:a16="http://schemas.microsoft.com/office/drawing/2014/main" id="{00000000-0008-0000-0800-00007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0" name="Text Box 51">
          <a:extLst>
            <a:ext uri="{FF2B5EF4-FFF2-40B4-BE49-F238E27FC236}">
              <a16:creationId xmlns:a16="http://schemas.microsoft.com/office/drawing/2014/main" id="{00000000-0008-0000-0800-00007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1" name="Text Box 52">
          <a:extLst>
            <a:ext uri="{FF2B5EF4-FFF2-40B4-BE49-F238E27FC236}">
              <a16:creationId xmlns:a16="http://schemas.microsoft.com/office/drawing/2014/main" id="{00000000-0008-0000-0800-00007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2" name="Text Box 53">
          <a:extLst>
            <a:ext uri="{FF2B5EF4-FFF2-40B4-BE49-F238E27FC236}">
              <a16:creationId xmlns:a16="http://schemas.microsoft.com/office/drawing/2014/main" id="{00000000-0008-0000-0800-00007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3" name="Text Box 54">
          <a:extLst>
            <a:ext uri="{FF2B5EF4-FFF2-40B4-BE49-F238E27FC236}">
              <a16:creationId xmlns:a16="http://schemas.microsoft.com/office/drawing/2014/main" id="{00000000-0008-0000-0800-00007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4" name="Text Box 55">
          <a:extLst>
            <a:ext uri="{FF2B5EF4-FFF2-40B4-BE49-F238E27FC236}">
              <a16:creationId xmlns:a16="http://schemas.microsoft.com/office/drawing/2014/main" id="{00000000-0008-0000-0800-00008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5" name="Text Box 56">
          <a:extLst>
            <a:ext uri="{FF2B5EF4-FFF2-40B4-BE49-F238E27FC236}">
              <a16:creationId xmlns:a16="http://schemas.microsoft.com/office/drawing/2014/main" id="{00000000-0008-0000-0800-00008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6" name="Text Box 57">
          <a:extLst>
            <a:ext uri="{FF2B5EF4-FFF2-40B4-BE49-F238E27FC236}">
              <a16:creationId xmlns:a16="http://schemas.microsoft.com/office/drawing/2014/main" id="{00000000-0008-0000-0800-00008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7" name="Text Box 58">
          <a:extLst>
            <a:ext uri="{FF2B5EF4-FFF2-40B4-BE49-F238E27FC236}">
              <a16:creationId xmlns:a16="http://schemas.microsoft.com/office/drawing/2014/main" id="{00000000-0008-0000-0800-00008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8" name="Text Box 59">
          <a:extLst>
            <a:ext uri="{FF2B5EF4-FFF2-40B4-BE49-F238E27FC236}">
              <a16:creationId xmlns:a16="http://schemas.microsoft.com/office/drawing/2014/main" id="{00000000-0008-0000-0800-00008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9" name="Text Box 60">
          <a:extLst>
            <a:ext uri="{FF2B5EF4-FFF2-40B4-BE49-F238E27FC236}">
              <a16:creationId xmlns:a16="http://schemas.microsoft.com/office/drawing/2014/main" id="{00000000-0008-0000-0800-00008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0" name="Text Box 61">
          <a:extLst>
            <a:ext uri="{FF2B5EF4-FFF2-40B4-BE49-F238E27FC236}">
              <a16:creationId xmlns:a16="http://schemas.microsoft.com/office/drawing/2014/main" id="{00000000-0008-0000-0800-00008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1" name="Text Box 62">
          <a:extLst>
            <a:ext uri="{FF2B5EF4-FFF2-40B4-BE49-F238E27FC236}">
              <a16:creationId xmlns:a16="http://schemas.microsoft.com/office/drawing/2014/main" id="{00000000-0008-0000-0800-00008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2" name="Text Box 63">
          <a:extLst>
            <a:ext uri="{FF2B5EF4-FFF2-40B4-BE49-F238E27FC236}">
              <a16:creationId xmlns:a16="http://schemas.microsoft.com/office/drawing/2014/main" id="{00000000-0008-0000-0800-00008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3" name="Text Box 64">
          <a:extLst>
            <a:ext uri="{FF2B5EF4-FFF2-40B4-BE49-F238E27FC236}">
              <a16:creationId xmlns:a16="http://schemas.microsoft.com/office/drawing/2014/main" id="{00000000-0008-0000-0800-00008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4" name="Text Box 65">
          <a:extLst>
            <a:ext uri="{FF2B5EF4-FFF2-40B4-BE49-F238E27FC236}">
              <a16:creationId xmlns:a16="http://schemas.microsoft.com/office/drawing/2014/main" id="{00000000-0008-0000-0800-00008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5" name="Text Box 66">
          <a:extLst>
            <a:ext uri="{FF2B5EF4-FFF2-40B4-BE49-F238E27FC236}">
              <a16:creationId xmlns:a16="http://schemas.microsoft.com/office/drawing/2014/main" id="{00000000-0008-0000-0800-00008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6" name="Text Box 67">
          <a:extLst>
            <a:ext uri="{FF2B5EF4-FFF2-40B4-BE49-F238E27FC236}">
              <a16:creationId xmlns:a16="http://schemas.microsoft.com/office/drawing/2014/main" id="{00000000-0008-0000-0800-00008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7" name="Text Box 68">
          <a:extLst>
            <a:ext uri="{FF2B5EF4-FFF2-40B4-BE49-F238E27FC236}">
              <a16:creationId xmlns:a16="http://schemas.microsoft.com/office/drawing/2014/main" id="{00000000-0008-0000-0800-00008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8" name="Text Box 69">
          <a:extLst>
            <a:ext uri="{FF2B5EF4-FFF2-40B4-BE49-F238E27FC236}">
              <a16:creationId xmlns:a16="http://schemas.microsoft.com/office/drawing/2014/main" id="{00000000-0008-0000-0800-00008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9" name="Text Box 70">
          <a:extLst>
            <a:ext uri="{FF2B5EF4-FFF2-40B4-BE49-F238E27FC236}">
              <a16:creationId xmlns:a16="http://schemas.microsoft.com/office/drawing/2014/main" id="{00000000-0008-0000-0800-00008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0" name="Text Box 71">
          <a:extLst>
            <a:ext uri="{FF2B5EF4-FFF2-40B4-BE49-F238E27FC236}">
              <a16:creationId xmlns:a16="http://schemas.microsoft.com/office/drawing/2014/main" id="{00000000-0008-0000-0800-00009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1" name="Text Box 72">
          <a:extLst>
            <a:ext uri="{FF2B5EF4-FFF2-40B4-BE49-F238E27FC236}">
              <a16:creationId xmlns:a16="http://schemas.microsoft.com/office/drawing/2014/main" id="{00000000-0008-0000-0800-00009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2" name="Text Box 73">
          <a:extLst>
            <a:ext uri="{FF2B5EF4-FFF2-40B4-BE49-F238E27FC236}">
              <a16:creationId xmlns:a16="http://schemas.microsoft.com/office/drawing/2014/main" id="{00000000-0008-0000-0800-00009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3" name="Text Box 74">
          <a:extLst>
            <a:ext uri="{FF2B5EF4-FFF2-40B4-BE49-F238E27FC236}">
              <a16:creationId xmlns:a16="http://schemas.microsoft.com/office/drawing/2014/main" id="{00000000-0008-0000-0800-00009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4" name="Text Box 75">
          <a:extLst>
            <a:ext uri="{FF2B5EF4-FFF2-40B4-BE49-F238E27FC236}">
              <a16:creationId xmlns:a16="http://schemas.microsoft.com/office/drawing/2014/main" id="{00000000-0008-0000-0800-00009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5" name="Text Box 76">
          <a:extLst>
            <a:ext uri="{FF2B5EF4-FFF2-40B4-BE49-F238E27FC236}">
              <a16:creationId xmlns:a16="http://schemas.microsoft.com/office/drawing/2014/main" id="{00000000-0008-0000-0800-00009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6" name="Text Box 77">
          <a:extLst>
            <a:ext uri="{FF2B5EF4-FFF2-40B4-BE49-F238E27FC236}">
              <a16:creationId xmlns:a16="http://schemas.microsoft.com/office/drawing/2014/main" id="{00000000-0008-0000-0800-00009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7" name="Text Box 78">
          <a:extLst>
            <a:ext uri="{FF2B5EF4-FFF2-40B4-BE49-F238E27FC236}">
              <a16:creationId xmlns:a16="http://schemas.microsoft.com/office/drawing/2014/main" id="{00000000-0008-0000-0800-00009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8" name="Text Box 79">
          <a:extLst>
            <a:ext uri="{FF2B5EF4-FFF2-40B4-BE49-F238E27FC236}">
              <a16:creationId xmlns:a16="http://schemas.microsoft.com/office/drawing/2014/main" id="{00000000-0008-0000-0800-00009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9" name="Text Box 80">
          <a:extLst>
            <a:ext uri="{FF2B5EF4-FFF2-40B4-BE49-F238E27FC236}">
              <a16:creationId xmlns:a16="http://schemas.microsoft.com/office/drawing/2014/main" id="{00000000-0008-0000-0800-00009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0" name="Text Box 81">
          <a:extLst>
            <a:ext uri="{FF2B5EF4-FFF2-40B4-BE49-F238E27FC236}">
              <a16:creationId xmlns:a16="http://schemas.microsoft.com/office/drawing/2014/main" id="{00000000-0008-0000-0800-00009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1" name="Text Box 82">
          <a:extLst>
            <a:ext uri="{FF2B5EF4-FFF2-40B4-BE49-F238E27FC236}">
              <a16:creationId xmlns:a16="http://schemas.microsoft.com/office/drawing/2014/main" id="{00000000-0008-0000-0800-00009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2" name="Text Box 83">
          <a:extLst>
            <a:ext uri="{FF2B5EF4-FFF2-40B4-BE49-F238E27FC236}">
              <a16:creationId xmlns:a16="http://schemas.microsoft.com/office/drawing/2014/main" id="{00000000-0008-0000-0800-00009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3" name="Text Box 84">
          <a:extLst>
            <a:ext uri="{FF2B5EF4-FFF2-40B4-BE49-F238E27FC236}">
              <a16:creationId xmlns:a16="http://schemas.microsoft.com/office/drawing/2014/main" id="{00000000-0008-0000-0800-00009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4" name="Text Box 85">
          <a:extLst>
            <a:ext uri="{FF2B5EF4-FFF2-40B4-BE49-F238E27FC236}">
              <a16:creationId xmlns:a16="http://schemas.microsoft.com/office/drawing/2014/main" id="{00000000-0008-0000-0800-00009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5" name="Text Box 86">
          <a:extLst>
            <a:ext uri="{FF2B5EF4-FFF2-40B4-BE49-F238E27FC236}">
              <a16:creationId xmlns:a16="http://schemas.microsoft.com/office/drawing/2014/main" id="{00000000-0008-0000-0800-00009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6" name="Text Box 87">
          <a:extLst>
            <a:ext uri="{FF2B5EF4-FFF2-40B4-BE49-F238E27FC236}">
              <a16:creationId xmlns:a16="http://schemas.microsoft.com/office/drawing/2014/main" id="{00000000-0008-0000-0800-0000A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7" name="Text Box 88">
          <a:extLst>
            <a:ext uri="{FF2B5EF4-FFF2-40B4-BE49-F238E27FC236}">
              <a16:creationId xmlns:a16="http://schemas.microsoft.com/office/drawing/2014/main" id="{00000000-0008-0000-0800-0000A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8" name="Text Box 89">
          <a:extLst>
            <a:ext uri="{FF2B5EF4-FFF2-40B4-BE49-F238E27FC236}">
              <a16:creationId xmlns:a16="http://schemas.microsoft.com/office/drawing/2014/main" id="{00000000-0008-0000-0800-0000A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9" name="Text Box 90">
          <a:extLst>
            <a:ext uri="{FF2B5EF4-FFF2-40B4-BE49-F238E27FC236}">
              <a16:creationId xmlns:a16="http://schemas.microsoft.com/office/drawing/2014/main" id="{00000000-0008-0000-0800-0000A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0" name="Text Box 91">
          <a:extLst>
            <a:ext uri="{FF2B5EF4-FFF2-40B4-BE49-F238E27FC236}">
              <a16:creationId xmlns:a16="http://schemas.microsoft.com/office/drawing/2014/main" id="{00000000-0008-0000-0800-0000A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1" name="Text Box 92">
          <a:extLst>
            <a:ext uri="{FF2B5EF4-FFF2-40B4-BE49-F238E27FC236}">
              <a16:creationId xmlns:a16="http://schemas.microsoft.com/office/drawing/2014/main" id="{00000000-0008-0000-0800-0000A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2" name="Text Box 93">
          <a:extLst>
            <a:ext uri="{FF2B5EF4-FFF2-40B4-BE49-F238E27FC236}">
              <a16:creationId xmlns:a16="http://schemas.microsoft.com/office/drawing/2014/main" id="{00000000-0008-0000-0800-0000A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3" name="Text Box 94">
          <a:extLst>
            <a:ext uri="{FF2B5EF4-FFF2-40B4-BE49-F238E27FC236}">
              <a16:creationId xmlns:a16="http://schemas.microsoft.com/office/drawing/2014/main" id="{00000000-0008-0000-0800-0000A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4" name="Text Box 95">
          <a:extLst>
            <a:ext uri="{FF2B5EF4-FFF2-40B4-BE49-F238E27FC236}">
              <a16:creationId xmlns:a16="http://schemas.microsoft.com/office/drawing/2014/main" id="{00000000-0008-0000-0800-0000A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5" name="Text Box 96">
          <a:extLst>
            <a:ext uri="{FF2B5EF4-FFF2-40B4-BE49-F238E27FC236}">
              <a16:creationId xmlns:a16="http://schemas.microsoft.com/office/drawing/2014/main" id="{00000000-0008-0000-0800-0000A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6" name="Text Box 97">
          <a:extLst>
            <a:ext uri="{FF2B5EF4-FFF2-40B4-BE49-F238E27FC236}">
              <a16:creationId xmlns:a16="http://schemas.microsoft.com/office/drawing/2014/main" id="{00000000-0008-0000-0800-0000A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7" name="Text Box 100">
          <a:extLst>
            <a:ext uri="{FF2B5EF4-FFF2-40B4-BE49-F238E27FC236}">
              <a16:creationId xmlns:a16="http://schemas.microsoft.com/office/drawing/2014/main" id="{00000000-0008-0000-0800-0000A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8" name="Text Box 101">
          <a:extLst>
            <a:ext uri="{FF2B5EF4-FFF2-40B4-BE49-F238E27FC236}">
              <a16:creationId xmlns:a16="http://schemas.microsoft.com/office/drawing/2014/main" id="{00000000-0008-0000-0800-0000A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9" name="Text Box 102">
          <a:extLst>
            <a:ext uri="{FF2B5EF4-FFF2-40B4-BE49-F238E27FC236}">
              <a16:creationId xmlns:a16="http://schemas.microsoft.com/office/drawing/2014/main" id="{00000000-0008-0000-0800-0000A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0" name="Text Box 103">
          <a:extLst>
            <a:ext uri="{FF2B5EF4-FFF2-40B4-BE49-F238E27FC236}">
              <a16:creationId xmlns:a16="http://schemas.microsoft.com/office/drawing/2014/main" id="{00000000-0008-0000-0800-0000A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1" name="Text Box 104">
          <a:extLst>
            <a:ext uri="{FF2B5EF4-FFF2-40B4-BE49-F238E27FC236}">
              <a16:creationId xmlns:a16="http://schemas.microsoft.com/office/drawing/2014/main" id="{00000000-0008-0000-0800-0000A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2" name="Text Box 105">
          <a:extLst>
            <a:ext uri="{FF2B5EF4-FFF2-40B4-BE49-F238E27FC236}">
              <a16:creationId xmlns:a16="http://schemas.microsoft.com/office/drawing/2014/main" id="{00000000-0008-0000-0800-0000B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3" name="Text Box 106">
          <a:extLst>
            <a:ext uri="{FF2B5EF4-FFF2-40B4-BE49-F238E27FC236}">
              <a16:creationId xmlns:a16="http://schemas.microsoft.com/office/drawing/2014/main" id="{00000000-0008-0000-0800-0000B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4" name="Text Box 107">
          <a:extLst>
            <a:ext uri="{FF2B5EF4-FFF2-40B4-BE49-F238E27FC236}">
              <a16:creationId xmlns:a16="http://schemas.microsoft.com/office/drawing/2014/main" id="{00000000-0008-0000-0800-0000B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5" name="Text Box 108">
          <a:extLst>
            <a:ext uri="{FF2B5EF4-FFF2-40B4-BE49-F238E27FC236}">
              <a16:creationId xmlns:a16="http://schemas.microsoft.com/office/drawing/2014/main" id="{00000000-0008-0000-0800-0000B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6" name="Text Box 109">
          <a:extLst>
            <a:ext uri="{FF2B5EF4-FFF2-40B4-BE49-F238E27FC236}">
              <a16:creationId xmlns:a16="http://schemas.microsoft.com/office/drawing/2014/main" id="{00000000-0008-0000-0800-0000B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7" name="Text Box 110">
          <a:extLst>
            <a:ext uri="{FF2B5EF4-FFF2-40B4-BE49-F238E27FC236}">
              <a16:creationId xmlns:a16="http://schemas.microsoft.com/office/drawing/2014/main" id="{00000000-0008-0000-0800-0000B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8" name="Text Box 111">
          <a:extLst>
            <a:ext uri="{FF2B5EF4-FFF2-40B4-BE49-F238E27FC236}">
              <a16:creationId xmlns:a16="http://schemas.microsoft.com/office/drawing/2014/main" id="{00000000-0008-0000-0800-0000B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9" name="Text Box 119">
          <a:extLst>
            <a:ext uri="{FF2B5EF4-FFF2-40B4-BE49-F238E27FC236}">
              <a16:creationId xmlns:a16="http://schemas.microsoft.com/office/drawing/2014/main" id="{00000000-0008-0000-0800-0000B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0" name="Text Box 120">
          <a:extLst>
            <a:ext uri="{FF2B5EF4-FFF2-40B4-BE49-F238E27FC236}">
              <a16:creationId xmlns:a16="http://schemas.microsoft.com/office/drawing/2014/main" id="{00000000-0008-0000-0800-0000B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1" name="Text Box 121">
          <a:extLst>
            <a:ext uri="{FF2B5EF4-FFF2-40B4-BE49-F238E27FC236}">
              <a16:creationId xmlns:a16="http://schemas.microsoft.com/office/drawing/2014/main" id="{00000000-0008-0000-0800-0000B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2" name="Text Box 122">
          <a:extLst>
            <a:ext uri="{FF2B5EF4-FFF2-40B4-BE49-F238E27FC236}">
              <a16:creationId xmlns:a16="http://schemas.microsoft.com/office/drawing/2014/main" id="{00000000-0008-0000-0800-0000B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3" name="Text Box 123">
          <a:extLst>
            <a:ext uri="{FF2B5EF4-FFF2-40B4-BE49-F238E27FC236}">
              <a16:creationId xmlns:a16="http://schemas.microsoft.com/office/drawing/2014/main" id="{00000000-0008-0000-0800-0000B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4" name="Text Box 124">
          <a:extLst>
            <a:ext uri="{FF2B5EF4-FFF2-40B4-BE49-F238E27FC236}">
              <a16:creationId xmlns:a16="http://schemas.microsoft.com/office/drawing/2014/main" id="{00000000-0008-0000-0800-0000B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5" name="Text Box 125">
          <a:extLst>
            <a:ext uri="{FF2B5EF4-FFF2-40B4-BE49-F238E27FC236}">
              <a16:creationId xmlns:a16="http://schemas.microsoft.com/office/drawing/2014/main" id="{00000000-0008-0000-0800-0000B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6" name="Text Box 126">
          <a:extLst>
            <a:ext uri="{FF2B5EF4-FFF2-40B4-BE49-F238E27FC236}">
              <a16:creationId xmlns:a16="http://schemas.microsoft.com/office/drawing/2014/main" id="{00000000-0008-0000-0800-0000B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7" name="Text Box 127">
          <a:extLst>
            <a:ext uri="{FF2B5EF4-FFF2-40B4-BE49-F238E27FC236}">
              <a16:creationId xmlns:a16="http://schemas.microsoft.com/office/drawing/2014/main" id="{00000000-0008-0000-0800-0000B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8" name="Text Box 128">
          <a:extLst>
            <a:ext uri="{FF2B5EF4-FFF2-40B4-BE49-F238E27FC236}">
              <a16:creationId xmlns:a16="http://schemas.microsoft.com/office/drawing/2014/main" id="{00000000-0008-0000-0800-0000C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9" name="Text Box 129">
          <a:extLst>
            <a:ext uri="{FF2B5EF4-FFF2-40B4-BE49-F238E27FC236}">
              <a16:creationId xmlns:a16="http://schemas.microsoft.com/office/drawing/2014/main" id="{00000000-0008-0000-0800-0000C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50" name="Text Box 130">
          <a:extLst>
            <a:ext uri="{FF2B5EF4-FFF2-40B4-BE49-F238E27FC236}">
              <a16:creationId xmlns:a16="http://schemas.microsoft.com/office/drawing/2014/main" id="{00000000-0008-0000-0800-0000C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1" name="Text Box 133">
          <a:extLst>
            <a:ext uri="{FF2B5EF4-FFF2-40B4-BE49-F238E27FC236}">
              <a16:creationId xmlns:a16="http://schemas.microsoft.com/office/drawing/2014/main" id="{00000000-0008-0000-0800-0000C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2" name="Text Box 134">
          <a:extLst>
            <a:ext uri="{FF2B5EF4-FFF2-40B4-BE49-F238E27FC236}">
              <a16:creationId xmlns:a16="http://schemas.microsoft.com/office/drawing/2014/main" id="{00000000-0008-0000-0800-0000C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3" name="Text Box 135">
          <a:extLst>
            <a:ext uri="{FF2B5EF4-FFF2-40B4-BE49-F238E27FC236}">
              <a16:creationId xmlns:a16="http://schemas.microsoft.com/office/drawing/2014/main" id="{00000000-0008-0000-0800-0000C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4" name="Text Box 136">
          <a:extLst>
            <a:ext uri="{FF2B5EF4-FFF2-40B4-BE49-F238E27FC236}">
              <a16:creationId xmlns:a16="http://schemas.microsoft.com/office/drawing/2014/main" id="{00000000-0008-0000-0800-0000C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5" name="Text Box 137">
          <a:extLst>
            <a:ext uri="{FF2B5EF4-FFF2-40B4-BE49-F238E27FC236}">
              <a16:creationId xmlns:a16="http://schemas.microsoft.com/office/drawing/2014/main" id="{00000000-0008-0000-0800-0000C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6" name="Text Box 138">
          <a:extLst>
            <a:ext uri="{FF2B5EF4-FFF2-40B4-BE49-F238E27FC236}">
              <a16:creationId xmlns:a16="http://schemas.microsoft.com/office/drawing/2014/main" id="{00000000-0008-0000-0800-0000C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7" name="Text Box 139">
          <a:extLst>
            <a:ext uri="{FF2B5EF4-FFF2-40B4-BE49-F238E27FC236}">
              <a16:creationId xmlns:a16="http://schemas.microsoft.com/office/drawing/2014/main" id="{00000000-0008-0000-0800-0000C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8" name="Text Box 140">
          <a:extLst>
            <a:ext uri="{FF2B5EF4-FFF2-40B4-BE49-F238E27FC236}">
              <a16:creationId xmlns:a16="http://schemas.microsoft.com/office/drawing/2014/main" id="{00000000-0008-0000-0800-0000C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9" name="Text Box 141">
          <a:extLst>
            <a:ext uri="{FF2B5EF4-FFF2-40B4-BE49-F238E27FC236}">
              <a16:creationId xmlns:a16="http://schemas.microsoft.com/office/drawing/2014/main" id="{00000000-0008-0000-0800-0000C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0" name="Text Box 142">
          <a:extLst>
            <a:ext uri="{FF2B5EF4-FFF2-40B4-BE49-F238E27FC236}">
              <a16:creationId xmlns:a16="http://schemas.microsoft.com/office/drawing/2014/main" id="{00000000-0008-0000-0800-0000C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1" name="Text Box 143">
          <a:extLst>
            <a:ext uri="{FF2B5EF4-FFF2-40B4-BE49-F238E27FC236}">
              <a16:creationId xmlns:a16="http://schemas.microsoft.com/office/drawing/2014/main" id="{00000000-0008-0000-0800-0000C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2" name="Text Box 144">
          <a:extLst>
            <a:ext uri="{FF2B5EF4-FFF2-40B4-BE49-F238E27FC236}">
              <a16:creationId xmlns:a16="http://schemas.microsoft.com/office/drawing/2014/main" id="{00000000-0008-0000-0800-0000C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3" name="Text Box 145">
          <a:extLst>
            <a:ext uri="{FF2B5EF4-FFF2-40B4-BE49-F238E27FC236}">
              <a16:creationId xmlns:a16="http://schemas.microsoft.com/office/drawing/2014/main" id="{00000000-0008-0000-0800-0000C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4" name="Text Box 146">
          <a:extLst>
            <a:ext uri="{FF2B5EF4-FFF2-40B4-BE49-F238E27FC236}">
              <a16:creationId xmlns:a16="http://schemas.microsoft.com/office/drawing/2014/main" id="{00000000-0008-0000-0800-0000D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5" name="Text Box 147">
          <a:extLst>
            <a:ext uri="{FF2B5EF4-FFF2-40B4-BE49-F238E27FC236}">
              <a16:creationId xmlns:a16="http://schemas.microsoft.com/office/drawing/2014/main" id="{00000000-0008-0000-0800-0000D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6" name="Text Box 148">
          <a:extLst>
            <a:ext uri="{FF2B5EF4-FFF2-40B4-BE49-F238E27FC236}">
              <a16:creationId xmlns:a16="http://schemas.microsoft.com/office/drawing/2014/main" id="{00000000-0008-0000-0800-0000D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7" name="Text Box 149">
          <a:extLst>
            <a:ext uri="{FF2B5EF4-FFF2-40B4-BE49-F238E27FC236}">
              <a16:creationId xmlns:a16="http://schemas.microsoft.com/office/drawing/2014/main" id="{00000000-0008-0000-0800-0000D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8" name="Text Box 150">
          <a:extLst>
            <a:ext uri="{FF2B5EF4-FFF2-40B4-BE49-F238E27FC236}">
              <a16:creationId xmlns:a16="http://schemas.microsoft.com/office/drawing/2014/main" id="{00000000-0008-0000-0800-0000D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9" name="Text Box 151">
          <a:extLst>
            <a:ext uri="{FF2B5EF4-FFF2-40B4-BE49-F238E27FC236}">
              <a16:creationId xmlns:a16="http://schemas.microsoft.com/office/drawing/2014/main" id="{00000000-0008-0000-0800-0000D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0" name="Text Box 152">
          <a:extLst>
            <a:ext uri="{FF2B5EF4-FFF2-40B4-BE49-F238E27FC236}">
              <a16:creationId xmlns:a16="http://schemas.microsoft.com/office/drawing/2014/main" id="{00000000-0008-0000-0800-0000D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1" name="Text Box 153">
          <a:extLst>
            <a:ext uri="{FF2B5EF4-FFF2-40B4-BE49-F238E27FC236}">
              <a16:creationId xmlns:a16="http://schemas.microsoft.com/office/drawing/2014/main" id="{00000000-0008-0000-0800-0000D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2" name="Text Box 154">
          <a:extLst>
            <a:ext uri="{FF2B5EF4-FFF2-40B4-BE49-F238E27FC236}">
              <a16:creationId xmlns:a16="http://schemas.microsoft.com/office/drawing/2014/main" id="{00000000-0008-0000-0800-0000D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3" name="Text Box 155">
          <a:extLst>
            <a:ext uri="{FF2B5EF4-FFF2-40B4-BE49-F238E27FC236}">
              <a16:creationId xmlns:a16="http://schemas.microsoft.com/office/drawing/2014/main" id="{00000000-0008-0000-0800-0000D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4" name="Text Box 156">
          <a:extLst>
            <a:ext uri="{FF2B5EF4-FFF2-40B4-BE49-F238E27FC236}">
              <a16:creationId xmlns:a16="http://schemas.microsoft.com/office/drawing/2014/main" id="{00000000-0008-0000-0800-0000D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5" name="Text Box 157">
          <a:extLst>
            <a:ext uri="{FF2B5EF4-FFF2-40B4-BE49-F238E27FC236}">
              <a16:creationId xmlns:a16="http://schemas.microsoft.com/office/drawing/2014/main" id="{00000000-0008-0000-0800-0000D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6" name="Text Box 158">
          <a:extLst>
            <a:ext uri="{FF2B5EF4-FFF2-40B4-BE49-F238E27FC236}">
              <a16:creationId xmlns:a16="http://schemas.microsoft.com/office/drawing/2014/main" id="{00000000-0008-0000-0800-0000D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7" name="Text Box 159">
          <a:extLst>
            <a:ext uri="{FF2B5EF4-FFF2-40B4-BE49-F238E27FC236}">
              <a16:creationId xmlns:a16="http://schemas.microsoft.com/office/drawing/2014/main" id="{00000000-0008-0000-0800-0000D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8" name="Text Box 160">
          <a:extLst>
            <a:ext uri="{FF2B5EF4-FFF2-40B4-BE49-F238E27FC236}">
              <a16:creationId xmlns:a16="http://schemas.microsoft.com/office/drawing/2014/main" id="{00000000-0008-0000-0800-0000D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9" name="Text Box 161">
          <a:extLst>
            <a:ext uri="{FF2B5EF4-FFF2-40B4-BE49-F238E27FC236}">
              <a16:creationId xmlns:a16="http://schemas.microsoft.com/office/drawing/2014/main" id="{00000000-0008-0000-0800-0000D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0" name="Text Box 162">
          <a:extLst>
            <a:ext uri="{FF2B5EF4-FFF2-40B4-BE49-F238E27FC236}">
              <a16:creationId xmlns:a16="http://schemas.microsoft.com/office/drawing/2014/main" id="{00000000-0008-0000-0800-0000E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1" name="Text Box 163">
          <a:extLst>
            <a:ext uri="{FF2B5EF4-FFF2-40B4-BE49-F238E27FC236}">
              <a16:creationId xmlns:a16="http://schemas.microsoft.com/office/drawing/2014/main" id="{00000000-0008-0000-0800-0000E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2" name="Text Box 164">
          <a:extLst>
            <a:ext uri="{FF2B5EF4-FFF2-40B4-BE49-F238E27FC236}">
              <a16:creationId xmlns:a16="http://schemas.microsoft.com/office/drawing/2014/main" id="{00000000-0008-0000-0800-0000E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3" name="Text Box 165">
          <a:extLst>
            <a:ext uri="{FF2B5EF4-FFF2-40B4-BE49-F238E27FC236}">
              <a16:creationId xmlns:a16="http://schemas.microsoft.com/office/drawing/2014/main" id="{00000000-0008-0000-0800-0000E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4" name="Text Box 166">
          <a:extLst>
            <a:ext uri="{FF2B5EF4-FFF2-40B4-BE49-F238E27FC236}">
              <a16:creationId xmlns:a16="http://schemas.microsoft.com/office/drawing/2014/main" id="{00000000-0008-0000-0800-0000E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5" name="Text Box 167">
          <a:extLst>
            <a:ext uri="{FF2B5EF4-FFF2-40B4-BE49-F238E27FC236}">
              <a16:creationId xmlns:a16="http://schemas.microsoft.com/office/drawing/2014/main" id="{00000000-0008-0000-0800-0000E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6" name="Text Box 168">
          <a:extLst>
            <a:ext uri="{FF2B5EF4-FFF2-40B4-BE49-F238E27FC236}">
              <a16:creationId xmlns:a16="http://schemas.microsoft.com/office/drawing/2014/main" id="{00000000-0008-0000-0800-0000E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7" name="Text Box 169">
          <a:extLst>
            <a:ext uri="{FF2B5EF4-FFF2-40B4-BE49-F238E27FC236}">
              <a16:creationId xmlns:a16="http://schemas.microsoft.com/office/drawing/2014/main" id="{00000000-0008-0000-0800-0000E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8" name="Text Box 170">
          <a:extLst>
            <a:ext uri="{FF2B5EF4-FFF2-40B4-BE49-F238E27FC236}">
              <a16:creationId xmlns:a16="http://schemas.microsoft.com/office/drawing/2014/main" id="{00000000-0008-0000-0800-0000E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9" name="Text Box 171">
          <a:extLst>
            <a:ext uri="{FF2B5EF4-FFF2-40B4-BE49-F238E27FC236}">
              <a16:creationId xmlns:a16="http://schemas.microsoft.com/office/drawing/2014/main" id="{00000000-0008-0000-0800-0000E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0" name="Text Box 172">
          <a:extLst>
            <a:ext uri="{FF2B5EF4-FFF2-40B4-BE49-F238E27FC236}">
              <a16:creationId xmlns:a16="http://schemas.microsoft.com/office/drawing/2014/main" id="{00000000-0008-0000-0800-0000E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1" name="Text Box 173">
          <a:extLst>
            <a:ext uri="{FF2B5EF4-FFF2-40B4-BE49-F238E27FC236}">
              <a16:creationId xmlns:a16="http://schemas.microsoft.com/office/drawing/2014/main" id="{00000000-0008-0000-0800-0000E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2" name="Text Box 174">
          <a:extLst>
            <a:ext uri="{FF2B5EF4-FFF2-40B4-BE49-F238E27FC236}">
              <a16:creationId xmlns:a16="http://schemas.microsoft.com/office/drawing/2014/main" id="{00000000-0008-0000-0800-0000E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3" name="Text Box 175">
          <a:extLst>
            <a:ext uri="{FF2B5EF4-FFF2-40B4-BE49-F238E27FC236}">
              <a16:creationId xmlns:a16="http://schemas.microsoft.com/office/drawing/2014/main" id="{00000000-0008-0000-0800-0000E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4" name="Text Box 176">
          <a:extLst>
            <a:ext uri="{FF2B5EF4-FFF2-40B4-BE49-F238E27FC236}">
              <a16:creationId xmlns:a16="http://schemas.microsoft.com/office/drawing/2014/main" id="{00000000-0008-0000-0800-0000E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5" name="Text Box 177">
          <a:extLst>
            <a:ext uri="{FF2B5EF4-FFF2-40B4-BE49-F238E27FC236}">
              <a16:creationId xmlns:a16="http://schemas.microsoft.com/office/drawing/2014/main" id="{00000000-0008-0000-0800-0000E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6" name="Text Box 178">
          <a:extLst>
            <a:ext uri="{FF2B5EF4-FFF2-40B4-BE49-F238E27FC236}">
              <a16:creationId xmlns:a16="http://schemas.microsoft.com/office/drawing/2014/main" id="{00000000-0008-0000-0800-0000F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7" name="Text Box 179">
          <a:extLst>
            <a:ext uri="{FF2B5EF4-FFF2-40B4-BE49-F238E27FC236}">
              <a16:creationId xmlns:a16="http://schemas.microsoft.com/office/drawing/2014/main" id="{00000000-0008-0000-0800-0000F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8" name="Text Box 180">
          <a:extLst>
            <a:ext uri="{FF2B5EF4-FFF2-40B4-BE49-F238E27FC236}">
              <a16:creationId xmlns:a16="http://schemas.microsoft.com/office/drawing/2014/main" id="{00000000-0008-0000-0800-0000F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9" name="Text Box 181">
          <a:extLst>
            <a:ext uri="{FF2B5EF4-FFF2-40B4-BE49-F238E27FC236}">
              <a16:creationId xmlns:a16="http://schemas.microsoft.com/office/drawing/2014/main" id="{00000000-0008-0000-0800-0000F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0" name="Text Box 182">
          <a:extLst>
            <a:ext uri="{FF2B5EF4-FFF2-40B4-BE49-F238E27FC236}">
              <a16:creationId xmlns:a16="http://schemas.microsoft.com/office/drawing/2014/main" id="{00000000-0008-0000-0800-0000F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1" name="Text Box 183">
          <a:extLst>
            <a:ext uri="{FF2B5EF4-FFF2-40B4-BE49-F238E27FC236}">
              <a16:creationId xmlns:a16="http://schemas.microsoft.com/office/drawing/2014/main" id="{00000000-0008-0000-0800-0000F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2" name="Text Box 184">
          <a:extLst>
            <a:ext uri="{FF2B5EF4-FFF2-40B4-BE49-F238E27FC236}">
              <a16:creationId xmlns:a16="http://schemas.microsoft.com/office/drawing/2014/main" id="{00000000-0008-0000-0800-0000F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3" name="Text Box 185">
          <a:extLst>
            <a:ext uri="{FF2B5EF4-FFF2-40B4-BE49-F238E27FC236}">
              <a16:creationId xmlns:a16="http://schemas.microsoft.com/office/drawing/2014/main" id="{00000000-0008-0000-0800-0000F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4" name="Text Box 186">
          <a:extLst>
            <a:ext uri="{FF2B5EF4-FFF2-40B4-BE49-F238E27FC236}">
              <a16:creationId xmlns:a16="http://schemas.microsoft.com/office/drawing/2014/main" id="{00000000-0008-0000-0800-0000F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5" name="Text Box 187">
          <a:extLst>
            <a:ext uri="{FF2B5EF4-FFF2-40B4-BE49-F238E27FC236}">
              <a16:creationId xmlns:a16="http://schemas.microsoft.com/office/drawing/2014/main" id="{00000000-0008-0000-0800-0000F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6" name="Text Box 188">
          <a:extLst>
            <a:ext uri="{FF2B5EF4-FFF2-40B4-BE49-F238E27FC236}">
              <a16:creationId xmlns:a16="http://schemas.microsoft.com/office/drawing/2014/main" id="{00000000-0008-0000-0800-0000F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7" name="Text Box 189">
          <a:extLst>
            <a:ext uri="{FF2B5EF4-FFF2-40B4-BE49-F238E27FC236}">
              <a16:creationId xmlns:a16="http://schemas.microsoft.com/office/drawing/2014/main" id="{00000000-0008-0000-0800-0000F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8" name="Text Box 190">
          <a:extLst>
            <a:ext uri="{FF2B5EF4-FFF2-40B4-BE49-F238E27FC236}">
              <a16:creationId xmlns:a16="http://schemas.microsoft.com/office/drawing/2014/main" id="{00000000-0008-0000-0800-0000F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9" name="Text Box 191">
          <a:extLst>
            <a:ext uri="{FF2B5EF4-FFF2-40B4-BE49-F238E27FC236}">
              <a16:creationId xmlns:a16="http://schemas.microsoft.com/office/drawing/2014/main" id="{00000000-0008-0000-0800-0000F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0" name="Text Box 192">
          <a:extLst>
            <a:ext uri="{FF2B5EF4-FFF2-40B4-BE49-F238E27FC236}">
              <a16:creationId xmlns:a16="http://schemas.microsoft.com/office/drawing/2014/main" id="{00000000-0008-0000-0800-0000F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1" name="Text Box 193">
          <a:extLst>
            <a:ext uri="{FF2B5EF4-FFF2-40B4-BE49-F238E27FC236}">
              <a16:creationId xmlns:a16="http://schemas.microsoft.com/office/drawing/2014/main" id="{00000000-0008-0000-0800-0000F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2" name="Text Box 194">
          <a:extLst>
            <a:ext uri="{FF2B5EF4-FFF2-40B4-BE49-F238E27FC236}">
              <a16:creationId xmlns:a16="http://schemas.microsoft.com/office/drawing/2014/main" id="{00000000-0008-0000-0800-00000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3" name="Text Box 195">
          <a:extLst>
            <a:ext uri="{FF2B5EF4-FFF2-40B4-BE49-F238E27FC236}">
              <a16:creationId xmlns:a16="http://schemas.microsoft.com/office/drawing/2014/main" id="{00000000-0008-0000-0800-00000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4" name="Text Box 196">
          <a:extLst>
            <a:ext uri="{FF2B5EF4-FFF2-40B4-BE49-F238E27FC236}">
              <a16:creationId xmlns:a16="http://schemas.microsoft.com/office/drawing/2014/main" id="{00000000-0008-0000-0800-00000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5" name="Text Box 197">
          <a:extLst>
            <a:ext uri="{FF2B5EF4-FFF2-40B4-BE49-F238E27FC236}">
              <a16:creationId xmlns:a16="http://schemas.microsoft.com/office/drawing/2014/main" id="{00000000-0008-0000-0800-00000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6" name="Text Box 198">
          <a:extLst>
            <a:ext uri="{FF2B5EF4-FFF2-40B4-BE49-F238E27FC236}">
              <a16:creationId xmlns:a16="http://schemas.microsoft.com/office/drawing/2014/main" id="{00000000-0008-0000-0800-00000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7" name="Text Box 199">
          <a:extLst>
            <a:ext uri="{FF2B5EF4-FFF2-40B4-BE49-F238E27FC236}">
              <a16:creationId xmlns:a16="http://schemas.microsoft.com/office/drawing/2014/main" id="{00000000-0008-0000-0800-00000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8" name="Text Box 200">
          <a:extLst>
            <a:ext uri="{FF2B5EF4-FFF2-40B4-BE49-F238E27FC236}">
              <a16:creationId xmlns:a16="http://schemas.microsoft.com/office/drawing/2014/main" id="{00000000-0008-0000-0800-00000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9" name="Text Box 201">
          <a:extLst>
            <a:ext uri="{FF2B5EF4-FFF2-40B4-BE49-F238E27FC236}">
              <a16:creationId xmlns:a16="http://schemas.microsoft.com/office/drawing/2014/main" id="{00000000-0008-0000-0800-00000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20" name="Text Box 202">
          <a:extLst>
            <a:ext uri="{FF2B5EF4-FFF2-40B4-BE49-F238E27FC236}">
              <a16:creationId xmlns:a16="http://schemas.microsoft.com/office/drawing/2014/main" id="{00000000-0008-0000-0800-00000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1" name="Text Box 203">
          <a:extLst>
            <a:ext uri="{FF2B5EF4-FFF2-40B4-BE49-F238E27FC236}">
              <a16:creationId xmlns:a16="http://schemas.microsoft.com/office/drawing/2014/main" id="{00000000-0008-0000-0800-00000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2" name="Text Box 204">
          <a:extLst>
            <a:ext uri="{FF2B5EF4-FFF2-40B4-BE49-F238E27FC236}">
              <a16:creationId xmlns:a16="http://schemas.microsoft.com/office/drawing/2014/main" id="{00000000-0008-0000-0800-00000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3" name="Text Box 205">
          <a:extLst>
            <a:ext uri="{FF2B5EF4-FFF2-40B4-BE49-F238E27FC236}">
              <a16:creationId xmlns:a16="http://schemas.microsoft.com/office/drawing/2014/main" id="{00000000-0008-0000-0800-00000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4" name="Text Box 206">
          <a:extLst>
            <a:ext uri="{FF2B5EF4-FFF2-40B4-BE49-F238E27FC236}">
              <a16:creationId xmlns:a16="http://schemas.microsoft.com/office/drawing/2014/main" id="{00000000-0008-0000-0800-00000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5" name="Text Box 207">
          <a:extLst>
            <a:ext uri="{FF2B5EF4-FFF2-40B4-BE49-F238E27FC236}">
              <a16:creationId xmlns:a16="http://schemas.microsoft.com/office/drawing/2014/main" id="{00000000-0008-0000-0800-00000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6" name="Text Box 208">
          <a:extLst>
            <a:ext uri="{FF2B5EF4-FFF2-40B4-BE49-F238E27FC236}">
              <a16:creationId xmlns:a16="http://schemas.microsoft.com/office/drawing/2014/main" id="{00000000-0008-0000-0800-00000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7" name="Text Box 209">
          <a:extLst>
            <a:ext uri="{FF2B5EF4-FFF2-40B4-BE49-F238E27FC236}">
              <a16:creationId xmlns:a16="http://schemas.microsoft.com/office/drawing/2014/main" id="{00000000-0008-0000-0800-00000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8" name="Text Box 210">
          <a:extLst>
            <a:ext uri="{FF2B5EF4-FFF2-40B4-BE49-F238E27FC236}">
              <a16:creationId xmlns:a16="http://schemas.microsoft.com/office/drawing/2014/main" id="{00000000-0008-0000-0800-00001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9" name="Text Box 211">
          <a:extLst>
            <a:ext uri="{FF2B5EF4-FFF2-40B4-BE49-F238E27FC236}">
              <a16:creationId xmlns:a16="http://schemas.microsoft.com/office/drawing/2014/main" id="{00000000-0008-0000-0800-00001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0" name="Text Box 212">
          <a:extLst>
            <a:ext uri="{FF2B5EF4-FFF2-40B4-BE49-F238E27FC236}">
              <a16:creationId xmlns:a16="http://schemas.microsoft.com/office/drawing/2014/main" id="{00000000-0008-0000-0800-00001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1" name="Text Box 213">
          <a:extLst>
            <a:ext uri="{FF2B5EF4-FFF2-40B4-BE49-F238E27FC236}">
              <a16:creationId xmlns:a16="http://schemas.microsoft.com/office/drawing/2014/main" id="{00000000-0008-0000-0800-00001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2" name="Text Box 214">
          <a:extLst>
            <a:ext uri="{FF2B5EF4-FFF2-40B4-BE49-F238E27FC236}">
              <a16:creationId xmlns:a16="http://schemas.microsoft.com/office/drawing/2014/main" id="{00000000-0008-0000-0800-00001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3" name="Text Box 215">
          <a:extLst>
            <a:ext uri="{FF2B5EF4-FFF2-40B4-BE49-F238E27FC236}">
              <a16:creationId xmlns:a16="http://schemas.microsoft.com/office/drawing/2014/main" id="{00000000-0008-0000-0800-00001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4" name="Text Box 216">
          <a:extLst>
            <a:ext uri="{FF2B5EF4-FFF2-40B4-BE49-F238E27FC236}">
              <a16:creationId xmlns:a16="http://schemas.microsoft.com/office/drawing/2014/main" id="{00000000-0008-0000-0800-00001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5" name="Text Box 217">
          <a:extLst>
            <a:ext uri="{FF2B5EF4-FFF2-40B4-BE49-F238E27FC236}">
              <a16:creationId xmlns:a16="http://schemas.microsoft.com/office/drawing/2014/main" id="{00000000-0008-0000-0800-00001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6" name="Text Box 218">
          <a:extLst>
            <a:ext uri="{FF2B5EF4-FFF2-40B4-BE49-F238E27FC236}">
              <a16:creationId xmlns:a16="http://schemas.microsoft.com/office/drawing/2014/main" id="{00000000-0008-0000-0800-00001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7" name="Text Box 219">
          <a:extLst>
            <a:ext uri="{FF2B5EF4-FFF2-40B4-BE49-F238E27FC236}">
              <a16:creationId xmlns:a16="http://schemas.microsoft.com/office/drawing/2014/main" id="{00000000-0008-0000-0800-00001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8" name="Text Box 220">
          <a:extLst>
            <a:ext uri="{FF2B5EF4-FFF2-40B4-BE49-F238E27FC236}">
              <a16:creationId xmlns:a16="http://schemas.microsoft.com/office/drawing/2014/main" id="{00000000-0008-0000-0800-00001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9" name="Text Box 221">
          <a:extLst>
            <a:ext uri="{FF2B5EF4-FFF2-40B4-BE49-F238E27FC236}">
              <a16:creationId xmlns:a16="http://schemas.microsoft.com/office/drawing/2014/main" id="{00000000-0008-0000-0800-00001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0" name="Text Box 222">
          <a:extLst>
            <a:ext uri="{FF2B5EF4-FFF2-40B4-BE49-F238E27FC236}">
              <a16:creationId xmlns:a16="http://schemas.microsoft.com/office/drawing/2014/main" id="{00000000-0008-0000-0800-00001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1" name="Text Box 223">
          <a:extLst>
            <a:ext uri="{FF2B5EF4-FFF2-40B4-BE49-F238E27FC236}">
              <a16:creationId xmlns:a16="http://schemas.microsoft.com/office/drawing/2014/main" id="{00000000-0008-0000-0800-00001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2" name="Text Box 224">
          <a:extLst>
            <a:ext uri="{FF2B5EF4-FFF2-40B4-BE49-F238E27FC236}">
              <a16:creationId xmlns:a16="http://schemas.microsoft.com/office/drawing/2014/main" id="{00000000-0008-0000-0800-00001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3" name="Text Box 225">
          <a:extLst>
            <a:ext uri="{FF2B5EF4-FFF2-40B4-BE49-F238E27FC236}">
              <a16:creationId xmlns:a16="http://schemas.microsoft.com/office/drawing/2014/main" id="{00000000-0008-0000-0800-00001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4" name="Text Box 226">
          <a:extLst>
            <a:ext uri="{FF2B5EF4-FFF2-40B4-BE49-F238E27FC236}">
              <a16:creationId xmlns:a16="http://schemas.microsoft.com/office/drawing/2014/main" id="{00000000-0008-0000-0800-00002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5" name="Text Box 227">
          <a:extLst>
            <a:ext uri="{FF2B5EF4-FFF2-40B4-BE49-F238E27FC236}">
              <a16:creationId xmlns:a16="http://schemas.microsoft.com/office/drawing/2014/main" id="{00000000-0008-0000-0800-00002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6" name="Text Box 228">
          <a:extLst>
            <a:ext uri="{FF2B5EF4-FFF2-40B4-BE49-F238E27FC236}">
              <a16:creationId xmlns:a16="http://schemas.microsoft.com/office/drawing/2014/main" id="{00000000-0008-0000-0800-00002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7" name="Text Box 229">
          <a:extLst>
            <a:ext uri="{FF2B5EF4-FFF2-40B4-BE49-F238E27FC236}">
              <a16:creationId xmlns:a16="http://schemas.microsoft.com/office/drawing/2014/main" id="{00000000-0008-0000-0800-00002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8" name="Text Box 230">
          <a:extLst>
            <a:ext uri="{FF2B5EF4-FFF2-40B4-BE49-F238E27FC236}">
              <a16:creationId xmlns:a16="http://schemas.microsoft.com/office/drawing/2014/main" id="{00000000-0008-0000-0800-00002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9" name="Text Box 231">
          <a:extLst>
            <a:ext uri="{FF2B5EF4-FFF2-40B4-BE49-F238E27FC236}">
              <a16:creationId xmlns:a16="http://schemas.microsoft.com/office/drawing/2014/main" id="{00000000-0008-0000-0800-00002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0" name="Text Box 232">
          <a:extLst>
            <a:ext uri="{FF2B5EF4-FFF2-40B4-BE49-F238E27FC236}">
              <a16:creationId xmlns:a16="http://schemas.microsoft.com/office/drawing/2014/main" id="{00000000-0008-0000-0800-00002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1" name="Text Box 233">
          <a:extLst>
            <a:ext uri="{FF2B5EF4-FFF2-40B4-BE49-F238E27FC236}">
              <a16:creationId xmlns:a16="http://schemas.microsoft.com/office/drawing/2014/main" id="{00000000-0008-0000-0800-00002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2" name="Text Box 234">
          <a:extLst>
            <a:ext uri="{FF2B5EF4-FFF2-40B4-BE49-F238E27FC236}">
              <a16:creationId xmlns:a16="http://schemas.microsoft.com/office/drawing/2014/main" id="{00000000-0008-0000-0800-00002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3" name="Text Box 235">
          <a:extLst>
            <a:ext uri="{FF2B5EF4-FFF2-40B4-BE49-F238E27FC236}">
              <a16:creationId xmlns:a16="http://schemas.microsoft.com/office/drawing/2014/main" id="{00000000-0008-0000-0800-00002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4" name="Text Box 236">
          <a:extLst>
            <a:ext uri="{FF2B5EF4-FFF2-40B4-BE49-F238E27FC236}">
              <a16:creationId xmlns:a16="http://schemas.microsoft.com/office/drawing/2014/main" id="{00000000-0008-0000-0800-00002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5" name="Text Box 237">
          <a:extLst>
            <a:ext uri="{FF2B5EF4-FFF2-40B4-BE49-F238E27FC236}">
              <a16:creationId xmlns:a16="http://schemas.microsoft.com/office/drawing/2014/main" id="{00000000-0008-0000-0800-00002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6" name="Text Box 238">
          <a:extLst>
            <a:ext uri="{FF2B5EF4-FFF2-40B4-BE49-F238E27FC236}">
              <a16:creationId xmlns:a16="http://schemas.microsoft.com/office/drawing/2014/main" id="{00000000-0008-0000-0800-00002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7" name="Text Box 239">
          <a:extLst>
            <a:ext uri="{FF2B5EF4-FFF2-40B4-BE49-F238E27FC236}">
              <a16:creationId xmlns:a16="http://schemas.microsoft.com/office/drawing/2014/main" id="{00000000-0008-0000-0800-00002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8" name="Text Box 240">
          <a:extLst>
            <a:ext uri="{FF2B5EF4-FFF2-40B4-BE49-F238E27FC236}">
              <a16:creationId xmlns:a16="http://schemas.microsoft.com/office/drawing/2014/main" id="{00000000-0008-0000-0800-00002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9" name="Text Box 241">
          <a:extLst>
            <a:ext uri="{FF2B5EF4-FFF2-40B4-BE49-F238E27FC236}">
              <a16:creationId xmlns:a16="http://schemas.microsoft.com/office/drawing/2014/main" id="{00000000-0008-0000-0800-00002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0" name="Text Box 242">
          <a:extLst>
            <a:ext uri="{FF2B5EF4-FFF2-40B4-BE49-F238E27FC236}">
              <a16:creationId xmlns:a16="http://schemas.microsoft.com/office/drawing/2014/main" id="{00000000-0008-0000-0800-00003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1" name="Text Box 243">
          <a:extLst>
            <a:ext uri="{FF2B5EF4-FFF2-40B4-BE49-F238E27FC236}">
              <a16:creationId xmlns:a16="http://schemas.microsoft.com/office/drawing/2014/main" id="{00000000-0008-0000-0800-00003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2" name="Text Box 244">
          <a:extLst>
            <a:ext uri="{FF2B5EF4-FFF2-40B4-BE49-F238E27FC236}">
              <a16:creationId xmlns:a16="http://schemas.microsoft.com/office/drawing/2014/main" id="{00000000-0008-0000-0800-00003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3" name="Text Box 245">
          <a:extLst>
            <a:ext uri="{FF2B5EF4-FFF2-40B4-BE49-F238E27FC236}">
              <a16:creationId xmlns:a16="http://schemas.microsoft.com/office/drawing/2014/main" id="{00000000-0008-0000-0800-00003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4" name="Text Box 246">
          <a:extLst>
            <a:ext uri="{FF2B5EF4-FFF2-40B4-BE49-F238E27FC236}">
              <a16:creationId xmlns:a16="http://schemas.microsoft.com/office/drawing/2014/main" id="{00000000-0008-0000-0800-00003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5" name="Text Box 247">
          <a:extLst>
            <a:ext uri="{FF2B5EF4-FFF2-40B4-BE49-F238E27FC236}">
              <a16:creationId xmlns:a16="http://schemas.microsoft.com/office/drawing/2014/main" id="{00000000-0008-0000-0800-00003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6" name="Text Box 248">
          <a:extLst>
            <a:ext uri="{FF2B5EF4-FFF2-40B4-BE49-F238E27FC236}">
              <a16:creationId xmlns:a16="http://schemas.microsoft.com/office/drawing/2014/main" id="{00000000-0008-0000-0800-00003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7" name="Text Box 249">
          <a:extLst>
            <a:ext uri="{FF2B5EF4-FFF2-40B4-BE49-F238E27FC236}">
              <a16:creationId xmlns:a16="http://schemas.microsoft.com/office/drawing/2014/main" id="{00000000-0008-0000-0800-00003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8" name="Text Box 250">
          <a:extLst>
            <a:ext uri="{FF2B5EF4-FFF2-40B4-BE49-F238E27FC236}">
              <a16:creationId xmlns:a16="http://schemas.microsoft.com/office/drawing/2014/main" id="{00000000-0008-0000-0800-00003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9" name="Text Box 251">
          <a:extLst>
            <a:ext uri="{FF2B5EF4-FFF2-40B4-BE49-F238E27FC236}">
              <a16:creationId xmlns:a16="http://schemas.microsoft.com/office/drawing/2014/main" id="{00000000-0008-0000-0800-00003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0" name="Text Box 252">
          <a:extLst>
            <a:ext uri="{FF2B5EF4-FFF2-40B4-BE49-F238E27FC236}">
              <a16:creationId xmlns:a16="http://schemas.microsoft.com/office/drawing/2014/main" id="{00000000-0008-0000-0800-00003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1" name="Text Box 253">
          <a:extLst>
            <a:ext uri="{FF2B5EF4-FFF2-40B4-BE49-F238E27FC236}">
              <a16:creationId xmlns:a16="http://schemas.microsoft.com/office/drawing/2014/main" id="{00000000-0008-0000-0800-00003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2" name="Text Box 254">
          <a:extLst>
            <a:ext uri="{FF2B5EF4-FFF2-40B4-BE49-F238E27FC236}">
              <a16:creationId xmlns:a16="http://schemas.microsoft.com/office/drawing/2014/main" id="{00000000-0008-0000-0800-00003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3" name="Text Box 255">
          <a:extLst>
            <a:ext uri="{FF2B5EF4-FFF2-40B4-BE49-F238E27FC236}">
              <a16:creationId xmlns:a16="http://schemas.microsoft.com/office/drawing/2014/main" id="{00000000-0008-0000-0800-00003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4" name="Text Box 256">
          <a:extLst>
            <a:ext uri="{FF2B5EF4-FFF2-40B4-BE49-F238E27FC236}">
              <a16:creationId xmlns:a16="http://schemas.microsoft.com/office/drawing/2014/main" id="{00000000-0008-0000-0800-00003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5" name="Text Box 257">
          <a:extLst>
            <a:ext uri="{FF2B5EF4-FFF2-40B4-BE49-F238E27FC236}">
              <a16:creationId xmlns:a16="http://schemas.microsoft.com/office/drawing/2014/main" id="{00000000-0008-0000-0800-00003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6" name="Text Box 258">
          <a:extLst>
            <a:ext uri="{FF2B5EF4-FFF2-40B4-BE49-F238E27FC236}">
              <a16:creationId xmlns:a16="http://schemas.microsoft.com/office/drawing/2014/main" id="{00000000-0008-0000-0800-00004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7" name="Text Box 259">
          <a:extLst>
            <a:ext uri="{FF2B5EF4-FFF2-40B4-BE49-F238E27FC236}">
              <a16:creationId xmlns:a16="http://schemas.microsoft.com/office/drawing/2014/main" id="{00000000-0008-0000-0800-00004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8" name="Text Box 260">
          <a:extLst>
            <a:ext uri="{FF2B5EF4-FFF2-40B4-BE49-F238E27FC236}">
              <a16:creationId xmlns:a16="http://schemas.microsoft.com/office/drawing/2014/main" id="{00000000-0008-0000-0800-00004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9" name="Text Box 261">
          <a:extLst>
            <a:ext uri="{FF2B5EF4-FFF2-40B4-BE49-F238E27FC236}">
              <a16:creationId xmlns:a16="http://schemas.microsoft.com/office/drawing/2014/main" id="{00000000-0008-0000-0800-00004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0" name="Text Box 262">
          <a:extLst>
            <a:ext uri="{FF2B5EF4-FFF2-40B4-BE49-F238E27FC236}">
              <a16:creationId xmlns:a16="http://schemas.microsoft.com/office/drawing/2014/main" id="{00000000-0008-0000-0800-00004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1" name="Text Box 263">
          <a:extLst>
            <a:ext uri="{FF2B5EF4-FFF2-40B4-BE49-F238E27FC236}">
              <a16:creationId xmlns:a16="http://schemas.microsoft.com/office/drawing/2014/main" id="{00000000-0008-0000-0800-00004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2" name="Text Box 264">
          <a:extLst>
            <a:ext uri="{FF2B5EF4-FFF2-40B4-BE49-F238E27FC236}">
              <a16:creationId xmlns:a16="http://schemas.microsoft.com/office/drawing/2014/main" id="{00000000-0008-0000-0800-00004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3" name="Text Box 265">
          <a:extLst>
            <a:ext uri="{FF2B5EF4-FFF2-40B4-BE49-F238E27FC236}">
              <a16:creationId xmlns:a16="http://schemas.microsoft.com/office/drawing/2014/main" id="{00000000-0008-0000-0800-00004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4" name="Text Box 266">
          <a:extLst>
            <a:ext uri="{FF2B5EF4-FFF2-40B4-BE49-F238E27FC236}">
              <a16:creationId xmlns:a16="http://schemas.microsoft.com/office/drawing/2014/main" id="{00000000-0008-0000-0800-00004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5" name="Text Box 267">
          <a:extLst>
            <a:ext uri="{FF2B5EF4-FFF2-40B4-BE49-F238E27FC236}">
              <a16:creationId xmlns:a16="http://schemas.microsoft.com/office/drawing/2014/main" id="{00000000-0008-0000-0800-00004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6" name="Text Box 268">
          <a:extLst>
            <a:ext uri="{FF2B5EF4-FFF2-40B4-BE49-F238E27FC236}">
              <a16:creationId xmlns:a16="http://schemas.microsoft.com/office/drawing/2014/main" id="{00000000-0008-0000-0800-00004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7" name="Text Box 269">
          <a:extLst>
            <a:ext uri="{FF2B5EF4-FFF2-40B4-BE49-F238E27FC236}">
              <a16:creationId xmlns:a16="http://schemas.microsoft.com/office/drawing/2014/main" id="{00000000-0008-0000-0800-00004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8" name="Text Box 270">
          <a:extLst>
            <a:ext uri="{FF2B5EF4-FFF2-40B4-BE49-F238E27FC236}">
              <a16:creationId xmlns:a16="http://schemas.microsoft.com/office/drawing/2014/main" id="{00000000-0008-0000-0800-00004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9" name="Text Box 271">
          <a:extLst>
            <a:ext uri="{FF2B5EF4-FFF2-40B4-BE49-F238E27FC236}">
              <a16:creationId xmlns:a16="http://schemas.microsoft.com/office/drawing/2014/main" id="{00000000-0008-0000-0800-00004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0" name="Text Box 272">
          <a:extLst>
            <a:ext uri="{FF2B5EF4-FFF2-40B4-BE49-F238E27FC236}">
              <a16:creationId xmlns:a16="http://schemas.microsoft.com/office/drawing/2014/main" id="{00000000-0008-0000-0800-00004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1" name="Text Box 273">
          <a:extLst>
            <a:ext uri="{FF2B5EF4-FFF2-40B4-BE49-F238E27FC236}">
              <a16:creationId xmlns:a16="http://schemas.microsoft.com/office/drawing/2014/main" id="{00000000-0008-0000-0800-00004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2" name="Text Box 274">
          <a:extLst>
            <a:ext uri="{FF2B5EF4-FFF2-40B4-BE49-F238E27FC236}">
              <a16:creationId xmlns:a16="http://schemas.microsoft.com/office/drawing/2014/main" id="{00000000-0008-0000-0800-00005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3" name="Text Box 275">
          <a:extLst>
            <a:ext uri="{FF2B5EF4-FFF2-40B4-BE49-F238E27FC236}">
              <a16:creationId xmlns:a16="http://schemas.microsoft.com/office/drawing/2014/main" id="{00000000-0008-0000-0800-00005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4" name="Text Box 276">
          <a:extLst>
            <a:ext uri="{FF2B5EF4-FFF2-40B4-BE49-F238E27FC236}">
              <a16:creationId xmlns:a16="http://schemas.microsoft.com/office/drawing/2014/main" id="{00000000-0008-0000-0800-00005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5" name="Text Box 277">
          <a:extLst>
            <a:ext uri="{FF2B5EF4-FFF2-40B4-BE49-F238E27FC236}">
              <a16:creationId xmlns:a16="http://schemas.microsoft.com/office/drawing/2014/main" id="{00000000-0008-0000-0800-00005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6" name="Text Box 278">
          <a:extLst>
            <a:ext uri="{FF2B5EF4-FFF2-40B4-BE49-F238E27FC236}">
              <a16:creationId xmlns:a16="http://schemas.microsoft.com/office/drawing/2014/main" id="{00000000-0008-0000-0800-00005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7" name="Text Box 279">
          <a:extLst>
            <a:ext uri="{FF2B5EF4-FFF2-40B4-BE49-F238E27FC236}">
              <a16:creationId xmlns:a16="http://schemas.microsoft.com/office/drawing/2014/main" id="{00000000-0008-0000-0800-00005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8" name="Text Box 280">
          <a:extLst>
            <a:ext uri="{FF2B5EF4-FFF2-40B4-BE49-F238E27FC236}">
              <a16:creationId xmlns:a16="http://schemas.microsoft.com/office/drawing/2014/main" id="{00000000-0008-0000-0800-00005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9" name="Text Box 281">
          <a:extLst>
            <a:ext uri="{FF2B5EF4-FFF2-40B4-BE49-F238E27FC236}">
              <a16:creationId xmlns:a16="http://schemas.microsoft.com/office/drawing/2014/main" id="{00000000-0008-0000-0800-00005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0" name="Text Box 282">
          <a:extLst>
            <a:ext uri="{FF2B5EF4-FFF2-40B4-BE49-F238E27FC236}">
              <a16:creationId xmlns:a16="http://schemas.microsoft.com/office/drawing/2014/main" id="{00000000-0008-0000-0800-00005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1" name="Text Box 283">
          <a:extLst>
            <a:ext uri="{FF2B5EF4-FFF2-40B4-BE49-F238E27FC236}">
              <a16:creationId xmlns:a16="http://schemas.microsoft.com/office/drawing/2014/main" id="{00000000-0008-0000-0800-00005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2" name="Text Box 284">
          <a:extLst>
            <a:ext uri="{FF2B5EF4-FFF2-40B4-BE49-F238E27FC236}">
              <a16:creationId xmlns:a16="http://schemas.microsoft.com/office/drawing/2014/main" id="{00000000-0008-0000-0800-00005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3" name="Text Box 285">
          <a:extLst>
            <a:ext uri="{FF2B5EF4-FFF2-40B4-BE49-F238E27FC236}">
              <a16:creationId xmlns:a16="http://schemas.microsoft.com/office/drawing/2014/main" id="{00000000-0008-0000-0800-00005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4" name="Text Box 286">
          <a:extLst>
            <a:ext uri="{FF2B5EF4-FFF2-40B4-BE49-F238E27FC236}">
              <a16:creationId xmlns:a16="http://schemas.microsoft.com/office/drawing/2014/main" id="{00000000-0008-0000-0800-00005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5" name="Text Box 287">
          <a:extLst>
            <a:ext uri="{FF2B5EF4-FFF2-40B4-BE49-F238E27FC236}">
              <a16:creationId xmlns:a16="http://schemas.microsoft.com/office/drawing/2014/main" id="{00000000-0008-0000-0800-00005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6" name="Text Box 288">
          <a:extLst>
            <a:ext uri="{FF2B5EF4-FFF2-40B4-BE49-F238E27FC236}">
              <a16:creationId xmlns:a16="http://schemas.microsoft.com/office/drawing/2014/main" id="{00000000-0008-0000-0800-00005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7" name="Text Box 289">
          <a:extLst>
            <a:ext uri="{FF2B5EF4-FFF2-40B4-BE49-F238E27FC236}">
              <a16:creationId xmlns:a16="http://schemas.microsoft.com/office/drawing/2014/main" id="{00000000-0008-0000-0800-00005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8" name="Text Box 290">
          <a:extLst>
            <a:ext uri="{FF2B5EF4-FFF2-40B4-BE49-F238E27FC236}">
              <a16:creationId xmlns:a16="http://schemas.microsoft.com/office/drawing/2014/main" id="{00000000-0008-0000-0800-00006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9" name="Text Box 291">
          <a:extLst>
            <a:ext uri="{FF2B5EF4-FFF2-40B4-BE49-F238E27FC236}">
              <a16:creationId xmlns:a16="http://schemas.microsoft.com/office/drawing/2014/main" id="{00000000-0008-0000-0800-00006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0" name="Text Box 292">
          <a:extLst>
            <a:ext uri="{FF2B5EF4-FFF2-40B4-BE49-F238E27FC236}">
              <a16:creationId xmlns:a16="http://schemas.microsoft.com/office/drawing/2014/main" id="{00000000-0008-0000-0800-00006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1" name="Text Box 293">
          <a:extLst>
            <a:ext uri="{FF2B5EF4-FFF2-40B4-BE49-F238E27FC236}">
              <a16:creationId xmlns:a16="http://schemas.microsoft.com/office/drawing/2014/main" id="{00000000-0008-0000-0800-00006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2" name="Text Box 294">
          <a:extLst>
            <a:ext uri="{FF2B5EF4-FFF2-40B4-BE49-F238E27FC236}">
              <a16:creationId xmlns:a16="http://schemas.microsoft.com/office/drawing/2014/main" id="{00000000-0008-0000-0800-00006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3" name="Text Box 295">
          <a:extLst>
            <a:ext uri="{FF2B5EF4-FFF2-40B4-BE49-F238E27FC236}">
              <a16:creationId xmlns:a16="http://schemas.microsoft.com/office/drawing/2014/main" id="{00000000-0008-0000-0800-00006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4" name="Text Box 296">
          <a:extLst>
            <a:ext uri="{FF2B5EF4-FFF2-40B4-BE49-F238E27FC236}">
              <a16:creationId xmlns:a16="http://schemas.microsoft.com/office/drawing/2014/main" id="{00000000-0008-0000-0800-00006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5" name="Text Box 297">
          <a:extLst>
            <a:ext uri="{FF2B5EF4-FFF2-40B4-BE49-F238E27FC236}">
              <a16:creationId xmlns:a16="http://schemas.microsoft.com/office/drawing/2014/main" id="{00000000-0008-0000-0800-00006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6" name="Text Box 298">
          <a:extLst>
            <a:ext uri="{FF2B5EF4-FFF2-40B4-BE49-F238E27FC236}">
              <a16:creationId xmlns:a16="http://schemas.microsoft.com/office/drawing/2014/main" id="{00000000-0008-0000-0800-00006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7" name="Text Box 299">
          <a:extLst>
            <a:ext uri="{FF2B5EF4-FFF2-40B4-BE49-F238E27FC236}">
              <a16:creationId xmlns:a16="http://schemas.microsoft.com/office/drawing/2014/main" id="{00000000-0008-0000-0800-00006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8" name="Text Box 300">
          <a:extLst>
            <a:ext uri="{FF2B5EF4-FFF2-40B4-BE49-F238E27FC236}">
              <a16:creationId xmlns:a16="http://schemas.microsoft.com/office/drawing/2014/main" id="{00000000-0008-0000-0800-00006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9" name="Text Box 301">
          <a:extLst>
            <a:ext uri="{FF2B5EF4-FFF2-40B4-BE49-F238E27FC236}">
              <a16:creationId xmlns:a16="http://schemas.microsoft.com/office/drawing/2014/main" id="{00000000-0008-0000-0800-00006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0" name="Text Box 302">
          <a:extLst>
            <a:ext uri="{FF2B5EF4-FFF2-40B4-BE49-F238E27FC236}">
              <a16:creationId xmlns:a16="http://schemas.microsoft.com/office/drawing/2014/main" id="{00000000-0008-0000-0800-00006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1" name="Text Box 303">
          <a:extLst>
            <a:ext uri="{FF2B5EF4-FFF2-40B4-BE49-F238E27FC236}">
              <a16:creationId xmlns:a16="http://schemas.microsoft.com/office/drawing/2014/main" id="{00000000-0008-0000-0800-00006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2" name="Text Box 304">
          <a:extLst>
            <a:ext uri="{FF2B5EF4-FFF2-40B4-BE49-F238E27FC236}">
              <a16:creationId xmlns:a16="http://schemas.microsoft.com/office/drawing/2014/main" id="{00000000-0008-0000-0800-00006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3" name="Text Box 305">
          <a:extLst>
            <a:ext uri="{FF2B5EF4-FFF2-40B4-BE49-F238E27FC236}">
              <a16:creationId xmlns:a16="http://schemas.microsoft.com/office/drawing/2014/main" id="{00000000-0008-0000-0800-00006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4" name="Text Box 306">
          <a:extLst>
            <a:ext uri="{FF2B5EF4-FFF2-40B4-BE49-F238E27FC236}">
              <a16:creationId xmlns:a16="http://schemas.microsoft.com/office/drawing/2014/main" id="{00000000-0008-0000-0800-00007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5" name="Text Box 307">
          <a:extLst>
            <a:ext uri="{FF2B5EF4-FFF2-40B4-BE49-F238E27FC236}">
              <a16:creationId xmlns:a16="http://schemas.microsoft.com/office/drawing/2014/main" id="{00000000-0008-0000-0800-00007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6" name="Text Box 308">
          <a:extLst>
            <a:ext uri="{FF2B5EF4-FFF2-40B4-BE49-F238E27FC236}">
              <a16:creationId xmlns:a16="http://schemas.microsoft.com/office/drawing/2014/main" id="{00000000-0008-0000-0800-00007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7" name="Text Box 309">
          <a:extLst>
            <a:ext uri="{FF2B5EF4-FFF2-40B4-BE49-F238E27FC236}">
              <a16:creationId xmlns:a16="http://schemas.microsoft.com/office/drawing/2014/main" id="{00000000-0008-0000-0800-00007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8" name="Text Box 310">
          <a:extLst>
            <a:ext uri="{FF2B5EF4-FFF2-40B4-BE49-F238E27FC236}">
              <a16:creationId xmlns:a16="http://schemas.microsoft.com/office/drawing/2014/main" id="{00000000-0008-0000-0800-00007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9" name="Text Box 311">
          <a:extLst>
            <a:ext uri="{FF2B5EF4-FFF2-40B4-BE49-F238E27FC236}">
              <a16:creationId xmlns:a16="http://schemas.microsoft.com/office/drawing/2014/main" id="{00000000-0008-0000-0800-00007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0" name="Text Box 312">
          <a:extLst>
            <a:ext uri="{FF2B5EF4-FFF2-40B4-BE49-F238E27FC236}">
              <a16:creationId xmlns:a16="http://schemas.microsoft.com/office/drawing/2014/main" id="{00000000-0008-0000-0800-00007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1" name="Text Box 313">
          <a:extLst>
            <a:ext uri="{FF2B5EF4-FFF2-40B4-BE49-F238E27FC236}">
              <a16:creationId xmlns:a16="http://schemas.microsoft.com/office/drawing/2014/main" id="{00000000-0008-0000-0800-00007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2" name="Text Box 314">
          <a:extLst>
            <a:ext uri="{FF2B5EF4-FFF2-40B4-BE49-F238E27FC236}">
              <a16:creationId xmlns:a16="http://schemas.microsoft.com/office/drawing/2014/main" id="{00000000-0008-0000-0800-00007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3" name="Text Box 315">
          <a:extLst>
            <a:ext uri="{FF2B5EF4-FFF2-40B4-BE49-F238E27FC236}">
              <a16:creationId xmlns:a16="http://schemas.microsoft.com/office/drawing/2014/main" id="{00000000-0008-0000-0800-00007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4" name="Text Box 316">
          <a:extLst>
            <a:ext uri="{FF2B5EF4-FFF2-40B4-BE49-F238E27FC236}">
              <a16:creationId xmlns:a16="http://schemas.microsoft.com/office/drawing/2014/main" id="{00000000-0008-0000-0800-00007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5" name="Text Box 317">
          <a:extLst>
            <a:ext uri="{FF2B5EF4-FFF2-40B4-BE49-F238E27FC236}">
              <a16:creationId xmlns:a16="http://schemas.microsoft.com/office/drawing/2014/main" id="{00000000-0008-0000-0800-00007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6" name="Text Box 318">
          <a:extLst>
            <a:ext uri="{FF2B5EF4-FFF2-40B4-BE49-F238E27FC236}">
              <a16:creationId xmlns:a16="http://schemas.microsoft.com/office/drawing/2014/main" id="{00000000-0008-0000-0800-00007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7" name="Text Box 319">
          <a:extLst>
            <a:ext uri="{FF2B5EF4-FFF2-40B4-BE49-F238E27FC236}">
              <a16:creationId xmlns:a16="http://schemas.microsoft.com/office/drawing/2014/main" id="{00000000-0008-0000-0800-00007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8" name="Text Box 320">
          <a:extLst>
            <a:ext uri="{FF2B5EF4-FFF2-40B4-BE49-F238E27FC236}">
              <a16:creationId xmlns:a16="http://schemas.microsoft.com/office/drawing/2014/main" id="{00000000-0008-0000-0800-00007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39" name="Text Box 28">
          <a:extLst>
            <a:ext uri="{FF2B5EF4-FFF2-40B4-BE49-F238E27FC236}">
              <a16:creationId xmlns:a16="http://schemas.microsoft.com/office/drawing/2014/main" id="{00000000-0008-0000-0800-00007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0" name="Text Box 29">
          <a:extLst>
            <a:ext uri="{FF2B5EF4-FFF2-40B4-BE49-F238E27FC236}">
              <a16:creationId xmlns:a16="http://schemas.microsoft.com/office/drawing/2014/main" id="{00000000-0008-0000-0800-00008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1" name="Text Box 30">
          <a:extLst>
            <a:ext uri="{FF2B5EF4-FFF2-40B4-BE49-F238E27FC236}">
              <a16:creationId xmlns:a16="http://schemas.microsoft.com/office/drawing/2014/main" id="{00000000-0008-0000-0800-00008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2" name="Text Box 31">
          <a:extLst>
            <a:ext uri="{FF2B5EF4-FFF2-40B4-BE49-F238E27FC236}">
              <a16:creationId xmlns:a16="http://schemas.microsoft.com/office/drawing/2014/main" id="{00000000-0008-0000-0800-00008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3" name="Text Box 32">
          <a:extLst>
            <a:ext uri="{FF2B5EF4-FFF2-40B4-BE49-F238E27FC236}">
              <a16:creationId xmlns:a16="http://schemas.microsoft.com/office/drawing/2014/main" id="{00000000-0008-0000-0800-00008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4" name="Text Box 33">
          <a:extLst>
            <a:ext uri="{FF2B5EF4-FFF2-40B4-BE49-F238E27FC236}">
              <a16:creationId xmlns:a16="http://schemas.microsoft.com/office/drawing/2014/main" id="{00000000-0008-0000-0800-00008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5" name="Text Box 34">
          <a:extLst>
            <a:ext uri="{FF2B5EF4-FFF2-40B4-BE49-F238E27FC236}">
              <a16:creationId xmlns:a16="http://schemas.microsoft.com/office/drawing/2014/main" id="{00000000-0008-0000-0800-00008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6" name="Text Box 35">
          <a:extLst>
            <a:ext uri="{FF2B5EF4-FFF2-40B4-BE49-F238E27FC236}">
              <a16:creationId xmlns:a16="http://schemas.microsoft.com/office/drawing/2014/main" id="{00000000-0008-0000-0800-00008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7" name="Text Box 36">
          <a:extLst>
            <a:ext uri="{FF2B5EF4-FFF2-40B4-BE49-F238E27FC236}">
              <a16:creationId xmlns:a16="http://schemas.microsoft.com/office/drawing/2014/main" id="{00000000-0008-0000-0800-00008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8" name="Text Box 37">
          <a:extLst>
            <a:ext uri="{FF2B5EF4-FFF2-40B4-BE49-F238E27FC236}">
              <a16:creationId xmlns:a16="http://schemas.microsoft.com/office/drawing/2014/main" id="{00000000-0008-0000-0800-00008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9" name="Text Box 38">
          <a:extLst>
            <a:ext uri="{FF2B5EF4-FFF2-40B4-BE49-F238E27FC236}">
              <a16:creationId xmlns:a16="http://schemas.microsoft.com/office/drawing/2014/main" id="{00000000-0008-0000-0800-00008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0" name="Text Box 39">
          <a:extLst>
            <a:ext uri="{FF2B5EF4-FFF2-40B4-BE49-F238E27FC236}">
              <a16:creationId xmlns:a16="http://schemas.microsoft.com/office/drawing/2014/main" id="{00000000-0008-0000-0800-00008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1" name="Text Box 40">
          <a:extLst>
            <a:ext uri="{FF2B5EF4-FFF2-40B4-BE49-F238E27FC236}">
              <a16:creationId xmlns:a16="http://schemas.microsoft.com/office/drawing/2014/main" id="{00000000-0008-0000-0800-00008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2" name="Text Box 41">
          <a:extLst>
            <a:ext uri="{FF2B5EF4-FFF2-40B4-BE49-F238E27FC236}">
              <a16:creationId xmlns:a16="http://schemas.microsoft.com/office/drawing/2014/main" id="{00000000-0008-0000-0800-00008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3" name="Text Box 42">
          <a:extLst>
            <a:ext uri="{FF2B5EF4-FFF2-40B4-BE49-F238E27FC236}">
              <a16:creationId xmlns:a16="http://schemas.microsoft.com/office/drawing/2014/main" id="{00000000-0008-0000-0800-00008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4" name="Text Box 43">
          <a:extLst>
            <a:ext uri="{FF2B5EF4-FFF2-40B4-BE49-F238E27FC236}">
              <a16:creationId xmlns:a16="http://schemas.microsoft.com/office/drawing/2014/main" id="{00000000-0008-0000-0800-00008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5" name="Text Box 44">
          <a:extLst>
            <a:ext uri="{FF2B5EF4-FFF2-40B4-BE49-F238E27FC236}">
              <a16:creationId xmlns:a16="http://schemas.microsoft.com/office/drawing/2014/main" id="{00000000-0008-0000-0800-00008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6" name="Text Box 45">
          <a:extLst>
            <a:ext uri="{FF2B5EF4-FFF2-40B4-BE49-F238E27FC236}">
              <a16:creationId xmlns:a16="http://schemas.microsoft.com/office/drawing/2014/main" id="{00000000-0008-0000-0800-00009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7" name="Text Box 46">
          <a:extLst>
            <a:ext uri="{FF2B5EF4-FFF2-40B4-BE49-F238E27FC236}">
              <a16:creationId xmlns:a16="http://schemas.microsoft.com/office/drawing/2014/main" id="{00000000-0008-0000-0800-00009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8" name="Text Box 47">
          <a:extLst>
            <a:ext uri="{FF2B5EF4-FFF2-40B4-BE49-F238E27FC236}">
              <a16:creationId xmlns:a16="http://schemas.microsoft.com/office/drawing/2014/main" id="{00000000-0008-0000-0800-00009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9" name="Text Box 48">
          <a:extLst>
            <a:ext uri="{FF2B5EF4-FFF2-40B4-BE49-F238E27FC236}">
              <a16:creationId xmlns:a16="http://schemas.microsoft.com/office/drawing/2014/main" id="{00000000-0008-0000-0800-00009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0" name="Text Box 49">
          <a:extLst>
            <a:ext uri="{FF2B5EF4-FFF2-40B4-BE49-F238E27FC236}">
              <a16:creationId xmlns:a16="http://schemas.microsoft.com/office/drawing/2014/main" id="{00000000-0008-0000-0800-00009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1" name="Text Box 50">
          <a:extLst>
            <a:ext uri="{FF2B5EF4-FFF2-40B4-BE49-F238E27FC236}">
              <a16:creationId xmlns:a16="http://schemas.microsoft.com/office/drawing/2014/main" id="{00000000-0008-0000-0800-00009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2" name="Text Box 51">
          <a:extLst>
            <a:ext uri="{FF2B5EF4-FFF2-40B4-BE49-F238E27FC236}">
              <a16:creationId xmlns:a16="http://schemas.microsoft.com/office/drawing/2014/main" id="{00000000-0008-0000-0800-00009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3" name="Text Box 52">
          <a:extLst>
            <a:ext uri="{FF2B5EF4-FFF2-40B4-BE49-F238E27FC236}">
              <a16:creationId xmlns:a16="http://schemas.microsoft.com/office/drawing/2014/main" id="{00000000-0008-0000-0800-00009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4" name="Text Box 53">
          <a:extLst>
            <a:ext uri="{FF2B5EF4-FFF2-40B4-BE49-F238E27FC236}">
              <a16:creationId xmlns:a16="http://schemas.microsoft.com/office/drawing/2014/main" id="{00000000-0008-0000-0800-00009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5" name="Text Box 54">
          <a:extLst>
            <a:ext uri="{FF2B5EF4-FFF2-40B4-BE49-F238E27FC236}">
              <a16:creationId xmlns:a16="http://schemas.microsoft.com/office/drawing/2014/main" id="{00000000-0008-0000-0800-00009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6" name="Text Box 55">
          <a:extLst>
            <a:ext uri="{FF2B5EF4-FFF2-40B4-BE49-F238E27FC236}">
              <a16:creationId xmlns:a16="http://schemas.microsoft.com/office/drawing/2014/main" id="{00000000-0008-0000-0800-00009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7" name="Text Box 56">
          <a:extLst>
            <a:ext uri="{FF2B5EF4-FFF2-40B4-BE49-F238E27FC236}">
              <a16:creationId xmlns:a16="http://schemas.microsoft.com/office/drawing/2014/main" id="{00000000-0008-0000-0800-00009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8" name="Text Box 57">
          <a:extLst>
            <a:ext uri="{FF2B5EF4-FFF2-40B4-BE49-F238E27FC236}">
              <a16:creationId xmlns:a16="http://schemas.microsoft.com/office/drawing/2014/main" id="{00000000-0008-0000-0800-00009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9" name="Text Box 58">
          <a:extLst>
            <a:ext uri="{FF2B5EF4-FFF2-40B4-BE49-F238E27FC236}">
              <a16:creationId xmlns:a16="http://schemas.microsoft.com/office/drawing/2014/main" id="{00000000-0008-0000-0800-00009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0" name="Text Box 59">
          <a:extLst>
            <a:ext uri="{FF2B5EF4-FFF2-40B4-BE49-F238E27FC236}">
              <a16:creationId xmlns:a16="http://schemas.microsoft.com/office/drawing/2014/main" id="{00000000-0008-0000-0800-00009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1" name="Text Box 60">
          <a:extLst>
            <a:ext uri="{FF2B5EF4-FFF2-40B4-BE49-F238E27FC236}">
              <a16:creationId xmlns:a16="http://schemas.microsoft.com/office/drawing/2014/main" id="{00000000-0008-0000-0800-00009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2" name="Text Box 61">
          <a:extLst>
            <a:ext uri="{FF2B5EF4-FFF2-40B4-BE49-F238E27FC236}">
              <a16:creationId xmlns:a16="http://schemas.microsoft.com/office/drawing/2014/main" id="{00000000-0008-0000-0800-0000A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3" name="Text Box 62">
          <a:extLst>
            <a:ext uri="{FF2B5EF4-FFF2-40B4-BE49-F238E27FC236}">
              <a16:creationId xmlns:a16="http://schemas.microsoft.com/office/drawing/2014/main" id="{00000000-0008-0000-0800-0000A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4" name="Text Box 63">
          <a:extLst>
            <a:ext uri="{FF2B5EF4-FFF2-40B4-BE49-F238E27FC236}">
              <a16:creationId xmlns:a16="http://schemas.microsoft.com/office/drawing/2014/main" id="{00000000-0008-0000-0800-0000A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5" name="Text Box 64">
          <a:extLst>
            <a:ext uri="{FF2B5EF4-FFF2-40B4-BE49-F238E27FC236}">
              <a16:creationId xmlns:a16="http://schemas.microsoft.com/office/drawing/2014/main" id="{00000000-0008-0000-0800-0000A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6" name="Text Box 65">
          <a:extLst>
            <a:ext uri="{FF2B5EF4-FFF2-40B4-BE49-F238E27FC236}">
              <a16:creationId xmlns:a16="http://schemas.microsoft.com/office/drawing/2014/main" id="{00000000-0008-0000-0800-0000A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7" name="Text Box 66">
          <a:extLst>
            <a:ext uri="{FF2B5EF4-FFF2-40B4-BE49-F238E27FC236}">
              <a16:creationId xmlns:a16="http://schemas.microsoft.com/office/drawing/2014/main" id="{00000000-0008-0000-0800-0000A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8" name="Text Box 67">
          <a:extLst>
            <a:ext uri="{FF2B5EF4-FFF2-40B4-BE49-F238E27FC236}">
              <a16:creationId xmlns:a16="http://schemas.microsoft.com/office/drawing/2014/main" id="{00000000-0008-0000-0800-0000A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9" name="Text Box 68">
          <a:extLst>
            <a:ext uri="{FF2B5EF4-FFF2-40B4-BE49-F238E27FC236}">
              <a16:creationId xmlns:a16="http://schemas.microsoft.com/office/drawing/2014/main" id="{00000000-0008-0000-0800-0000A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0" name="Text Box 69">
          <a:extLst>
            <a:ext uri="{FF2B5EF4-FFF2-40B4-BE49-F238E27FC236}">
              <a16:creationId xmlns:a16="http://schemas.microsoft.com/office/drawing/2014/main" id="{00000000-0008-0000-0800-0000A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1" name="Text Box 70">
          <a:extLst>
            <a:ext uri="{FF2B5EF4-FFF2-40B4-BE49-F238E27FC236}">
              <a16:creationId xmlns:a16="http://schemas.microsoft.com/office/drawing/2014/main" id="{00000000-0008-0000-0800-0000A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2" name="Text Box 71">
          <a:extLst>
            <a:ext uri="{FF2B5EF4-FFF2-40B4-BE49-F238E27FC236}">
              <a16:creationId xmlns:a16="http://schemas.microsoft.com/office/drawing/2014/main" id="{00000000-0008-0000-0800-0000A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3" name="Text Box 72">
          <a:extLst>
            <a:ext uri="{FF2B5EF4-FFF2-40B4-BE49-F238E27FC236}">
              <a16:creationId xmlns:a16="http://schemas.microsoft.com/office/drawing/2014/main" id="{00000000-0008-0000-0800-0000A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4" name="Text Box 73">
          <a:extLst>
            <a:ext uri="{FF2B5EF4-FFF2-40B4-BE49-F238E27FC236}">
              <a16:creationId xmlns:a16="http://schemas.microsoft.com/office/drawing/2014/main" id="{00000000-0008-0000-0800-0000A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5" name="Text Box 74">
          <a:extLst>
            <a:ext uri="{FF2B5EF4-FFF2-40B4-BE49-F238E27FC236}">
              <a16:creationId xmlns:a16="http://schemas.microsoft.com/office/drawing/2014/main" id="{00000000-0008-0000-0800-0000A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6" name="Text Box 75">
          <a:extLst>
            <a:ext uri="{FF2B5EF4-FFF2-40B4-BE49-F238E27FC236}">
              <a16:creationId xmlns:a16="http://schemas.microsoft.com/office/drawing/2014/main" id="{00000000-0008-0000-0800-0000A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7" name="Text Box 76">
          <a:extLst>
            <a:ext uri="{FF2B5EF4-FFF2-40B4-BE49-F238E27FC236}">
              <a16:creationId xmlns:a16="http://schemas.microsoft.com/office/drawing/2014/main" id="{00000000-0008-0000-0800-0000A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8" name="Text Box 77">
          <a:extLst>
            <a:ext uri="{FF2B5EF4-FFF2-40B4-BE49-F238E27FC236}">
              <a16:creationId xmlns:a16="http://schemas.microsoft.com/office/drawing/2014/main" id="{00000000-0008-0000-0800-0000B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9" name="Text Box 78">
          <a:extLst>
            <a:ext uri="{FF2B5EF4-FFF2-40B4-BE49-F238E27FC236}">
              <a16:creationId xmlns:a16="http://schemas.microsoft.com/office/drawing/2014/main" id="{00000000-0008-0000-0800-0000B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0" name="Text Box 79">
          <a:extLst>
            <a:ext uri="{FF2B5EF4-FFF2-40B4-BE49-F238E27FC236}">
              <a16:creationId xmlns:a16="http://schemas.microsoft.com/office/drawing/2014/main" id="{00000000-0008-0000-0800-0000B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1" name="Text Box 80">
          <a:extLst>
            <a:ext uri="{FF2B5EF4-FFF2-40B4-BE49-F238E27FC236}">
              <a16:creationId xmlns:a16="http://schemas.microsoft.com/office/drawing/2014/main" id="{00000000-0008-0000-0800-0000B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2" name="Text Box 81">
          <a:extLst>
            <a:ext uri="{FF2B5EF4-FFF2-40B4-BE49-F238E27FC236}">
              <a16:creationId xmlns:a16="http://schemas.microsoft.com/office/drawing/2014/main" id="{00000000-0008-0000-0800-0000B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3" name="Text Box 82">
          <a:extLst>
            <a:ext uri="{FF2B5EF4-FFF2-40B4-BE49-F238E27FC236}">
              <a16:creationId xmlns:a16="http://schemas.microsoft.com/office/drawing/2014/main" id="{00000000-0008-0000-0800-0000B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4" name="Text Box 83">
          <a:extLst>
            <a:ext uri="{FF2B5EF4-FFF2-40B4-BE49-F238E27FC236}">
              <a16:creationId xmlns:a16="http://schemas.microsoft.com/office/drawing/2014/main" id="{00000000-0008-0000-0800-0000B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5" name="Text Box 84">
          <a:extLst>
            <a:ext uri="{FF2B5EF4-FFF2-40B4-BE49-F238E27FC236}">
              <a16:creationId xmlns:a16="http://schemas.microsoft.com/office/drawing/2014/main" id="{00000000-0008-0000-0800-0000B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6" name="Text Box 85">
          <a:extLst>
            <a:ext uri="{FF2B5EF4-FFF2-40B4-BE49-F238E27FC236}">
              <a16:creationId xmlns:a16="http://schemas.microsoft.com/office/drawing/2014/main" id="{00000000-0008-0000-0800-0000B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7" name="Text Box 86">
          <a:extLst>
            <a:ext uri="{FF2B5EF4-FFF2-40B4-BE49-F238E27FC236}">
              <a16:creationId xmlns:a16="http://schemas.microsoft.com/office/drawing/2014/main" id="{00000000-0008-0000-0800-0000B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8" name="Text Box 87">
          <a:extLst>
            <a:ext uri="{FF2B5EF4-FFF2-40B4-BE49-F238E27FC236}">
              <a16:creationId xmlns:a16="http://schemas.microsoft.com/office/drawing/2014/main" id="{00000000-0008-0000-0800-0000B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9" name="Text Box 88">
          <a:extLst>
            <a:ext uri="{FF2B5EF4-FFF2-40B4-BE49-F238E27FC236}">
              <a16:creationId xmlns:a16="http://schemas.microsoft.com/office/drawing/2014/main" id="{00000000-0008-0000-0800-0000B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0" name="Text Box 89">
          <a:extLst>
            <a:ext uri="{FF2B5EF4-FFF2-40B4-BE49-F238E27FC236}">
              <a16:creationId xmlns:a16="http://schemas.microsoft.com/office/drawing/2014/main" id="{00000000-0008-0000-0800-0000B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1" name="Text Box 90">
          <a:extLst>
            <a:ext uri="{FF2B5EF4-FFF2-40B4-BE49-F238E27FC236}">
              <a16:creationId xmlns:a16="http://schemas.microsoft.com/office/drawing/2014/main" id="{00000000-0008-0000-0800-0000B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2" name="Text Box 91">
          <a:extLst>
            <a:ext uri="{FF2B5EF4-FFF2-40B4-BE49-F238E27FC236}">
              <a16:creationId xmlns:a16="http://schemas.microsoft.com/office/drawing/2014/main" id="{00000000-0008-0000-0800-0000B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3" name="Text Box 92">
          <a:extLst>
            <a:ext uri="{FF2B5EF4-FFF2-40B4-BE49-F238E27FC236}">
              <a16:creationId xmlns:a16="http://schemas.microsoft.com/office/drawing/2014/main" id="{00000000-0008-0000-0800-0000B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4" name="Text Box 93">
          <a:extLst>
            <a:ext uri="{FF2B5EF4-FFF2-40B4-BE49-F238E27FC236}">
              <a16:creationId xmlns:a16="http://schemas.microsoft.com/office/drawing/2014/main" id="{00000000-0008-0000-0800-0000C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5" name="Text Box 94">
          <a:extLst>
            <a:ext uri="{FF2B5EF4-FFF2-40B4-BE49-F238E27FC236}">
              <a16:creationId xmlns:a16="http://schemas.microsoft.com/office/drawing/2014/main" id="{00000000-0008-0000-0800-0000C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6" name="Text Box 95">
          <a:extLst>
            <a:ext uri="{FF2B5EF4-FFF2-40B4-BE49-F238E27FC236}">
              <a16:creationId xmlns:a16="http://schemas.microsoft.com/office/drawing/2014/main" id="{00000000-0008-0000-0800-0000C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7" name="Text Box 96">
          <a:extLst>
            <a:ext uri="{FF2B5EF4-FFF2-40B4-BE49-F238E27FC236}">
              <a16:creationId xmlns:a16="http://schemas.microsoft.com/office/drawing/2014/main" id="{00000000-0008-0000-0800-0000C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8" name="Text Box 97">
          <a:extLst>
            <a:ext uri="{FF2B5EF4-FFF2-40B4-BE49-F238E27FC236}">
              <a16:creationId xmlns:a16="http://schemas.microsoft.com/office/drawing/2014/main" id="{00000000-0008-0000-0800-0000C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09" name="Text Box 100">
          <a:extLst>
            <a:ext uri="{FF2B5EF4-FFF2-40B4-BE49-F238E27FC236}">
              <a16:creationId xmlns:a16="http://schemas.microsoft.com/office/drawing/2014/main" id="{00000000-0008-0000-0800-0000C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0" name="Text Box 101">
          <a:extLst>
            <a:ext uri="{FF2B5EF4-FFF2-40B4-BE49-F238E27FC236}">
              <a16:creationId xmlns:a16="http://schemas.microsoft.com/office/drawing/2014/main" id="{00000000-0008-0000-0800-0000C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1" name="Text Box 102">
          <a:extLst>
            <a:ext uri="{FF2B5EF4-FFF2-40B4-BE49-F238E27FC236}">
              <a16:creationId xmlns:a16="http://schemas.microsoft.com/office/drawing/2014/main" id="{00000000-0008-0000-0800-0000C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2" name="Text Box 103">
          <a:extLst>
            <a:ext uri="{FF2B5EF4-FFF2-40B4-BE49-F238E27FC236}">
              <a16:creationId xmlns:a16="http://schemas.microsoft.com/office/drawing/2014/main" id="{00000000-0008-0000-0800-0000C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3" name="Text Box 104">
          <a:extLst>
            <a:ext uri="{FF2B5EF4-FFF2-40B4-BE49-F238E27FC236}">
              <a16:creationId xmlns:a16="http://schemas.microsoft.com/office/drawing/2014/main" id="{00000000-0008-0000-0800-0000C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4" name="Text Box 105">
          <a:extLst>
            <a:ext uri="{FF2B5EF4-FFF2-40B4-BE49-F238E27FC236}">
              <a16:creationId xmlns:a16="http://schemas.microsoft.com/office/drawing/2014/main" id="{00000000-0008-0000-0800-0000C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5" name="Text Box 106">
          <a:extLst>
            <a:ext uri="{FF2B5EF4-FFF2-40B4-BE49-F238E27FC236}">
              <a16:creationId xmlns:a16="http://schemas.microsoft.com/office/drawing/2014/main" id="{00000000-0008-0000-0800-0000C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6" name="Text Box 107">
          <a:extLst>
            <a:ext uri="{FF2B5EF4-FFF2-40B4-BE49-F238E27FC236}">
              <a16:creationId xmlns:a16="http://schemas.microsoft.com/office/drawing/2014/main" id="{00000000-0008-0000-0800-0000C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7" name="Text Box 108">
          <a:extLst>
            <a:ext uri="{FF2B5EF4-FFF2-40B4-BE49-F238E27FC236}">
              <a16:creationId xmlns:a16="http://schemas.microsoft.com/office/drawing/2014/main" id="{00000000-0008-0000-0800-0000C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8" name="Text Box 109">
          <a:extLst>
            <a:ext uri="{FF2B5EF4-FFF2-40B4-BE49-F238E27FC236}">
              <a16:creationId xmlns:a16="http://schemas.microsoft.com/office/drawing/2014/main" id="{00000000-0008-0000-0800-0000C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9" name="Text Box 110">
          <a:extLst>
            <a:ext uri="{FF2B5EF4-FFF2-40B4-BE49-F238E27FC236}">
              <a16:creationId xmlns:a16="http://schemas.microsoft.com/office/drawing/2014/main" id="{00000000-0008-0000-0800-0000C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0" name="Text Box 111">
          <a:extLst>
            <a:ext uri="{FF2B5EF4-FFF2-40B4-BE49-F238E27FC236}">
              <a16:creationId xmlns:a16="http://schemas.microsoft.com/office/drawing/2014/main" id="{00000000-0008-0000-0800-0000D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1" name="Text Box 119">
          <a:extLst>
            <a:ext uri="{FF2B5EF4-FFF2-40B4-BE49-F238E27FC236}">
              <a16:creationId xmlns:a16="http://schemas.microsoft.com/office/drawing/2014/main" id="{00000000-0008-0000-0800-0000D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2" name="Text Box 120">
          <a:extLst>
            <a:ext uri="{FF2B5EF4-FFF2-40B4-BE49-F238E27FC236}">
              <a16:creationId xmlns:a16="http://schemas.microsoft.com/office/drawing/2014/main" id="{00000000-0008-0000-0800-0000D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3" name="Text Box 121">
          <a:extLst>
            <a:ext uri="{FF2B5EF4-FFF2-40B4-BE49-F238E27FC236}">
              <a16:creationId xmlns:a16="http://schemas.microsoft.com/office/drawing/2014/main" id="{00000000-0008-0000-0800-0000D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4" name="Text Box 122">
          <a:extLst>
            <a:ext uri="{FF2B5EF4-FFF2-40B4-BE49-F238E27FC236}">
              <a16:creationId xmlns:a16="http://schemas.microsoft.com/office/drawing/2014/main" id="{00000000-0008-0000-0800-0000D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5" name="Text Box 123">
          <a:extLst>
            <a:ext uri="{FF2B5EF4-FFF2-40B4-BE49-F238E27FC236}">
              <a16:creationId xmlns:a16="http://schemas.microsoft.com/office/drawing/2014/main" id="{00000000-0008-0000-0800-0000D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6" name="Text Box 124">
          <a:extLst>
            <a:ext uri="{FF2B5EF4-FFF2-40B4-BE49-F238E27FC236}">
              <a16:creationId xmlns:a16="http://schemas.microsoft.com/office/drawing/2014/main" id="{00000000-0008-0000-0800-0000D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7" name="Text Box 125">
          <a:extLst>
            <a:ext uri="{FF2B5EF4-FFF2-40B4-BE49-F238E27FC236}">
              <a16:creationId xmlns:a16="http://schemas.microsoft.com/office/drawing/2014/main" id="{00000000-0008-0000-0800-0000D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8" name="Text Box 126">
          <a:extLst>
            <a:ext uri="{FF2B5EF4-FFF2-40B4-BE49-F238E27FC236}">
              <a16:creationId xmlns:a16="http://schemas.microsoft.com/office/drawing/2014/main" id="{00000000-0008-0000-0800-0000D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9" name="Text Box 127">
          <a:extLst>
            <a:ext uri="{FF2B5EF4-FFF2-40B4-BE49-F238E27FC236}">
              <a16:creationId xmlns:a16="http://schemas.microsoft.com/office/drawing/2014/main" id="{00000000-0008-0000-0800-0000D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0" name="Text Box 128">
          <a:extLst>
            <a:ext uri="{FF2B5EF4-FFF2-40B4-BE49-F238E27FC236}">
              <a16:creationId xmlns:a16="http://schemas.microsoft.com/office/drawing/2014/main" id="{00000000-0008-0000-0800-0000D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1" name="Text Box 129">
          <a:extLst>
            <a:ext uri="{FF2B5EF4-FFF2-40B4-BE49-F238E27FC236}">
              <a16:creationId xmlns:a16="http://schemas.microsoft.com/office/drawing/2014/main" id="{00000000-0008-0000-0800-0000D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2" name="Text Box 130">
          <a:extLst>
            <a:ext uri="{FF2B5EF4-FFF2-40B4-BE49-F238E27FC236}">
              <a16:creationId xmlns:a16="http://schemas.microsoft.com/office/drawing/2014/main" id="{00000000-0008-0000-0800-0000D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3" name="Text Box 133">
          <a:extLst>
            <a:ext uri="{FF2B5EF4-FFF2-40B4-BE49-F238E27FC236}">
              <a16:creationId xmlns:a16="http://schemas.microsoft.com/office/drawing/2014/main" id="{00000000-0008-0000-0800-0000D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4" name="Text Box 134">
          <a:extLst>
            <a:ext uri="{FF2B5EF4-FFF2-40B4-BE49-F238E27FC236}">
              <a16:creationId xmlns:a16="http://schemas.microsoft.com/office/drawing/2014/main" id="{00000000-0008-0000-0800-0000D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5" name="Text Box 135">
          <a:extLst>
            <a:ext uri="{FF2B5EF4-FFF2-40B4-BE49-F238E27FC236}">
              <a16:creationId xmlns:a16="http://schemas.microsoft.com/office/drawing/2014/main" id="{00000000-0008-0000-0800-0000D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6" name="Text Box 136">
          <a:extLst>
            <a:ext uri="{FF2B5EF4-FFF2-40B4-BE49-F238E27FC236}">
              <a16:creationId xmlns:a16="http://schemas.microsoft.com/office/drawing/2014/main" id="{00000000-0008-0000-0800-0000E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7" name="Text Box 137">
          <a:extLst>
            <a:ext uri="{FF2B5EF4-FFF2-40B4-BE49-F238E27FC236}">
              <a16:creationId xmlns:a16="http://schemas.microsoft.com/office/drawing/2014/main" id="{00000000-0008-0000-0800-0000E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8" name="Text Box 138">
          <a:extLst>
            <a:ext uri="{FF2B5EF4-FFF2-40B4-BE49-F238E27FC236}">
              <a16:creationId xmlns:a16="http://schemas.microsoft.com/office/drawing/2014/main" id="{00000000-0008-0000-0800-0000E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9" name="Text Box 139">
          <a:extLst>
            <a:ext uri="{FF2B5EF4-FFF2-40B4-BE49-F238E27FC236}">
              <a16:creationId xmlns:a16="http://schemas.microsoft.com/office/drawing/2014/main" id="{00000000-0008-0000-0800-0000E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0" name="Text Box 140">
          <a:extLst>
            <a:ext uri="{FF2B5EF4-FFF2-40B4-BE49-F238E27FC236}">
              <a16:creationId xmlns:a16="http://schemas.microsoft.com/office/drawing/2014/main" id="{00000000-0008-0000-0800-0000E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1" name="Text Box 141">
          <a:extLst>
            <a:ext uri="{FF2B5EF4-FFF2-40B4-BE49-F238E27FC236}">
              <a16:creationId xmlns:a16="http://schemas.microsoft.com/office/drawing/2014/main" id="{00000000-0008-0000-0800-0000E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2" name="Text Box 142">
          <a:extLst>
            <a:ext uri="{FF2B5EF4-FFF2-40B4-BE49-F238E27FC236}">
              <a16:creationId xmlns:a16="http://schemas.microsoft.com/office/drawing/2014/main" id="{00000000-0008-0000-0800-0000E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3" name="Text Box 143">
          <a:extLst>
            <a:ext uri="{FF2B5EF4-FFF2-40B4-BE49-F238E27FC236}">
              <a16:creationId xmlns:a16="http://schemas.microsoft.com/office/drawing/2014/main" id="{00000000-0008-0000-0800-0000E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4" name="Text Box 144">
          <a:extLst>
            <a:ext uri="{FF2B5EF4-FFF2-40B4-BE49-F238E27FC236}">
              <a16:creationId xmlns:a16="http://schemas.microsoft.com/office/drawing/2014/main" id="{00000000-0008-0000-0800-0000E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5" name="Text Box 145">
          <a:extLst>
            <a:ext uri="{FF2B5EF4-FFF2-40B4-BE49-F238E27FC236}">
              <a16:creationId xmlns:a16="http://schemas.microsoft.com/office/drawing/2014/main" id="{00000000-0008-0000-0800-0000E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6" name="Text Box 146">
          <a:extLst>
            <a:ext uri="{FF2B5EF4-FFF2-40B4-BE49-F238E27FC236}">
              <a16:creationId xmlns:a16="http://schemas.microsoft.com/office/drawing/2014/main" id="{00000000-0008-0000-0800-0000E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7" name="Text Box 147">
          <a:extLst>
            <a:ext uri="{FF2B5EF4-FFF2-40B4-BE49-F238E27FC236}">
              <a16:creationId xmlns:a16="http://schemas.microsoft.com/office/drawing/2014/main" id="{00000000-0008-0000-0800-0000E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8" name="Text Box 148">
          <a:extLst>
            <a:ext uri="{FF2B5EF4-FFF2-40B4-BE49-F238E27FC236}">
              <a16:creationId xmlns:a16="http://schemas.microsoft.com/office/drawing/2014/main" id="{00000000-0008-0000-0800-0000E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9" name="Text Box 149">
          <a:extLst>
            <a:ext uri="{FF2B5EF4-FFF2-40B4-BE49-F238E27FC236}">
              <a16:creationId xmlns:a16="http://schemas.microsoft.com/office/drawing/2014/main" id="{00000000-0008-0000-0800-0000E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0" name="Text Box 150">
          <a:extLst>
            <a:ext uri="{FF2B5EF4-FFF2-40B4-BE49-F238E27FC236}">
              <a16:creationId xmlns:a16="http://schemas.microsoft.com/office/drawing/2014/main" id="{00000000-0008-0000-0800-0000E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1" name="Text Box 151">
          <a:extLst>
            <a:ext uri="{FF2B5EF4-FFF2-40B4-BE49-F238E27FC236}">
              <a16:creationId xmlns:a16="http://schemas.microsoft.com/office/drawing/2014/main" id="{00000000-0008-0000-0800-0000E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2" name="Text Box 152">
          <a:extLst>
            <a:ext uri="{FF2B5EF4-FFF2-40B4-BE49-F238E27FC236}">
              <a16:creationId xmlns:a16="http://schemas.microsoft.com/office/drawing/2014/main" id="{00000000-0008-0000-0800-0000F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3" name="Text Box 153">
          <a:extLst>
            <a:ext uri="{FF2B5EF4-FFF2-40B4-BE49-F238E27FC236}">
              <a16:creationId xmlns:a16="http://schemas.microsoft.com/office/drawing/2014/main" id="{00000000-0008-0000-0800-0000F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4" name="Text Box 154">
          <a:extLst>
            <a:ext uri="{FF2B5EF4-FFF2-40B4-BE49-F238E27FC236}">
              <a16:creationId xmlns:a16="http://schemas.microsoft.com/office/drawing/2014/main" id="{00000000-0008-0000-0800-0000F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5" name="Text Box 155">
          <a:extLst>
            <a:ext uri="{FF2B5EF4-FFF2-40B4-BE49-F238E27FC236}">
              <a16:creationId xmlns:a16="http://schemas.microsoft.com/office/drawing/2014/main" id="{00000000-0008-0000-0800-0000F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6" name="Text Box 156">
          <a:extLst>
            <a:ext uri="{FF2B5EF4-FFF2-40B4-BE49-F238E27FC236}">
              <a16:creationId xmlns:a16="http://schemas.microsoft.com/office/drawing/2014/main" id="{00000000-0008-0000-0800-0000F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7" name="Text Box 157">
          <a:extLst>
            <a:ext uri="{FF2B5EF4-FFF2-40B4-BE49-F238E27FC236}">
              <a16:creationId xmlns:a16="http://schemas.microsoft.com/office/drawing/2014/main" id="{00000000-0008-0000-0800-0000F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8" name="Text Box 158">
          <a:extLst>
            <a:ext uri="{FF2B5EF4-FFF2-40B4-BE49-F238E27FC236}">
              <a16:creationId xmlns:a16="http://schemas.microsoft.com/office/drawing/2014/main" id="{00000000-0008-0000-0800-0000F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9" name="Text Box 159">
          <a:extLst>
            <a:ext uri="{FF2B5EF4-FFF2-40B4-BE49-F238E27FC236}">
              <a16:creationId xmlns:a16="http://schemas.microsoft.com/office/drawing/2014/main" id="{00000000-0008-0000-0800-0000F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0" name="Text Box 160">
          <a:extLst>
            <a:ext uri="{FF2B5EF4-FFF2-40B4-BE49-F238E27FC236}">
              <a16:creationId xmlns:a16="http://schemas.microsoft.com/office/drawing/2014/main" id="{00000000-0008-0000-0800-0000F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1" name="Text Box 161">
          <a:extLst>
            <a:ext uri="{FF2B5EF4-FFF2-40B4-BE49-F238E27FC236}">
              <a16:creationId xmlns:a16="http://schemas.microsoft.com/office/drawing/2014/main" id="{00000000-0008-0000-0800-0000F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2" name="Text Box 162">
          <a:extLst>
            <a:ext uri="{FF2B5EF4-FFF2-40B4-BE49-F238E27FC236}">
              <a16:creationId xmlns:a16="http://schemas.microsoft.com/office/drawing/2014/main" id="{00000000-0008-0000-0800-0000F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3" name="Text Box 163">
          <a:extLst>
            <a:ext uri="{FF2B5EF4-FFF2-40B4-BE49-F238E27FC236}">
              <a16:creationId xmlns:a16="http://schemas.microsoft.com/office/drawing/2014/main" id="{00000000-0008-0000-0800-0000F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4" name="Text Box 164">
          <a:extLst>
            <a:ext uri="{FF2B5EF4-FFF2-40B4-BE49-F238E27FC236}">
              <a16:creationId xmlns:a16="http://schemas.microsoft.com/office/drawing/2014/main" id="{00000000-0008-0000-0800-0000F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5" name="Text Box 165">
          <a:extLst>
            <a:ext uri="{FF2B5EF4-FFF2-40B4-BE49-F238E27FC236}">
              <a16:creationId xmlns:a16="http://schemas.microsoft.com/office/drawing/2014/main" id="{00000000-0008-0000-0800-0000F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6" name="Text Box 166">
          <a:extLst>
            <a:ext uri="{FF2B5EF4-FFF2-40B4-BE49-F238E27FC236}">
              <a16:creationId xmlns:a16="http://schemas.microsoft.com/office/drawing/2014/main" id="{00000000-0008-0000-0800-0000F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7" name="Text Box 167">
          <a:extLst>
            <a:ext uri="{FF2B5EF4-FFF2-40B4-BE49-F238E27FC236}">
              <a16:creationId xmlns:a16="http://schemas.microsoft.com/office/drawing/2014/main" id="{00000000-0008-0000-0800-0000F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8" name="Text Box 168">
          <a:extLst>
            <a:ext uri="{FF2B5EF4-FFF2-40B4-BE49-F238E27FC236}">
              <a16:creationId xmlns:a16="http://schemas.microsoft.com/office/drawing/2014/main" id="{00000000-0008-0000-0800-00000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9" name="Text Box 169">
          <a:extLst>
            <a:ext uri="{FF2B5EF4-FFF2-40B4-BE49-F238E27FC236}">
              <a16:creationId xmlns:a16="http://schemas.microsoft.com/office/drawing/2014/main" id="{00000000-0008-0000-0800-00000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0" name="Text Box 170">
          <a:extLst>
            <a:ext uri="{FF2B5EF4-FFF2-40B4-BE49-F238E27FC236}">
              <a16:creationId xmlns:a16="http://schemas.microsoft.com/office/drawing/2014/main" id="{00000000-0008-0000-0800-00000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1" name="Text Box 171">
          <a:extLst>
            <a:ext uri="{FF2B5EF4-FFF2-40B4-BE49-F238E27FC236}">
              <a16:creationId xmlns:a16="http://schemas.microsoft.com/office/drawing/2014/main" id="{00000000-0008-0000-0800-00000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2" name="Text Box 172">
          <a:extLst>
            <a:ext uri="{FF2B5EF4-FFF2-40B4-BE49-F238E27FC236}">
              <a16:creationId xmlns:a16="http://schemas.microsoft.com/office/drawing/2014/main" id="{00000000-0008-0000-0800-00000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3" name="Text Box 173">
          <a:extLst>
            <a:ext uri="{FF2B5EF4-FFF2-40B4-BE49-F238E27FC236}">
              <a16:creationId xmlns:a16="http://schemas.microsoft.com/office/drawing/2014/main" id="{00000000-0008-0000-0800-00000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4" name="Text Box 174">
          <a:extLst>
            <a:ext uri="{FF2B5EF4-FFF2-40B4-BE49-F238E27FC236}">
              <a16:creationId xmlns:a16="http://schemas.microsoft.com/office/drawing/2014/main" id="{00000000-0008-0000-0800-00000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5" name="Text Box 175">
          <a:extLst>
            <a:ext uri="{FF2B5EF4-FFF2-40B4-BE49-F238E27FC236}">
              <a16:creationId xmlns:a16="http://schemas.microsoft.com/office/drawing/2014/main" id="{00000000-0008-0000-0800-00000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6" name="Text Box 176">
          <a:extLst>
            <a:ext uri="{FF2B5EF4-FFF2-40B4-BE49-F238E27FC236}">
              <a16:creationId xmlns:a16="http://schemas.microsoft.com/office/drawing/2014/main" id="{00000000-0008-0000-0800-00000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7" name="Text Box 177">
          <a:extLst>
            <a:ext uri="{FF2B5EF4-FFF2-40B4-BE49-F238E27FC236}">
              <a16:creationId xmlns:a16="http://schemas.microsoft.com/office/drawing/2014/main" id="{00000000-0008-0000-0800-00000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8" name="Text Box 178">
          <a:extLst>
            <a:ext uri="{FF2B5EF4-FFF2-40B4-BE49-F238E27FC236}">
              <a16:creationId xmlns:a16="http://schemas.microsoft.com/office/drawing/2014/main" id="{00000000-0008-0000-0800-00000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9" name="Text Box 179">
          <a:extLst>
            <a:ext uri="{FF2B5EF4-FFF2-40B4-BE49-F238E27FC236}">
              <a16:creationId xmlns:a16="http://schemas.microsoft.com/office/drawing/2014/main" id="{00000000-0008-0000-0800-00000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0" name="Text Box 180">
          <a:extLst>
            <a:ext uri="{FF2B5EF4-FFF2-40B4-BE49-F238E27FC236}">
              <a16:creationId xmlns:a16="http://schemas.microsoft.com/office/drawing/2014/main" id="{00000000-0008-0000-0800-00000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1" name="Text Box 181">
          <a:extLst>
            <a:ext uri="{FF2B5EF4-FFF2-40B4-BE49-F238E27FC236}">
              <a16:creationId xmlns:a16="http://schemas.microsoft.com/office/drawing/2014/main" id="{00000000-0008-0000-0800-00000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2" name="Text Box 182">
          <a:extLst>
            <a:ext uri="{FF2B5EF4-FFF2-40B4-BE49-F238E27FC236}">
              <a16:creationId xmlns:a16="http://schemas.microsoft.com/office/drawing/2014/main" id="{00000000-0008-0000-0800-00000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3" name="Text Box 183">
          <a:extLst>
            <a:ext uri="{FF2B5EF4-FFF2-40B4-BE49-F238E27FC236}">
              <a16:creationId xmlns:a16="http://schemas.microsoft.com/office/drawing/2014/main" id="{00000000-0008-0000-0800-00000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4" name="Text Box 184">
          <a:extLst>
            <a:ext uri="{FF2B5EF4-FFF2-40B4-BE49-F238E27FC236}">
              <a16:creationId xmlns:a16="http://schemas.microsoft.com/office/drawing/2014/main" id="{00000000-0008-0000-0800-00001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5" name="Text Box 185">
          <a:extLst>
            <a:ext uri="{FF2B5EF4-FFF2-40B4-BE49-F238E27FC236}">
              <a16:creationId xmlns:a16="http://schemas.microsoft.com/office/drawing/2014/main" id="{00000000-0008-0000-0800-00001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6" name="Text Box 186">
          <a:extLst>
            <a:ext uri="{FF2B5EF4-FFF2-40B4-BE49-F238E27FC236}">
              <a16:creationId xmlns:a16="http://schemas.microsoft.com/office/drawing/2014/main" id="{00000000-0008-0000-0800-00001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7" name="Text Box 187">
          <a:extLst>
            <a:ext uri="{FF2B5EF4-FFF2-40B4-BE49-F238E27FC236}">
              <a16:creationId xmlns:a16="http://schemas.microsoft.com/office/drawing/2014/main" id="{00000000-0008-0000-0800-00001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8" name="Text Box 188">
          <a:extLst>
            <a:ext uri="{FF2B5EF4-FFF2-40B4-BE49-F238E27FC236}">
              <a16:creationId xmlns:a16="http://schemas.microsoft.com/office/drawing/2014/main" id="{00000000-0008-0000-0800-00001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9" name="Text Box 189">
          <a:extLst>
            <a:ext uri="{FF2B5EF4-FFF2-40B4-BE49-F238E27FC236}">
              <a16:creationId xmlns:a16="http://schemas.microsoft.com/office/drawing/2014/main" id="{00000000-0008-0000-0800-00001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0" name="Text Box 190">
          <a:extLst>
            <a:ext uri="{FF2B5EF4-FFF2-40B4-BE49-F238E27FC236}">
              <a16:creationId xmlns:a16="http://schemas.microsoft.com/office/drawing/2014/main" id="{00000000-0008-0000-0800-00001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1" name="Text Box 191">
          <a:extLst>
            <a:ext uri="{FF2B5EF4-FFF2-40B4-BE49-F238E27FC236}">
              <a16:creationId xmlns:a16="http://schemas.microsoft.com/office/drawing/2014/main" id="{00000000-0008-0000-0800-00001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2" name="Text Box 192">
          <a:extLst>
            <a:ext uri="{FF2B5EF4-FFF2-40B4-BE49-F238E27FC236}">
              <a16:creationId xmlns:a16="http://schemas.microsoft.com/office/drawing/2014/main" id="{00000000-0008-0000-0800-00001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3" name="Text Box 193">
          <a:extLst>
            <a:ext uri="{FF2B5EF4-FFF2-40B4-BE49-F238E27FC236}">
              <a16:creationId xmlns:a16="http://schemas.microsoft.com/office/drawing/2014/main" id="{00000000-0008-0000-0800-00001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4" name="Text Box 194">
          <a:extLst>
            <a:ext uri="{FF2B5EF4-FFF2-40B4-BE49-F238E27FC236}">
              <a16:creationId xmlns:a16="http://schemas.microsoft.com/office/drawing/2014/main" id="{00000000-0008-0000-0800-00001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5" name="Text Box 195">
          <a:extLst>
            <a:ext uri="{FF2B5EF4-FFF2-40B4-BE49-F238E27FC236}">
              <a16:creationId xmlns:a16="http://schemas.microsoft.com/office/drawing/2014/main" id="{00000000-0008-0000-0800-00001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6" name="Text Box 196">
          <a:extLst>
            <a:ext uri="{FF2B5EF4-FFF2-40B4-BE49-F238E27FC236}">
              <a16:creationId xmlns:a16="http://schemas.microsoft.com/office/drawing/2014/main" id="{00000000-0008-0000-0800-00001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7" name="Text Box 197">
          <a:extLst>
            <a:ext uri="{FF2B5EF4-FFF2-40B4-BE49-F238E27FC236}">
              <a16:creationId xmlns:a16="http://schemas.microsoft.com/office/drawing/2014/main" id="{00000000-0008-0000-0800-00001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8" name="Text Box 198">
          <a:extLst>
            <a:ext uri="{FF2B5EF4-FFF2-40B4-BE49-F238E27FC236}">
              <a16:creationId xmlns:a16="http://schemas.microsoft.com/office/drawing/2014/main" id="{00000000-0008-0000-0800-00001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9" name="Text Box 199">
          <a:extLst>
            <a:ext uri="{FF2B5EF4-FFF2-40B4-BE49-F238E27FC236}">
              <a16:creationId xmlns:a16="http://schemas.microsoft.com/office/drawing/2014/main" id="{00000000-0008-0000-0800-00001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0" name="Text Box 200">
          <a:extLst>
            <a:ext uri="{FF2B5EF4-FFF2-40B4-BE49-F238E27FC236}">
              <a16:creationId xmlns:a16="http://schemas.microsoft.com/office/drawing/2014/main" id="{00000000-0008-0000-0800-00002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1" name="Text Box 201">
          <a:extLst>
            <a:ext uri="{FF2B5EF4-FFF2-40B4-BE49-F238E27FC236}">
              <a16:creationId xmlns:a16="http://schemas.microsoft.com/office/drawing/2014/main" id="{00000000-0008-0000-0800-00002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2" name="Text Box 202">
          <a:extLst>
            <a:ext uri="{FF2B5EF4-FFF2-40B4-BE49-F238E27FC236}">
              <a16:creationId xmlns:a16="http://schemas.microsoft.com/office/drawing/2014/main" id="{00000000-0008-0000-0800-00002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3" name="Text Box 203">
          <a:extLst>
            <a:ext uri="{FF2B5EF4-FFF2-40B4-BE49-F238E27FC236}">
              <a16:creationId xmlns:a16="http://schemas.microsoft.com/office/drawing/2014/main" id="{00000000-0008-0000-0800-00002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4" name="Text Box 204">
          <a:extLst>
            <a:ext uri="{FF2B5EF4-FFF2-40B4-BE49-F238E27FC236}">
              <a16:creationId xmlns:a16="http://schemas.microsoft.com/office/drawing/2014/main" id="{00000000-0008-0000-0800-00002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5" name="Text Box 205">
          <a:extLst>
            <a:ext uri="{FF2B5EF4-FFF2-40B4-BE49-F238E27FC236}">
              <a16:creationId xmlns:a16="http://schemas.microsoft.com/office/drawing/2014/main" id="{00000000-0008-0000-0800-00002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6" name="Text Box 206">
          <a:extLst>
            <a:ext uri="{FF2B5EF4-FFF2-40B4-BE49-F238E27FC236}">
              <a16:creationId xmlns:a16="http://schemas.microsoft.com/office/drawing/2014/main" id="{00000000-0008-0000-0800-00002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7" name="Text Box 207">
          <a:extLst>
            <a:ext uri="{FF2B5EF4-FFF2-40B4-BE49-F238E27FC236}">
              <a16:creationId xmlns:a16="http://schemas.microsoft.com/office/drawing/2014/main" id="{00000000-0008-0000-0800-00002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8" name="Text Box 208">
          <a:extLst>
            <a:ext uri="{FF2B5EF4-FFF2-40B4-BE49-F238E27FC236}">
              <a16:creationId xmlns:a16="http://schemas.microsoft.com/office/drawing/2014/main" id="{00000000-0008-0000-0800-00002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9" name="Text Box 209">
          <a:extLst>
            <a:ext uri="{FF2B5EF4-FFF2-40B4-BE49-F238E27FC236}">
              <a16:creationId xmlns:a16="http://schemas.microsoft.com/office/drawing/2014/main" id="{00000000-0008-0000-0800-00002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0" name="Text Box 210">
          <a:extLst>
            <a:ext uri="{FF2B5EF4-FFF2-40B4-BE49-F238E27FC236}">
              <a16:creationId xmlns:a16="http://schemas.microsoft.com/office/drawing/2014/main" id="{00000000-0008-0000-0800-00002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1" name="Text Box 211">
          <a:extLst>
            <a:ext uri="{FF2B5EF4-FFF2-40B4-BE49-F238E27FC236}">
              <a16:creationId xmlns:a16="http://schemas.microsoft.com/office/drawing/2014/main" id="{00000000-0008-0000-0800-00002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2" name="Text Box 212">
          <a:extLst>
            <a:ext uri="{FF2B5EF4-FFF2-40B4-BE49-F238E27FC236}">
              <a16:creationId xmlns:a16="http://schemas.microsoft.com/office/drawing/2014/main" id="{00000000-0008-0000-0800-00002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3" name="Text Box 213">
          <a:extLst>
            <a:ext uri="{FF2B5EF4-FFF2-40B4-BE49-F238E27FC236}">
              <a16:creationId xmlns:a16="http://schemas.microsoft.com/office/drawing/2014/main" id="{00000000-0008-0000-0800-00002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4" name="Text Box 214">
          <a:extLst>
            <a:ext uri="{FF2B5EF4-FFF2-40B4-BE49-F238E27FC236}">
              <a16:creationId xmlns:a16="http://schemas.microsoft.com/office/drawing/2014/main" id="{00000000-0008-0000-0800-00002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5" name="Text Box 215">
          <a:extLst>
            <a:ext uri="{FF2B5EF4-FFF2-40B4-BE49-F238E27FC236}">
              <a16:creationId xmlns:a16="http://schemas.microsoft.com/office/drawing/2014/main" id="{00000000-0008-0000-0800-00002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6" name="Text Box 216">
          <a:extLst>
            <a:ext uri="{FF2B5EF4-FFF2-40B4-BE49-F238E27FC236}">
              <a16:creationId xmlns:a16="http://schemas.microsoft.com/office/drawing/2014/main" id="{00000000-0008-0000-0800-00003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7" name="Text Box 217">
          <a:extLst>
            <a:ext uri="{FF2B5EF4-FFF2-40B4-BE49-F238E27FC236}">
              <a16:creationId xmlns:a16="http://schemas.microsoft.com/office/drawing/2014/main" id="{00000000-0008-0000-0800-00003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8" name="Text Box 218">
          <a:extLst>
            <a:ext uri="{FF2B5EF4-FFF2-40B4-BE49-F238E27FC236}">
              <a16:creationId xmlns:a16="http://schemas.microsoft.com/office/drawing/2014/main" id="{00000000-0008-0000-0800-00003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9" name="Text Box 219">
          <a:extLst>
            <a:ext uri="{FF2B5EF4-FFF2-40B4-BE49-F238E27FC236}">
              <a16:creationId xmlns:a16="http://schemas.microsoft.com/office/drawing/2014/main" id="{00000000-0008-0000-0800-00003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0" name="Text Box 220">
          <a:extLst>
            <a:ext uri="{FF2B5EF4-FFF2-40B4-BE49-F238E27FC236}">
              <a16:creationId xmlns:a16="http://schemas.microsoft.com/office/drawing/2014/main" id="{00000000-0008-0000-0800-00003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1" name="Text Box 221">
          <a:extLst>
            <a:ext uri="{FF2B5EF4-FFF2-40B4-BE49-F238E27FC236}">
              <a16:creationId xmlns:a16="http://schemas.microsoft.com/office/drawing/2014/main" id="{00000000-0008-0000-0800-00003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2" name="Text Box 222">
          <a:extLst>
            <a:ext uri="{FF2B5EF4-FFF2-40B4-BE49-F238E27FC236}">
              <a16:creationId xmlns:a16="http://schemas.microsoft.com/office/drawing/2014/main" id="{00000000-0008-0000-0800-00003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3" name="Text Box 223">
          <a:extLst>
            <a:ext uri="{FF2B5EF4-FFF2-40B4-BE49-F238E27FC236}">
              <a16:creationId xmlns:a16="http://schemas.microsoft.com/office/drawing/2014/main" id="{00000000-0008-0000-0800-00003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4" name="Text Box 224">
          <a:extLst>
            <a:ext uri="{FF2B5EF4-FFF2-40B4-BE49-F238E27FC236}">
              <a16:creationId xmlns:a16="http://schemas.microsoft.com/office/drawing/2014/main" id="{00000000-0008-0000-0800-00003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5" name="Text Box 225">
          <a:extLst>
            <a:ext uri="{FF2B5EF4-FFF2-40B4-BE49-F238E27FC236}">
              <a16:creationId xmlns:a16="http://schemas.microsoft.com/office/drawing/2014/main" id="{00000000-0008-0000-0800-00003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6" name="Text Box 226">
          <a:extLst>
            <a:ext uri="{FF2B5EF4-FFF2-40B4-BE49-F238E27FC236}">
              <a16:creationId xmlns:a16="http://schemas.microsoft.com/office/drawing/2014/main" id="{00000000-0008-0000-0800-00003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7" name="Text Box 227">
          <a:extLst>
            <a:ext uri="{FF2B5EF4-FFF2-40B4-BE49-F238E27FC236}">
              <a16:creationId xmlns:a16="http://schemas.microsoft.com/office/drawing/2014/main" id="{00000000-0008-0000-0800-00003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8" name="Text Box 228">
          <a:extLst>
            <a:ext uri="{FF2B5EF4-FFF2-40B4-BE49-F238E27FC236}">
              <a16:creationId xmlns:a16="http://schemas.microsoft.com/office/drawing/2014/main" id="{00000000-0008-0000-0800-00003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9" name="Text Box 229">
          <a:extLst>
            <a:ext uri="{FF2B5EF4-FFF2-40B4-BE49-F238E27FC236}">
              <a16:creationId xmlns:a16="http://schemas.microsoft.com/office/drawing/2014/main" id="{00000000-0008-0000-0800-00003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0" name="Text Box 230">
          <a:extLst>
            <a:ext uri="{FF2B5EF4-FFF2-40B4-BE49-F238E27FC236}">
              <a16:creationId xmlns:a16="http://schemas.microsoft.com/office/drawing/2014/main" id="{00000000-0008-0000-0800-00003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1" name="Text Box 231">
          <a:extLst>
            <a:ext uri="{FF2B5EF4-FFF2-40B4-BE49-F238E27FC236}">
              <a16:creationId xmlns:a16="http://schemas.microsoft.com/office/drawing/2014/main" id="{00000000-0008-0000-0800-00003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2" name="Text Box 232">
          <a:extLst>
            <a:ext uri="{FF2B5EF4-FFF2-40B4-BE49-F238E27FC236}">
              <a16:creationId xmlns:a16="http://schemas.microsoft.com/office/drawing/2014/main" id="{00000000-0008-0000-0800-00004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3" name="Text Box 233">
          <a:extLst>
            <a:ext uri="{FF2B5EF4-FFF2-40B4-BE49-F238E27FC236}">
              <a16:creationId xmlns:a16="http://schemas.microsoft.com/office/drawing/2014/main" id="{00000000-0008-0000-0800-00004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4" name="Text Box 234">
          <a:extLst>
            <a:ext uri="{FF2B5EF4-FFF2-40B4-BE49-F238E27FC236}">
              <a16:creationId xmlns:a16="http://schemas.microsoft.com/office/drawing/2014/main" id="{00000000-0008-0000-0800-00004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5" name="Text Box 235">
          <a:extLst>
            <a:ext uri="{FF2B5EF4-FFF2-40B4-BE49-F238E27FC236}">
              <a16:creationId xmlns:a16="http://schemas.microsoft.com/office/drawing/2014/main" id="{00000000-0008-0000-0800-00004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6" name="Text Box 236">
          <a:extLst>
            <a:ext uri="{FF2B5EF4-FFF2-40B4-BE49-F238E27FC236}">
              <a16:creationId xmlns:a16="http://schemas.microsoft.com/office/drawing/2014/main" id="{00000000-0008-0000-0800-00004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7" name="Text Box 237">
          <a:extLst>
            <a:ext uri="{FF2B5EF4-FFF2-40B4-BE49-F238E27FC236}">
              <a16:creationId xmlns:a16="http://schemas.microsoft.com/office/drawing/2014/main" id="{00000000-0008-0000-0800-00004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8" name="Text Box 238">
          <a:extLst>
            <a:ext uri="{FF2B5EF4-FFF2-40B4-BE49-F238E27FC236}">
              <a16:creationId xmlns:a16="http://schemas.microsoft.com/office/drawing/2014/main" id="{00000000-0008-0000-0800-00004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9" name="Text Box 239">
          <a:extLst>
            <a:ext uri="{FF2B5EF4-FFF2-40B4-BE49-F238E27FC236}">
              <a16:creationId xmlns:a16="http://schemas.microsoft.com/office/drawing/2014/main" id="{00000000-0008-0000-0800-00004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0" name="Text Box 240">
          <a:extLst>
            <a:ext uri="{FF2B5EF4-FFF2-40B4-BE49-F238E27FC236}">
              <a16:creationId xmlns:a16="http://schemas.microsoft.com/office/drawing/2014/main" id="{00000000-0008-0000-0800-00004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1" name="Text Box 241">
          <a:extLst>
            <a:ext uri="{FF2B5EF4-FFF2-40B4-BE49-F238E27FC236}">
              <a16:creationId xmlns:a16="http://schemas.microsoft.com/office/drawing/2014/main" id="{00000000-0008-0000-0800-00004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2" name="Text Box 242">
          <a:extLst>
            <a:ext uri="{FF2B5EF4-FFF2-40B4-BE49-F238E27FC236}">
              <a16:creationId xmlns:a16="http://schemas.microsoft.com/office/drawing/2014/main" id="{00000000-0008-0000-0800-00004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3" name="Text Box 243">
          <a:extLst>
            <a:ext uri="{FF2B5EF4-FFF2-40B4-BE49-F238E27FC236}">
              <a16:creationId xmlns:a16="http://schemas.microsoft.com/office/drawing/2014/main" id="{00000000-0008-0000-0800-00004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4" name="Text Box 244">
          <a:extLst>
            <a:ext uri="{FF2B5EF4-FFF2-40B4-BE49-F238E27FC236}">
              <a16:creationId xmlns:a16="http://schemas.microsoft.com/office/drawing/2014/main" id="{00000000-0008-0000-0800-00004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5" name="Text Box 245">
          <a:extLst>
            <a:ext uri="{FF2B5EF4-FFF2-40B4-BE49-F238E27FC236}">
              <a16:creationId xmlns:a16="http://schemas.microsoft.com/office/drawing/2014/main" id="{00000000-0008-0000-0800-00004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6" name="Text Box 246">
          <a:extLst>
            <a:ext uri="{FF2B5EF4-FFF2-40B4-BE49-F238E27FC236}">
              <a16:creationId xmlns:a16="http://schemas.microsoft.com/office/drawing/2014/main" id="{00000000-0008-0000-0800-00004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7" name="Text Box 247">
          <a:extLst>
            <a:ext uri="{FF2B5EF4-FFF2-40B4-BE49-F238E27FC236}">
              <a16:creationId xmlns:a16="http://schemas.microsoft.com/office/drawing/2014/main" id="{00000000-0008-0000-0800-00004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8" name="Text Box 248">
          <a:extLst>
            <a:ext uri="{FF2B5EF4-FFF2-40B4-BE49-F238E27FC236}">
              <a16:creationId xmlns:a16="http://schemas.microsoft.com/office/drawing/2014/main" id="{00000000-0008-0000-0800-00005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9" name="Text Box 249">
          <a:extLst>
            <a:ext uri="{FF2B5EF4-FFF2-40B4-BE49-F238E27FC236}">
              <a16:creationId xmlns:a16="http://schemas.microsoft.com/office/drawing/2014/main" id="{00000000-0008-0000-0800-00005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0" name="Text Box 250">
          <a:extLst>
            <a:ext uri="{FF2B5EF4-FFF2-40B4-BE49-F238E27FC236}">
              <a16:creationId xmlns:a16="http://schemas.microsoft.com/office/drawing/2014/main" id="{00000000-0008-0000-0800-00005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1" name="Text Box 251">
          <a:extLst>
            <a:ext uri="{FF2B5EF4-FFF2-40B4-BE49-F238E27FC236}">
              <a16:creationId xmlns:a16="http://schemas.microsoft.com/office/drawing/2014/main" id="{00000000-0008-0000-0800-00005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2" name="Text Box 252">
          <a:extLst>
            <a:ext uri="{FF2B5EF4-FFF2-40B4-BE49-F238E27FC236}">
              <a16:creationId xmlns:a16="http://schemas.microsoft.com/office/drawing/2014/main" id="{00000000-0008-0000-0800-00005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3" name="Text Box 253">
          <a:extLst>
            <a:ext uri="{FF2B5EF4-FFF2-40B4-BE49-F238E27FC236}">
              <a16:creationId xmlns:a16="http://schemas.microsoft.com/office/drawing/2014/main" id="{00000000-0008-0000-0800-00005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4" name="Text Box 254">
          <a:extLst>
            <a:ext uri="{FF2B5EF4-FFF2-40B4-BE49-F238E27FC236}">
              <a16:creationId xmlns:a16="http://schemas.microsoft.com/office/drawing/2014/main" id="{00000000-0008-0000-0800-00005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5" name="Text Box 255">
          <a:extLst>
            <a:ext uri="{FF2B5EF4-FFF2-40B4-BE49-F238E27FC236}">
              <a16:creationId xmlns:a16="http://schemas.microsoft.com/office/drawing/2014/main" id="{00000000-0008-0000-0800-00005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6" name="Text Box 256">
          <a:extLst>
            <a:ext uri="{FF2B5EF4-FFF2-40B4-BE49-F238E27FC236}">
              <a16:creationId xmlns:a16="http://schemas.microsoft.com/office/drawing/2014/main" id="{00000000-0008-0000-0800-00005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7" name="Text Box 257">
          <a:extLst>
            <a:ext uri="{FF2B5EF4-FFF2-40B4-BE49-F238E27FC236}">
              <a16:creationId xmlns:a16="http://schemas.microsoft.com/office/drawing/2014/main" id="{00000000-0008-0000-0800-00005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8" name="Text Box 258">
          <a:extLst>
            <a:ext uri="{FF2B5EF4-FFF2-40B4-BE49-F238E27FC236}">
              <a16:creationId xmlns:a16="http://schemas.microsoft.com/office/drawing/2014/main" id="{00000000-0008-0000-0800-00005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9" name="Text Box 259">
          <a:extLst>
            <a:ext uri="{FF2B5EF4-FFF2-40B4-BE49-F238E27FC236}">
              <a16:creationId xmlns:a16="http://schemas.microsoft.com/office/drawing/2014/main" id="{00000000-0008-0000-0800-00005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0" name="Text Box 260">
          <a:extLst>
            <a:ext uri="{FF2B5EF4-FFF2-40B4-BE49-F238E27FC236}">
              <a16:creationId xmlns:a16="http://schemas.microsoft.com/office/drawing/2014/main" id="{00000000-0008-0000-0800-00005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1" name="Text Box 261">
          <a:extLst>
            <a:ext uri="{FF2B5EF4-FFF2-40B4-BE49-F238E27FC236}">
              <a16:creationId xmlns:a16="http://schemas.microsoft.com/office/drawing/2014/main" id="{00000000-0008-0000-0800-00005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2" name="Text Box 262">
          <a:extLst>
            <a:ext uri="{FF2B5EF4-FFF2-40B4-BE49-F238E27FC236}">
              <a16:creationId xmlns:a16="http://schemas.microsoft.com/office/drawing/2014/main" id="{00000000-0008-0000-0800-00005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3" name="Text Box 263">
          <a:extLst>
            <a:ext uri="{FF2B5EF4-FFF2-40B4-BE49-F238E27FC236}">
              <a16:creationId xmlns:a16="http://schemas.microsoft.com/office/drawing/2014/main" id="{00000000-0008-0000-0800-00005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4" name="Text Box 264">
          <a:extLst>
            <a:ext uri="{FF2B5EF4-FFF2-40B4-BE49-F238E27FC236}">
              <a16:creationId xmlns:a16="http://schemas.microsoft.com/office/drawing/2014/main" id="{00000000-0008-0000-0800-00006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5" name="Text Box 265">
          <a:extLst>
            <a:ext uri="{FF2B5EF4-FFF2-40B4-BE49-F238E27FC236}">
              <a16:creationId xmlns:a16="http://schemas.microsoft.com/office/drawing/2014/main" id="{00000000-0008-0000-0800-00006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6" name="Text Box 266">
          <a:extLst>
            <a:ext uri="{FF2B5EF4-FFF2-40B4-BE49-F238E27FC236}">
              <a16:creationId xmlns:a16="http://schemas.microsoft.com/office/drawing/2014/main" id="{00000000-0008-0000-0800-00006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7" name="Text Box 267">
          <a:extLst>
            <a:ext uri="{FF2B5EF4-FFF2-40B4-BE49-F238E27FC236}">
              <a16:creationId xmlns:a16="http://schemas.microsoft.com/office/drawing/2014/main" id="{00000000-0008-0000-0800-00006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8" name="Text Box 268">
          <a:extLst>
            <a:ext uri="{FF2B5EF4-FFF2-40B4-BE49-F238E27FC236}">
              <a16:creationId xmlns:a16="http://schemas.microsoft.com/office/drawing/2014/main" id="{00000000-0008-0000-0800-00006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9" name="Text Box 269">
          <a:extLst>
            <a:ext uri="{FF2B5EF4-FFF2-40B4-BE49-F238E27FC236}">
              <a16:creationId xmlns:a16="http://schemas.microsoft.com/office/drawing/2014/main" id="{00000000-0008-0000-0800-00006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0" name="Text Box 270">
          <a:extLst>
            <a:ext uri="{FF2B5EF4-FFF2-40B4-BE49-F238E27FC236}">
              <a16:creationId xmlns:a16="http://schemas.microsoft.com/office/drawing/2014/main" id="{00000000-0008-0000-0800-00006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1" name="Text Box 271">
          <a:extLst>
            <a:ext uri="{FF2B5EF4-FFF2-40B4-BE49-F238E27FC236}">
              <a16:creationId xmlns:a16="http://schemas.microsoft.com/office/drawing/2014/main" id="{00000000-0008-0000-0800-00006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2" name="Text Box 272">
          <a:extLst>
            <a:ext uri="{FF2B5EF4-FFF2-40B4-BE49-F238E27FC236}">
              <a16:creationId xmlns:a16="http://schemas.microsoft.com/office/drawing/2014/main" id="{00000000-0008-0000-0800-00006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3" name="Text Box 273">
          <a:extLst>
            <a:ext uri="{FF2B5EF4-FFF2-40B4-BE49-F238E27FC236}">
              <a16:creationId xmlns:a16="http://schemas.microsoft.com/office/drawing/2014/main" id="{00000000-0008-0000-0800-00006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4" name="Text Box 274">
          <a:extLst>
            <a:ext uri="{FF2B5EF4-FFF2-40B4-BE49-F238E27FC236}">
              <a16:creationId xmlns:a16="http://schemas.microsoft.com/office/drawing/2014/main" id="{00000000-0008-0000-0800-00006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5" name="Text Box 275">
          <a:extLst>
            <a:ext uri="{FF2B5EF4-FFF2-40B4-BE49-F238E27FC236}">
              <a16:creationId xmlns:a16="http://schemas.microsoft.com/office/drawing/2014/main" id="{00000000-0008-0000-0800-00006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6" name="Text Box 276">
          <a:extLst>
            <a:ext uri="{FF2B5EF4-FFF2-40B4-BE49-F238E27FC236}">
              <a16:creationId xmlns:a16="http://schemas.microsoft.com/office/drawing/2014/main" id="{00000000-0008-0000-0800-00006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7" name="Text Box 277">
          <a:extLst>
            <a:ext uri="{FF2B5EF4-FFF2-40B4-BE49-F238E27FC236}">
              <a16:creationId xmlns:a16="http://schemas.microsoft.com/office/drawing/2014/main" id="{00000000-0008-0000-0800-00006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8" name="Text Box 278">
          <a:extLst>
            <a:ext uri="{FF2B5EF4-FFF2-40B4-BE49-F238E27FC236}">
              <a16:creationId xmlns:a16="http://schemas.microsoft.com/office/drawing/2014/main" id="{00000000-0008-0000-0800-00006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9" name="Text Box 279">
          <a:extLst>
            <a:ext uri="{FF2B5EF4-FFF2-40B4-BE49-F238E27FC236}">
              <a16:creationId xmlns:a16="http://schemas.microsoft.com/office/drawing/2014/main" id="{00000000-0008-0000-0800-00006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0" name="Text Box 280">
          <a:extLst>
            <a:ext uri="{FF2B5EF4-FFF2-40B4-BE49-F238E27FC236}">
              <a16:creationId xmlns:a16="http://schemas.microsoft.com/office/drawing/2014/main" id="{00000000-0008-0000-0800-00007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1" name="Text Box 281">
          <a:extLst>
            <a:ext uri="{FF2B5EF4-FFF2-40B4-BE49-F238E27FC236}">
              <a16:creationId xmlns:a16="http://schemas.microsoft.com/office/drawing/2014/main" id="{00000000-0008-0000-0800-00007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2" name="Text Box 282">
          <a:extLst>
            <a:ext uri="{FF2B5EF4-FFF2-40B4-BE49-F238E27FC236}">
              <a16:creationId xmlns:a16="http://schemas.microsoft.com/office/drawing/2014/main" id="{00000000-0008-0000-0800-00007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3" name="Text Box 283">
          <a:extLst>
            <a:ext uri="{FF2B5EF4-FFF2-40B4-BE49-F238E27FC236}">
              <a16:creationId xmlns:a16="http://schemas.microsoft.com/office/drawing/2014/main" id="{00000000-0008-0000-0800-00007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4" name="Text Box 284">
          <a:extLst>
            <a:ext uri="{FF2B5EF4-FFF2-40B4-BE49-F238E27FC236}">
              <a16:creationId xmlns:a16="http://schemas.microsoft.com/office/drawing/2014/main" id="{00000000-0008-0000-0800-00007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5" name="Text Box 285">
          <a:extLst>
            <a:ext uri="{FF2B5EF4-FFF2-40B4-BE49-F238E27FC236}">
              <a16:creationId xmlns:a16="http://schemas.microsoft.com/office/drawing/2014/main" id="{00000000-0008-0000-0800-00007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6" name="Text Box 286">
          <a:extLst>
            <a:ext uri="{FF2B5EF4-FFF2-40B4-BE49-F238E27FC236}">
              <a16:creationId xmlns:a16="http://schemas.microsoft.com/office/drawing/2014/main" id="{00000000-0008-0000-0800-00007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7" name="Text Box 287">
          <a:extLst>
            <a:ext uri="{FF2B5EF4-FFF2-40B4-BE49-F238E27FC236}">
              <a16:creationId xmlns:a16="http://schemas.microsoft.com/office/drawing/2014/main" id="{00000000-0008-0000-0800-00007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8" name="Text Box 288">
          <a:extLst>
            <a:ext uri="{FF2B5EF4-FFF2-40B4-BE49-F238E27FC236}">
              <a16:creationId xmlns:a16="http://schemas.microsoft.com/office/drawing/2014/main" id="{00000000-0008-0000-0800-00007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9" name="Text Box 289">
          <a:extLst>
            <a:ext uri="{FF2B5EF4-FFF2-40B4-BE49-F238E27FC236}">
              <a16:creationId xmlns:a16="http://schemas.microsoft.com/office/drawing/2014/main" id="{00000000-0008-0000-0800-00007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0" name="Text Box 290">
          <a:extLst>
            <a:ext uri="{FF2B5EF4-FFF2-40B4-BE49-F238E27FC236}">
              <a16:creationId xmlns:a16="http://schemas.microsoft.com/office/drawing/2014/main" id="{00000000-0008-0000-0800-00007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1" name="Text Box 291">
          <a:extLst>
            <a:ext uri="{FF2B5EF4-FFF2-40B4-BE49-F238E27FC236}">
              <a16:creationId xmlns:a16="http://schemas.microsoft.com/office/drawing/2014/main" id="{00000000-0008-0000-0800-00007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2" name="Text Box 292">
          <a:extLst>
            <a:ext uri="{FF2B5EF4-FFF2-40B4-BE49-F238E27FC236}">
              <a16:creationId xmlns:a16="http://schemas.microsoft.com/office/drawing/2014/main" id="{00000000-0008-0000-0800-00007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3" name="Text Box 293">
          <a:extLst>
            <a:ext uri="{FF2B5EF4-FFF2-40B4-BE49-F238E27FC236}">
              <a16:creationId xmlns:a16="http://schemas.microsoft.com/office/drawing/2014/main" id="{00000000-0008-0000-0800-00007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4" name="Text Box 294">
          <a:extLst>
            <a:ext uri="{FF2B5EF4-FFF2-40B4-BE49-F238E27FC236}">
              <a16:creationId xmlns:a16="http://schemas.microsoft.com/office/drawing/2014/main" id="{00000000-0008-0000-0800-00007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5" name="Text Box 295">
          <a:extLst>
            <a:ext uri="{FF2B5EF4-FFF2-40B4-BE49-F238E27FC236}">
              <a16:creationId xmlns:a16="http://schemas.microsoft.com/office/drawing/2014/main" id="{00000000-0008-0000-0800-00007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6" name="Text Box 296">
          <a:extLst>
            <a:ext uri="{FF2B5EF4-FFF2-40B4-BE49-F238E27FC236}">
              <a16:creationId xmlns:a16="http://schemas.microsoft.com/office/drawing/2014/main" id="{00000000-0008-0000-0800-00008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7" name="Text Box 297">
          <a:extLst>
            <a:ext uri="{FF2B5EF4-FFF2-40B4-BE49-F238E27FC236}">
              <a16:creationId xmlns:a16="http://schemas.microsoft.com/office/drawing/2014/main" id="{00000000-0008-0000-0800-00008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8" name="Text Box 298">
          <a:extLst>
            <a:ext uri="{FF2B5EF4-FFF2-40B4-BE49-F238E27FC236}">
              <a16:creationId xmlns:a16="http://schemas.microsoft.com/office/drawing/2014/main" id="{00000000-0008-0000-0800-00008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9" name="Text Box 299">
          <a:extLst>
            <a:ext uri="{FF2B5EF4-FFF2-40B4-BE49-F238E27FC236}">
              <a16:creationId xmlns:a16="http://schemas.microsoft.com/office/drawing/2014/main" id="{00000000-0008-0000-0800-00008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0" name="Text Box 300">
          <a:extLst>
            <a:ext uri="{FF2B5EF4-FFF2-40B4-BE49-F238E27FC236}">
              <a16:creationId xmlns:a16="http://schemas.microsoft.com/office/drawing/2014/main" id="{00000000-0008-0000-0800-00008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1" name="Text Box 301">
          <a:extLst>
            <a:ext uri="{FF2B5EF4-FFF2-40B4-BE49-F238E27FC236}">
              <a16:creationId xmlns:a16="http://schemas.microsoft.com/office/drawing/2014/main" id="{00000000-0008-0000-0800-00008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2" name="Text Box 302">
          <a:extLst>
            <a:ext uri="{FF2B5EF4-FFF2-40B4-BE49-F238E27FC236}">
              <a16:creationId xmlns:a16="http://schemas.microsoft.com/office/drawing/2014/main" id="{00000000-0008-0000-0800-00008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3" name="Text Box 303">
          <a:extLst>
            <a:ext uri="{FF2B5EF4-FFF2-40B4-BE49-F238E27FC236}">
              <a16:creationId xmlns:a16="http://schemas.microsoft.com/office/drawing/2014/main" id="{00000000-0008-0000-0800-00008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4" name="Text Box 304">
          <a:extLst>
            <a:ext uri="{FF2B5EF4-FFF2-40B4-BE49-F238E27FC236}">
              <a16:creationId xmlns:a16="http://schemas.microsoft.com/office/drawing/2014/main" id="{00000000-0008-0000-0800-00008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5" name="Text Box 305">
          <a:extLst>
            <a:ext uri="{FF2B5EF4-FFF2-40B4-BE49-F238E27FC236}">
              <a16:creationId xmlns:a16="http://schemas.microsoft.com/office/drawing/2014/main" id="{00000000-0008-0000-0800-00008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6" name="Text Box 306">
          <a:extLst>
            <a:ext uri="{FF2B5EF4-FFF2-40B4-BE49-F238E27FC236}">
              <a16:creationId xmlns:a16="http://schemas.microsoft.com/office/drawing/2014/main" id="{00000000-0008-0000-0800-00008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7" name="Text Box 307">
          <a:extLst>
            <a:ext uri="{FF2B5EF4-FFF2-40B4-BE49-F238E27FC236}">
              <a16:creationId xmlns:a16="http://schemas.microsoft.com/office/drawing/2014/main" id="{00000000-0008-0000-0800-00008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8" name="Text Box 308">
          <a:extLst>
            <a:ext uri="{FF2B5EF4-FFF2-40B4-BE49-F238E27FC236}">
              <a16:creationId xmlns:a16="http://schemas.microsoft.com/office/drawing/2014/main" id="{00000000-0008-0000-0800-00008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9" name="Text Box 309">
          <a:extLst>
            <a:ext uri="{FF2B5EF4-FFF2-40B4-BE49-F238E27FC236}">
              <a16:creationId xmlns:a16="http://schemas.microsoft.com/office/drawing/2014/main" id="{00000000-0008-0000-0800-00008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0" name="Text Box 310">
          <a:extLst>
            <a:ext uri="{FF2B5EF4-FFF2-40B4-BE49-F238E27FC236}">
              <a16:creationId xmlns:a16="http://schemas.microsoft.com/office/drawing/2014/main" id="{00000000-0008-0000-0800-00008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1" name="Text Box 311">
          <a:extLst>
            <a:ext uri="{FF2B5EF4-FFF2-40B4-BE49-F238E27FC236}">
              <a16:creationId xmlns:a16="http://schemas.microsoft.com/office/drawing/2014/main" id="{00000000-0008-0000-0800-00008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2" name="Text Box 312">
          <a:extLst>
            <a:ext uri="{FF2B5EF4-FFF2-40B4-BE49-F238E27FC236}">
              <a16:creationId xmlns:a16="http://schemas.microsoft.com/office/drawing/2014/main" id="{00000000-0008-0000-0800-00009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3" name="Text Box 313">
          <a:extLst>
            <a:ext uri="{FF2B5EF4-FFF2-40B4-BE49-F238E27FC236}">
              <a16:creationId xmlns:a16="http://schemas.microsoft.com/office/drawing/2014/main" id="{00000000-0008-0000-0800-00009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4" name="Text Box 314">
          <a:extLst>
            <a:ext uri="{FF2B5EF4-FFF2-40B4-BE49-F238E27FC236}">
              <a16:creationId xmlns:a16="http://schemas.microsoft.com/office/drawing/2014/main" id="{00000000-0008-0000-0800-00009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5" name="Text Box 315">
          <a:extLst>
            <a:ext uri="{FF2B5EF4-FFF2-40B4-BE49-F238E27FC236}">
              <a16:creationId xmlns:a16="http://schemas.microsoft.com/office/drawing/2014/main" id="{00000000-0008-0000-0800-00009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6" name="Text Box 316">
          <a:extLst>
            <a:ext uri="{FF2B5EF4-FFF2-40B4-BE49-F238E27FC236}">
              <a16:creationId xmlns:a16="http://schemas.microsoft.com/office/drawing/2014/main" id="{00000000-0008-0000-0800-00009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7" name="Text Box 317">
          <a:extLst>
            <a:ext uri="{FF2B5EF4-FFF2-40B4-BE49-F238E27FC236}">
              <a16:creationId xmlns:a16="http://schemas.microsoft.com/office/drawing/2014/main" id="{00000000-0008-0000-0800-00009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8" name="Text Box 318">
          <a:extLst>
            <a:ext uri="{FF2B5EF4-FFF2-40B4-BE49-F238E27FC236}">
              <a16:creationId xmlns:a16="http://schemas.microsoft.com/office/drawing/2014/main" id="{00000000-0008-0000-0800-00009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9" name="Text Box 319">
          <a:extLst>
            <a:ext uri="{FF2B5EF4-FFF2-40B4-BE49-F238E27FC236}">
              <a16:creationId xmlns:a16="http://schemas.microsoft.com/office/drawing/2014/main" id="{00000000-0008-0000-0800-00009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20" name="Text Box 320">
          <a:extLst>
            <a:ext uri="{FF2B5EF4-FFF2-40B4-BE49-F238E27FC236}">
              <a16:creationId xmlns:a16="http://schemas.microsoft.com/office/drawing/2014/main" id="{00000000-0008-0000-0800-00009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1" name="Text Box 28">
          <a:extLst>
            <a:ext uri="{FF2B5EF4-FFF2-40B4-BE49-F238E27FC236}">
              <a16:creationId xmlns:a16="http://schemas.microsoft.com/office/drawing/2014/main" id="{00000000-0008-0000-0800-00009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2" name="Text Box 29">
          <a:extLst>
            <a:ext uri="{FF2B5EF4-FFF2-40B4-BE49-F238E27FC236}">
              <a16:creationId xmlns:a16="http://schemas.microsoft.com/office/drawing/2014/main" id="{00000000-0008-0000-0800-00009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3" name="Text Box 30">
          <a:extLst>
            <a:ext uri="{FF2B5EF4-FFF2-40B4-BE49-F238E27FC236}">
              <a16:creationId xmlns:a16="http://schemas.microsoft.com/office/drawing/2014/main" id="{00000000-0008-0000-0800-00009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4" name="Text Box 31">
          <a:extLst>
            <a:ext uri="{FF2B5EF4-FFF2-40B4-BE49-F238E27FC236}">
              <a16:creationId xmlns:a16="http://schemas.microsoft.com/office/drawing/2014/main" id="{00000000-0008-0000-0800-00009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5" name="Text Box 32">
          <a:extLst>
            <a:ext uri="{FF2B5EF4-FFF2-40B4-BE49-F238E27FC236}">
              <a16:creationId xmlns:a16="http://schemas.microsoft.com/office/drawing/2014/main" id="{00000000-0008-0000-0800-00009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6" name="Text Box 33">
          <a:extLst>
            <a:ext uri="{FF2B5EF4-FFF2-40B4-BE49-F238E27FC236}">
              <a16:creationId xmlns:a16="http://schemas.microsoft.com/office/drawing/2014/main" id="{00000000-0008-0000-0800-00009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7" name="Text Box 34">
          <a:extLst>
            <a:ext uri="{FF2B5EF4-FFF2-40B4-BE49-F238E27FC236}">
              <a16:creationId xmlns:a16="http://schemas.microsoft.com/office/drawing/2014/main" id="{00000000-0008-0000-0800-00009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8" name="Text Box 35">
          <a:extLst>
            <a:ext uri="{FF2B5EF4-FFF2-40B4-BE49-F238E27FC236}">
              <a16:creationId xmlns:a16="http://schemas.microsoft.com/office/drawing/2014/main" id="{00000000-0008-0000-0800-0000A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9" name="Text Box 36">
          <a:extLst>
            <a:ext uri="{FF2B5EF4-FFF2-40B4-BE49-F238E27FC236}">
              <a16:creationId xmlns:a16="http://schemas.microsoft.com/office/drawing/2014/main" id="{00000000-0008-0000-0800-0000A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0" name="Text Box 37">
          <a:extLst>
            <a:ext uri="{FF2B5EF4-FFF2-40B4-BE49-F238E27FC236}">
              <a16:creationId xmlns:a16="http://schemas.microsoft.com/office/drawing/2014/main" id="{00000000-0008-0000-0800-0000A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1" name="Text Box 38">
          <a:extLst>
            <a:ext uri="{FF2B5EF4-FFF2-40B4-BE49-F238E27FC236}">
              <a16:creationId xmlns:a16="http://schemas.microsoft.com/office/drawing/2014/main" id="{00000000-0008-0000-0800-0000A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2" name="Text Box 39">
          <a:extLst>
            <a:ext uri="{FF2B5EF4-FFF2-40B4-BE49-F238E27FC236}">
              <a16:creationId xmlns:a16="http://schemas.microsoft.com/office/drawing/2014/main" id="{00000000-0008-0000-0800-0000A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3" name="Text Box 40">
          <a:extLst>
            <a:ext uri="{FF2B5EF4-FFF2-40B4-BE49-F238E27FC236}">
              <a16:creationId xmlns:a16="http://schemas.microsoft.com/office/drawing/2014/main" id="{00000000-0008-0000-0800-0000A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4" name="Text Box 41">
          <a:extLst>
            <a:ext uri="{FF2B5EF4-FFF2-40B4-BE49-F238E27FC236}">
              <a16:creationId xmlns:a16="http://schemas.microsoft.com/office/drawing/2014/main" id="{00000000-0008-0000-0800-0000A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5" name="Text Box 42">
          <a:extLst>
            <a:ext uri="{FF2B5EF4-FFF2-40B4-BE49-F238E27FC236}">
              <a16:creationId xmlns:a16="http://schemas.microsoft.com/office/drawing/2014/main" id="{00000000-0008-0000-0800-0000A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6" name="Text Box 43">
          <a:extLst>
            <a:ext uri="{FF2B5EF4-FFF2-40B4-BE49-F238E27FC236}">
              <a16:creationId xmlns:a16="http://schemas.microsoft.com/office/drawing/2014/main" id="{00000000-0008-0000-0800-0000A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7" name="Text Box 44">
          <a:extLst>
            <a:ext uri="{FF2B5EF4-FFF2-40B4-BE49-F238E27FC236}">
              <a16:creationId xmlns:a16="http://schemas.microsoft.com/office/drawing/2014/main" id="{00000000-0008-0000-0800-0000A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8" name="Text Box 45">
          <a:extLst>
            <a:ext uri="{FF2B5EF4-FFF2-40B4-BE49-F238E27FC236}">
              <a16:creationId xmlns:a16="http://schemas.microsoft.com/office/drawing/2014/main" id="{00000000-0008-0000-0800-0000A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9" name="Text Box 46">
          <a:extLst>
            <a:ext uri="{FF2B5EF4-FFF2-40B4-BE49-F238E27FC236}">
              <a16:creationId xmlns:a16="http://schemas.microsoft.com/office/drawing/2014/main" id="{00000000-0008-0000-0800-0000A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0" name="Text Box 47">
          <a:extLst>
            <a:ext uri="{FF2B5EF4-FFF2-40B4-BE49-F238E27FC236}">
              <a16:creationId xmlns:a16="http://schemas.microsoft.com/office/drawing/2014/main" id="{00000000-0008-0000-0800-0000A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1" name="Text Box 48">
          <a:extLst>
            <a:ext uri="{FF2B5EF4-FFF2-40B4-BE49-F238E27FC236}">
              <a16:creationId xmlns:a16="http://schemas.microsoft.com/office/drawing/2014/main" id="{00000000-0008-0000-0800-0000A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2" name="Text Box 49">
          <a:extLst>
            <a:ext uri="{FF2B5EF4-FFF2-40B4-BE49-F238E27FC236}">
              <a16:creationId xmlns:a16="http://schemas.microsoft.com/office/drawing/2014/main" id="{00000000-0008-0000-0800-0000A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3" name="Text Box 50">
          <a:extLst>
            <a:ext uri="{FF2B5EF4-FFF2-40B4-BE49-F238E27FC236}">
              <a16:creationId xmlns:a16="http://schemas.microsoft.com/office/drawing/2014/main" id="{00000000-0008-0000-0800-0000A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4" name="Text Box 51">
          <a:extLst>
            <a:ext uri="{FF2B5EF4-FFF2-40B4-BE49-F238E27FC236}">
              <a16:creationId xmlns:a16="http://schemas.microsoft.com/office/drawing/2014/main" id="{00000000-0008-0000-0800-0000B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5" name="Text Box 52">
          <a:extLst>
            <a:ext uri="{FF2B5EF4-FFF2-40B4-BE49-F238E27FC236}">
              <a16:creationId xmlns:a16="http://schemas.microsoft.com/office/drawing/2014/main" id="{00000000-0008-0000-0800-0000B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6" name="Text Box 53">
          <a:extLst>
            <a:ext uri="{FF2B5EF4-FFF2-40B4-BE49-F238E27FC236}">
              <a16:creationId xmlns:a16="http://schemas.microsoft.com/office/drawing/2014/main" id="{00000000-0008-0000-0800-0000B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7" name="Text Box 54">
          <a:extLst>
            <a:ext uri="{FF2B5EF4-FFF2-40B4-BE49-F238E27FC236}">
              <a16:creationId xmlns:a16="http://schemas.microsoft.com/office/drawing/2014/main" id="{00000000-0008-0000-0800-0000B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8" name="Text Box 55">
          <a:extLst>
            <a:ext uri="{FF2B5EF4-FFF2-40B4-BE49-F238E27FC236}">
              <a16:creationId xmlns:a16="http://schemas.microsoft.com/office/drawing/2014/main" id="{00000000-0008-0000-0800-0000B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9" name="Text Box 56">
          <a:extLst>
            <a:ext uri="{FF2B5EF4-FFF2-40B4-BE49-F238E27FC236}">
              <a16:creationId xmlns:a16="http://schemas.microsoft.com/office/drawing/2014/main" id="{00000000-0008-0000-0800-0000B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0" name="Text Box 57">
          <a:extLst>
            <a:ext uri="{FF2B5EF4-FFF2-40B4-BE49-F238E27FC236}">
              <a16:creationId xmlns:a16="http://schemas.microsoft.com/office/drawing/2014/main" id="{00000000-0008-0000-0800-0000B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1" name="Text Box 58">
          <a:extLst>
            <a:ext uri="{FF2B5EF4-FFF2-40B4-BE49-F238E27FC236}">
              <a16:creationId xmlns:a16="http://schemas.microsoft.com/office/drawing/2014/main" id="{00000000-0008-0000-0800-0000B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2" name="Text Box 59">
          <a:extLst>
            <a:ext uri="{FF2B5EF4-FFF2-40B4-BE49-F238E27FC236}">
              <a16:creationId xmlns:a16="http://schemas.microsoft.com/office/drawing/2014/main" id="{00000000-0008-0000-0800-0000B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3" name="Text Box 60">
          <a:extLst>
            <a:ext uri="{FF2B5EF4-FFF2-40B4-BE49-F238E27FC236}">
              <a16:creationId xmlns:a16="http://schemas.microsoft.com/office/drawing/2014/main" id="{00000000-0008-0000-0800-0000B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4" name="Text Box 61">
          <a:extLst>
            <a:ext uri="{FF2B5EF4-FFF2-40B4-BE49-F238E27FC236}">
              <a16:creationId xmlns:a16="http://schemas.microsoft.com/office/drawing/2014/main" id="{00000000-0008-0000-0800-0000B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5" name="Text Box 62">
          <a:extLst>
            <a:ext uri="{FF2B5EF4-FFF2-40B4-BE49-F238E27FC236}">
              <a16:creationId xmlns:a16="http://schemas.microsoft.com/office/drawing/2014/main" id="{00000000-0008-0000-0800-0000B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6" name="Text Box 63">
          <a:extLst>
            <a:ext uri="{FF2B5EF4-FFF2-40B4-BE49-F238E27FC236}">
              <a16:creationId xmlns:a16="http://schemas.microsoft.com/office/drawing/2014/main" id="{00000000-0008-0000-0800-0000B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7" name="Text Box 64">
          <a:extLst>
            <a:ext uri="{FF2B5EF4-FFF2-40B4-BE49-F238E27FC236}">
              <a16:creationId xmlns:a16="http://schemas.microsoft.com/office/drawing/2014/main" id="{00000000-0008-0000-0800-0000B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8" name="Text Box 65">
          <a:extLst>
            <a:ext uri="{FF2B5EF4-FFF2-40B4-BE49-F238E27FC236}">
              <a16:creationId xmlns:a16="http://schemas.microsoft.com/office/drawing/2014/main" id="{00000000-0008-0000-0800-0000B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9" name="Text Box 66">
          <a:extLst>
            <a:ext uri="{FF2B5EF4-FFF2-40B4-BE49-F238E27FC236}">
              <a16:creationId xmlns:a16="http://schemas.microsoft.com/office/drawing/2014/main" id="{00000000-0008-0000-0800-0000B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0" name="Text Box 67">
          <a:extLst>
            <a:ext uri="{FF2B5EF4-FFF2-40B4-BE49-F238E27FC236}">
              <a16:creationId xmlns:a16="http://schemas.microsoft.com/office/drawing/2014/main" id="{00000000-0008-0000-0800-0000C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1" name="Text Box 68">
          <a:extLst>
            <a:ext uri="{FF2B5EF4-FFF2-40B4-BE49-F238E27FC236}">
              <a16:creationId xmlns:a16="http://schemas.microsoft.com/office/drawing/2014/main" id="{00000000-0008-0000-0800-0000C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2" name="Text Box 69">
          <a:extLst>
            <a:ext uri="{FF2B5EF4-FFF2-40B4-BE49-F238E27FC236}">
              <a16:creationId xmlns:a16="http://schemas.microsoft.com/office/drawing/2014/main" id="{00000000-0008-0000-0800-0000C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3" name="Text Box 70">
          <a:extLst>
            <a:ext uri="{FF2B5EF4-FFF2-40B4-BE49-F238E27FC236}">
              <a16:creationId xmlns:a16="http://schemas.microsoft.com/office/drawing/2014/main" id="{00000000-0008-0000-0800-0000C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4" name="Text Box 71">
          <a:extLst>
            <a:ext uri="{FF2B5EF4-FFF2-40B4-BE49-F238E27FC236}">
              <a16:creationId xmlns:a16="http://schemas.microsoft.com/office/drawing/2014/main" id="{00000000-0008-0000-0800-0000C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5" name="Text Box 72">
          <a:extLst>
            <a:ext uri="{FF2B5EF4-FFF2-40B4-BE49-F238E27FC236}">
              <a16:creationId xmlns:a16="http://schemas.microsoft.com/office/drawing/2014/main" id="{00000000-0008-0000-0800-0000C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6" name="Text Box 73">
          <a:extLst>
            <a:ext uri="{FF2B5EF4-FFF2-40B4-BE49-F238E27FC236}">
              <a16:creationId xmlns:a16="http://schemas.microsoft.com/office/drawing/2014/main" id="{00000000-0008-0000-0800-0000C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7" name="Text Box 74">
          <a:extLst>
            <a:ext uri="{FF2B5EF4-FFF2-40B4-BE49-F238E27FC236}">
              <a16:creationId xmlns:a16="http://schemas.microsoft.com/office/drawing/2014/main" id="{00000000-0008-0000-0800-0000C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8" name="Text Box 75">
          <a:extLst>
            <a:ext uri="{FF2B5EF4-FFF2-40B4-BE49-F238E27FC236}">
              <a16:creationId xmlns:a16="http://schemas.microsoft.com/office/drawing/2014/main" id="{00000000-0008-0000-0800-0000C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9" name="Text Box 76">
          <a:extLst>
            <a:ext uri="{FF2B5EF4-FFF2-40B4-BE49-F238E27FC236}">
              <a16:creationId xmlns:a16="http://schemas.microsoft.com/office/drawing/2014/main" id="{00000000-0008-0000-0800-0000C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0" name="Text Box 77">
          <a:extLst>
            <a:ext uri="{FF2B5EF4-FFF2-40B4-BE49-F238E27FC236}">
              <a16:creationId xmlns:a16="http://schemas.microsoft.com/office/drawing/2014/main" id="{00000000-0008-0000-0800-0000C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1" name="Text Box 78">
          <a:extLst>
            <a:ext uri="{FF2B5EF4-FFF2-40B4-BE49-F238E27FC236}">
              <a16:creationId xmlns:a16="http://schemas.microsoft.com/office/drawing/2014/main" id="{00000000-0008-0000-0800-0000C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2" name="Text Box 79">
          <a:extLst>
            <a:ext uri="{FF2B5EF4-FFF2-40B4-BE49-F238E27FC236}">
              <a16:creationId xmlns:a16="http://schemas.microsoft.com/office/drawing/2014/main" id="{00000000-0008-0000-0800-0000C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3" name="Text Box 80">
          <a:extLst>
            <a:ext uri="{FF2B5EF4-FFF2-40B4-BE49-F238E27FC236}">
              <a16:creationId xmlns:a16="http://schemas.microsoft.com/office/drawing/2014/main" id="{00000000-0008-0000-0800-0000C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4" name="Text Box 81">
          <a:extLst>
            <a:ext uri="{FF2B5EF4-FFF2-40B4-BE49-F238E27FC236}">
              <a16:creationId xmlns:a16="http://schemas.microsoft.com/office/drawing/2014/main" id="{00000000-0008-0000-0800-0000C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5" name="Text Box 82">
          <a:extLst>
            <a:ext uri="{FF2B5EF4-FFF2-40B4-BE49-F238E27FC236}">
              <a16:creationId xmlns:a16="http://schemas.microsoft.com/office/drawing/2014/main" id="{00000000-0008-0000-0800-0000C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6" name="Text Box 83">
          <a:extLst>
            <a:ext uri="{FF2B5EF4-FFF2-40B4-BE49-F238E27FC236}">
              <a16:creationId xmlns:a16="http://schemas.microsoft.com/office/drawing/2014/main" id="{00000000-0008-0000-0800-0000D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7" name="Text Box 84">
          <a:extLst>
            <a:ext uri="{FF2B5EF4-FFF2-40B4-BE49-F238E27FC236}">
              <a16:creationId xmlns:a16="http://schemas.microsoft.com/office/drawing/2014/main" id="{00000000-0008-0000-0800-0000D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8" name="Text Box 85">
          <a:extLst>
            <a:ext uri="{FF2B5EF4-FFF2-40B4-BE49-F238E27FC236}">
              <a16:creationId xmlns:a16="http://schemas.microsoft.com/office/drawing/2014/main" id="{00000000-0008-0000-0800-0000D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9" name="Text Box 86">
          <a:extLst>
            <a:ext uri="{FF2B5EF4-FFF2-40B4-BE49-F238E27FC236}">
              <a16:creationId xmlns:a16="http://schemas.microsoft.com/office/drawing/2014/main" id="{00000000-0008-0000-0800-0000D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0" name="Text Box 87">
          <a:extLst>
            <a:ext uri="{FF2B5EF4-FFF2-40B4-BE49-F238E27FC236}">
              <a16:creationId xmlns:a16="http://schemas.microsoft.com/office/drawing/2014/main" id="{00000000-0008-0000-0800-0000D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1" name="Text Box 88">
          <a:extLst>
            <a:ext uri="{FF2B5EF4-FFF2-40B4-BE49-F238E27FC236}">
              <a16:creationId xmlns:a16="http://schemas.microsoft.com/office/drawing/2014/main" id="{00000000-0008-0000-0800-0000D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2" name="Text Box 89">
          <a:extLst>
            <a:ext uri="{FF2B5EF4-FFF2-40B4-BE49-F238E27FC236}">
              <a16:creationId xmlns:a16="http://schemas.microsoft.com/office/drawing/2014/main" id="{00000000-0008-0000-0800-0000D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3" name="Text Box 90">
          <a:extLst>
            <a:ext uri="{FF2B5EF4-FFF2-40B4-BE49-F238E27FC236}">
              <a16:creationId xmlns:a16="http://schemas.microsoft.com/office/drawing/2014/main" id="{00000000-0008-0000-0800-0000D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4" name="Text Box 91">
          <a:extLst>
            <a:ext uri="{FF2B5EF4-FFF2-40B4-BE49-F238E27FC236}">
              <a16:creationId xmlns:a16="http://schemas.microsoft.com/office/drawing/2014/main" id="{00000000-0008-0000-0800-0000D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5" name="Text Box 92">
          <a:extLst>
            <a:ext uri="{FF2B5EF4-FFF2-40B4-BE49-F238E27FC236}">
              <a16:creationId xmlns:a16="http://schemas.microsoft.com/office/drawing/2014/main" id="{00000000-0008-0000-0800-0000D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6" name="Text Box 93">
          <a:extLst>
            <a:ext uri="{FF2B5EF4-FFF2-40B4-BE49-F238E27FC236}">
              <a16:creationId xmlns:a16="http://schemas.microsoft.com/office/drawing/2014/main" id="{00000000-0008-0000-0800-0000D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7" name="Text Box 94">
          <a:extLst>
            <a:ext uri="{FF2B5EF4-FFF2-40B4-BE49-F238E27FC236}">
              <a16:creationId xmlns:a16="http://schemas.microsoft.com/office/drawing/2014/main" id="{00000000-0008-0000-0800-0000D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8" name="Text Box 95">
          <a:extLst>
            <a:ext uri="{FF2B5EF4-FFF2-40B4-BE49-F238E27FC236}">
              <a16:creationId xmlns:a16="http://schemas.microsoft.com/office/drawing/2014/main" id="{00000000-0008-0000-0800-0000D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9" name="Text Box 96">
          <a:extLst>
            <a:ext uri="{FF2B5EF4-FFF2-40B4-BE49-F238E27FC236}">
              <a16:creationId xmlns:a16="http://schemas.microsoft.com/office/drawing/2014/main" id="{00000000-0008-0000-0800-0000D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90" name="Text Box 97">
          <a:extLst>
            <a:ext uri="{FF2B5EF4-FFF2-40B4-BE49-F238E27FC236}">
              <a16:creationId xmlns:a16="http://schemas.microsoft.com/office/drawing/2014/main" id="{00000000-0008-0000-0800-0000D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1" name="Text Box 100">
          <a:extLst>
            <a:ext uri="{FF2B5EF4-FFF2-40B4-BE49-F238E27FC236}">
              <a16:creationId xmlns:a16="http://schemas.microsoft.com/office/drawing/2014/main" id="{00000000-0008-0000-0800-0000D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2" name="Text Box 101">
          <a:extLst>
            <a:ext uri="{FF2B5EF4-FFF2-40B4-BE49-F238E27FC236}">
              <a16:creationId xmlns:a16="http://schemas.microsoft.com/office/drawing/2014/main" id="{00000000-0008-0000-0800-0000E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3" name="Text Box 102">
          <a:extLst>
            <a:ext uri="{FF2B5EF4-FFF2-40B4-BE49-F238E27FC236}">
              <a16:creationId xmlns:a16="http://schemas.microsoft.com/office/drawing/2014/main" id="{00000000-0008-0000-0800-0000E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4" name="Text Box 103">
          <a:extLst>
            <a:ext uri="{FF2B5EF4-FFF2-40B4-BE49-F238E27FC236}">
              <a16:creationId xmlns:a16="http://schemas.microsoft.com/office/drawing/2014/main" id="{00000000-0008-0000-0800-0000E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5" name="Text Box 104">
          <a:extLst>
            <a:ext uri="{FF2B5EF4-FFF2-40B4-BE49-F238E27FC236}">
              <a16:creationId xmlns:a16="http://schemas.microsoft.com/office/drawing/2014/main" id="{00000000-0008-0000-0800-0000E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6" name="Text Box 105">
          <a:extLst>
            <a:ext uri="{FF2B5EF4-FFF2-40B4-BE49-F238E27FC236}">
              <a16:creationId xmlns:a16="http://schemas.microsoft.com/office/drawing/2014/main" id="{00000000-0008-0000-0800-0000E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7" name="Text Box 106">
          <a:extLst>
            <a:ext uri="{FF2B5EF4-FFF2-40B4-BE49-F238E27FC236}">
              <a16:creationId xmlns:a16="http://schemas.microsoft.com/office/drawing/2014/main" id="{00000000-0008-0000-0800-0000E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8" name="Text Box 107">
          <a:extLst>
            <a:ext uri="{FF2B5EF4-FFF2-40B4-BE49-F238E27FC236}">
              <a16:creationId xmlns:a16="http://schemas.microsoft.com/office/drawing/2014/main" id="{00000000-0008-0000-0800-0000E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9" name="Text Box 108">
          <a:extLst>
            <a:ext uri="{FF2B5EF4-FFF2-40B4-BE49-F238E27FC236}">
              <a16:creationId xmlns:a16="http://schemas.microsoft.com/office/drawing/2014/main" id="{00000000-0008-0000-0800-0000E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0" name="Text Box 109">
          <a:extLst>
            <a:ext uri="{FF2B5EF4-FFF2-40B4-BE49-F238E27FC236}">
              <a16:creationId xmlns:a16="http://schemas.microsoft.com/office/drawing/2014/main" id="{00000000-0008-0000-0800-0000E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1" name="Text Box 110">
          <a:extLst>
            <a:ext uri="{FF2B5EF4-FFF2-40B4-BE49-F238E27FC236}">
              <a16:creationId xmlns:a16="http://schemas.microsoft.com/office/drawing/2014/main" id="{00000000-0008-0000-0800-0000E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2" name="Text Box 111">
          <a:extLst>
            <a:ext uri="{FF2B5EF4-FFF2-40B4-BE49-F238E27FC236}">
              <a16:creationId xmlns:a16="http://schemas.microsoft.com/office/drawing/2014/main" id="{00000000-0008-0000-0800-0000E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3" name="Text Box 119">
          <a:extLst>
            <a:ext uri="{FF2B5EF4-FFF2-40B4-BE49-F238E27FC236}">
              <a16:creationId xmlns:a16="http://schemas.microsoft.com/office/drawing/2014/main" id="{00000000-0008-0000-0800-0000E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4" name="Text Box 120">
          <a:extLst>
            <a:ext uri="{FF2B5EF4-FFF2-40B4-BE49-F238E27FC236}">
              <a16:creationId xmlns:a16="http://schemas.microsoft.com/office/drawing/2014/main" id="{00000000-0008-0000-0800-0000E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5" name="Text Box 121">
          <a:extLst>
            <a:ext uri="{FF2B5EF4-FFF2-40B4-BE49-F238E27FC236}">
              <a16:creationId xmlns:a16="http://schemas.microsoft.com/office/drawing/2014/main" id="{00000000-0008-0000-0800-0000E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6" name="Text Box 122">
          <a:extLst>
            <a:ext uri="{FF2B5EF4-FFF2-40B4-BE49-F238E27FC236}">
              <a16:creationId xmlns:a16="http://schemas.microsoft.com/office/drawing/2014/main" id="{00000000-0008-0000-0800-0000E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7" name="Text Box 123">
          <a:extLst>
            <a:ext uri="{FF2B5EF4-FFF2-40B4-BE49-F238E27FC236}">
              <a16:creationId xmlns:a16="http://schemas.microsoft.com/office/drawing/2014/main" id="{00000000-0008-0000-0800-0000E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8" name="Text Box 124">
          <a:extLst>
            <a:ext uri="{FF2B5EF4-FFF2-40B4-BE49-F238E27FC236}">
              <a16:creationId xmlns:a16="http://schemas.microsoft.com/office/drawing/2014/main" id="{00000000-0008-0000-0800-0000F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9" name="Text Box 125">
          <a:extLst>
            <a:ext uri="{FF2B5EF4-FFF2-40B4-BE49-F238E27FC236}">
              <a16:creationId xmlns:a16="http://schemas.microsoft.com/office/drawing/2014/main" id="{00000000-0008-0000-0800-0000F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0" name="Text Box 126">
          <a:extLst>
            <a:ext uri="{FF2B5EF4-FFF2-40B4-BE49-F238E27FC236}">
              <a16:creationId xmlns:a16="http://schemas.microsoft.com/office/drawing/2014/main" id="{00000000-0008-0000-0800-0000F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1" name="Text Box 127">
          <a:extLst>
            <a:ext uri="{FF2B5EF4-FFF2-40B4-BE49-F238E27FC236}">
              <a16:creationId xmlns:a16="http://schemas.microsoft.com/office/drawing/2014/main" id="{00000000-0008-0000-0800-0000F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2" name="Text Box 128">
          <a:extLst>
            <a:ext uri="{FF2B5EF4-FFF2-40B4-BE49-F238E27FC236}">
              <a16:creationId xmlns:a16="http://schemas.microsoft.com/office/drawing/2014/main" id="{00000000-0008-0000-0800-0000F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3" name="Text Box 129">
          <a:extLst>
            <a:ext uri="{FF2B5EF4-FFF2-40B4-BE49-F238E27FC236}">
              <a16:creationId xmlns:a16="http://schemas.microsoft.com/office/drawing/2014/main" id="{00000000-0008-0000-0800-0000F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4" name="Text Box 130">
          <a:extLst>
            <a:ext uri="{FF2B5EF4-FFF2-40B4-BE49-F238E27FC236}">
              <a16:creationId xmlns:a16="http://schemas.microsoft.com/office/drawing/2014/main" id="{00000000-0008-0000-0800-0000F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5" name="Text Box 133">
          <a:extLst>
            <a:ext uri="{FF2B5EF4-FFF2-40B4-BE49-F238E27FC236}">
              <a16:creationId xmlns:a16="http://schemas.microsoft.com/office/drawing/2014/main" id="{00000000-0008-0000-0800-0000F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6" name="Text Box 134">
          <a:extLst>
            <a:ext uri="{FF2B5EF4-FFF2-40B4-BE49-F238E27FC236}">
              <a16:creationId xmlns:a16="http://schemas.microsoft.com/office/drawing/2014/main" id="{00000000-0008-0000-0800-0000F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7" name="Text Box 135">
          <a:extLst>
            <a:ext uri="{FF2B5EF4-FFF2-40B4-BE49-F238E27FC236}">
              <a16:creationId xmlns:a16="http://schemas.microsoft.com/office/drawing/2014/main" id="{00000000-0008-0000-0800-0000F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8" name="Text Box 136">
          <a:extLst>
            <a:ext uri="{FF2B5EF4-FFF2-40B4-BE49-F238E27FC236}">
              <a16:creationId xmlns:a16="http://schemas.microsoft.com/office/drawing/2014/main" id="{00000000-0008-0000-0800-0000F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9" name="Text Box 137">
          <a:extLst>
            <a:ext uri="{FF2B5EF4-FFF2-40B4-BE49-F238E27FC236}">
              <a16:creationId xmlns:a16="http://schemas.microsoft.com/office/drawing/2014/main" id="{00000000-0008-0000-0800-0000F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0" name="Text Box 138">
          <a:extLst>
            <a:ext uri="{FF2B5EF4-FFF2-40B4-BE49-F238E27FC236}">
              <a16:creationId xmlns:a16="http://schemas.microsoft.com/office/drawing/2014/main" id="{00000000-0008-0000-0800-0000F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1" name="Text Box 139">
          <a:extLst>
            <a:ext uri="{FF2B5EF4-FFF2-40B4-BE49-F238E27FC236}">
              <a16:creationId xmlns:a16="http://schemas.microsoft.com/office/drawing/2014/main" id="{00000000-0008-0000-0800-0000F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2" name="Text Box 140">
          <a:extLst>
            <a:ext uri="{FF2B5EF4-FFF2-40B4-BE49-F238E27FC236}">
              <a16:creationId xmlns:a16="http://schemas.microsoft.com/office/drawing/2014/main" id="{00000000-0008-0000-0800-0000F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3" name="Text Box 141">
          <a:extLst>
            <a:ext uri="{FF2B5EF4-FFF2-40B4-BE49-F238E27FC236}">
              <a16:creationId xmlns:a16="http://schemas.microsoft.com/office/drawing/2014/main" id="{00000000-0008-0000-0800-0000F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4" name="Text Box 142">
          <a:extLst>
            <a:ext uri="{FF2B5EF4-FFF2-40B4-BE49-F238E27FC236}">
              <a16:creationId xmlns:a16="http://schemas.microsoft.com/office/drawing/2014/main" id="{00000000-0008-0000-0800-00000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5" name="Text Box 143">
          <a:extLst>
            <a:ext uri="{FF2B5EF4-FFF2-40B4-BE49-F238E27FC236}">
              <a16:creationId xmlns:a16="http://schemas.microsoft.com/office/drawing/2014/main" id="{00000000-0008-0000-0800-00000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6" name="Text Box 144">
          <a:extLst>
            <a:ext uri="{FF2B5EF4-FFF2-40B4-BE49-F238E27FC236}">
              <a16:creationId xmlns:a16="http://schemas.microsoft.com/office/drawing/2014/main" id="{00000000-0008-0000-0800-00000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7" name="Text Box 145">
          <a:extLst>
            <a:ext uri="{FF2B5EF4-FFF2-40B4-BE49-F238E27FC236}">
              <a16:creationId xmlns:a16="http://schemas.microsoft.com/office/drawing/2014/main" id="{00000000-0008-0000-0800-00000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8" name="Text Box 146">
          <a:extLst>
            <a:ext uri="{FF2B5EF4-FFF2-40B4-BE49-F238E27FC236}">
              <a16:creationId xmlns:a16="http://schemas.microsoft.com/office/drawing/2014/main" id="{00000000-0008-0000-0800-00000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9" name="Text Box 147">
          <a:extLst>
            <a:ext uri="{FF2B5EF4-FFF2-40B4-BE49-F238E27FC236}">
              <a16:creationId xmlns:a16="http://schemas.microsoft.com/office/drawing/2014/main" id="{00000000-0008-0000-0800-00000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0" name="Text Box 148">
          <a:extLst>
            <a:ext uri="{FF2B5EF4-FFF2-40B4-BE49-F238E27FC236}">
              <a16:creationId xmlns:a16="http://schemas.microsoft.com/office/drawing/2014/main" id="{00000000-0008-0000-0800-00000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1" name="Text Box 149">
          <a:extLst>
            <a:ext uri="{FF2B5EF4-FFF2-40B4-BE49-F238E27FC236}">
              <a16:creationId xmlns:a16="http://schemas.microsoft.com/office/drawing/2014/main" id="{00000000-0008-0000-0800-00000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2" name="Text Box 150">
          <a:extLst>
            <a:ext uri="{FF2B5EF4-FFF2-40B4-BE49-F238E27FC236}">
              <a16:creationId xmlns:a16="http://schemas.microsoft.com/office/drawing/2014/main" id="{00000000-0008-0000-0800-00000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3" name="Text Box 151">
          <a:extLst>
            <a:ext uri="{FF2B5EF4-FFF2-40B4-BE49-F238E27FC236}">
              <a16:creationId xmlns:a16="http://schemas.microsoft.com/office/drawing/2014/main" id="{00000000-0008-0000-0800-00000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4" name="Text Box 152">
          <a:extLst>
            <a:ext uri="{FF2B5EF4-FFF2-40B4-BE49-F238E27FC236}">
              <a16:creationId xmlns:a16="http://schemas.microsoft.com/office/drawing/2014/main" id="{00000000-0008-0000-0800-00000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5" name="Text Box 153">
          <a:extLst>
            <a:ext uri="{FF2B5EF4-FFF2-40B4-BE49-F238E27FC236}">
              <a16:creationId xmlns:a16="http://schemas.microsoft.com/office/drawing/2014/main" id="{00000000-0008-0000-0800-00000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6" name="Text Box 154">
          <a:extLst>
            <a:ext uri="{FF2B5EF4-FFF2-40B4-BE49-F238E27FC236}">
              <a16:creationId xmlns:a16="http://schemas.microsoft.com/office/drawing/2014/main" id="{00000000-0008-0000-0800-00000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7" name="Text Box 155">
          <a:extLst>
            <a:ext uri="{FF2B5EF4-FFF2-40B4-BE49-F238E27FC236}">
              <a16:creationId xmlns:a16="http://schemas.microsoft.com/office/drawing/2014/main" id="{00000000-0008-0000-0800-00000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8" name="Text Box 156">
          <a:extLst>
            <a:ext uri="{FF2B5EF4-FFF2-40B4-BE49-F238E27FC236}">
              <a16:creationId xmlns:a16="http://schemas.microsoft.com/office/drawing/2014/main" id="{00000000-0008-0000-0800-00000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9" name="Text Box 157">
          <a:extLst>
            <a:ext uri="{FF2B5EF4-FFF2-40B4-BE49-F238E27FC236}">
              <a16:creationId xmlns:a16="http://schemas.microsoft.com/office/drawing/2014/main" id="{00000000-0008-0000-0800-00000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0" name="Text Box 158">
          <a:extLst>
            <a:ext uri="{FF2B5EF4-FFF2-40B4-BE49-F238E27FC236}">
              <a16:creationId xmlns:a16="http://schemas.microsoft.com/office/drawing/2014/main" id="{00000000-0008-0000-0800-00001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1" name="Text Box 159">
          <a:extLst>
            <a:ext uri="{FF2B5EF4-FFF2-40B4-BE49-F238E27FC236}">
              <a16:creationId xmlns:a16="http://schemas.microsoft.com/office/drawing/2014/main" id="{00000000-0008-0000-0800-00001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2" name="Text Box 160">
          <a:extLst>
            <a:ext uri="{FF2B5EF4-FFF2-40B4-BE49-F238E27FC236}">
              <a16:creationId xmlns:a16="http://schemas.microsoft.com/office/drawing/2014/main" id="{00000000-0008-0000-0800-00001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3" name="Text Box 161">
          <a:extLst>
            <a:ext uri="{FF2B5EF4-FFF2-40B4-BE49-F238E27FC236}">
              <a16:creationId xmlns:a16="http://schemas.microsoft.com/office/drawing/2014/main" id="{00000000-0008-0000-0800-00001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4" name="Text Box 162">
          <a:extLst>
            <a:ext uri="{FF2B5EF4-FFF2-40B4-BE49-F238E27FC236}">
              <a16:creationId xmlns:a16="http://schemas.microsoft.com/office/drawing/2014/main" id="{00000000-0008-0000-0800-00001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5" name="Text Box 163">
          <a:extLst>
            <a:ext uri="{FF2B5EF4-FFF2-40B4-BE49-F238E27FC236}">
              <a16:creationId xmlns:a16="http://schemas.microsoft.com/office/drawing/2014/main" id="{00000000-0008-0000-0800-00001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6" name="Text Box 164">
          <a:extLst>
            <a:ext uri="{FF2B5EF4-FFF2-40B4-BE49-F238E27FC236}">
              <a16:creationId xmlns:a16="http://schemas.microsoft.com/office/drawing/2014/main" id="{00000000-0008-0000-0800-00001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7" name="Text Box 165">
          <a:extLst>
            <a:ext uri="{FF2B5EF4-FFF2-40B4-BE49-F238E27FC236}">
              <a16:creationId xmlns:a16="http://schemas.microsoft.com/office/drawing/2014/main" id="{00000000-0008-0000-0800-00001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8" name="Text Box 166">
          <a:extLst>
            <a:ext uri="{FF2B5EF4-FFF2-40B4-BE49-F238E27FC236}">
              <a16:creationId xmlns:a16="http://schemas.microsoft.com/office/drawing/2014/main" id="{00000000-0008-0000-0800-00001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9" name="Text Box 167">
          <a:extLst>
            <a:ext uri="{FF2B5EF4-FFF2-40B4-BE49-F238E27FC236}">
              <a16:creationId xmlns:a16="http://schemas.microsoft.com/office/drawing/2014/main" id="{00000000-0008-0000-0800-00001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0" name="Text Box 168">
          <a:extLst>
            <a:ext uri="{FF2B5EF4-FFF2-40B4-BE49-F238E27FC236}">
              <a16:creationId xmlns:a16="http://schemas.microsoft.com/office/drawing/2014/main" id="{00000000-0008-0000-0800-00001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1" name="Text Box 169">
          <a:extLst>
            <a:ext uri="{FF2B5EF4-FFF2-40B4-BE49-F238E27FC236}">
              <a16:creationId xmlns:a16="http://schemas.microsoft.com/office/drawing/2014/main" id="{00000000-0008-0000-0800-00001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2" name="Text Box 170">
          <a:extLst>
            <a:ext uri="{FF2B5EF4-FFF2-40B4-BE49-F238E27FC236}">
              <a16:creationId xmlns:a16="http://schemas.microsoft.com/office/drawing/2014/main" id="{00000000-0008-0000-0800-00001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3" name="Text Box 171">
          <a:extLst>
            <a:ext uri="{FF2B5EF4-FFF2-40B4-BE49-F238E27FC236}">
              <a16:creationId xmlns:a16="http://schemas.microsoft.com/office/drawing/2014/main" id="{00000000-0008-0000-0800-00001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4" name="Text Box 172">
          <a:extLst>
            <a:ext uri="{FF2B5EF4-FFF2-40B4-BE49-F238E27FC236}">
              <a16:creationId xmlns:a16="http://schemas.microsoft.com/office/drawing/2014/main" id="{00000000-0008-0000-0800-00001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5" name="Text Box 173">
          <a:extLst>
            <a:ext uri="{FF2B5EF4-FFF2-40B4-BE49-F238E27FC236}">
              <a16:creationId xmlns:a16="http://schemas.microsoft.com/office/drawing/2014/main" id="{00000000-0008-0000-0800-00001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6" name="Text Box 174">
          <a:extLst>
            <a:ext uri="{FF2B5EF4-FFF2-40B4-BE49-F238E27FC236}">
              <a16:creationId xmlns:a16="http://schemas.microsoft.com/office/drawing/2014/main" id="{00000000-0008-0000-0800-00002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7" name="Text Box 175">
          <a:extLst>
            <a:ext uri="{FF2B5EF4-FFF2-40B4-BE49-F238E27FC236}">
              <a16:creationId xmlns:a16="http://schemas.microsoft.com/office/drawing/2014/main" id="{00000000-0008-0000-0800-00002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8" name="Text Box 176">
          <a:extLst>
            <a:ext uri="{FF2B5EF4-FFF2-40B4-BE49-F238E27FC236}">
              <a16:creationId xmlns:a16="http://schemas.microsoft.com/office/drawing/2014/main" id="{00000000-0008-0000-0800-00002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9" name="Text Box 177">
          <a:extLst>
            <a:ext uri="{FF2B5EF4-FFF2-40B4-BE49-F238E27FC236}">
              <a16:creationId xmlns:a16="http://schemas.microsoft.com/office/drawing/2014/main" id="{00000000-0008-0000-0800-00002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0" name="Text Box 178">
          <a:extLst>
            <a:ext uri="{FF2B5EF4-FFF2-40B4-BE49-F238E27FC236}">
              <a16:creationId xmlns:a16="http://schemas.microsoft.com/office/drawing/2014/main" id="{00000000-0008-0000-0800-00002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1" name="Text Box 179">
          <a:extLst>
            <a:ext uri="{FF2B5EF4-FFF2-40B4-BE49-F238E27FC236}">
              <a16:creationId xmlns:a16="http://schemas.microsoft.com/office/drawing/2014/main" id="{00000000-0008-0000-0800-00002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2" name="Text Box 180">
          <a:extLst>
            <a:ext uri="{FF2B5EF4-FFF2-40B4-BE49-F238E27FC236}">
              <a16:creationId xmlns:a16="http://schemas.microsoft.com/office/drawing/2014/main" id="{00000000-0008-0000-0800-00002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3" name="Text Box 181">
          <a:extLst>
            <a:ext uri="{FF2B5EF4-FFF2-40B4-BE49-F238E27FC236}">
              <a16:creationId xmlns:a16="http://schemas.microsoft.com/office/drawing/2014/main" id="{00000000-0008-0000-0800-00002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4" name="Text Box 182">
          <a:extLst>
            <a:ext uri="{FF2B5EF4-FFF2-40B4-BE49-F238E27FC236}">
              <a16:creationId xmlns:a16="http://schemas.microsoft.com/office/drawing/2014/main" id="{00000000-0008-0000-0800-00002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5" name="Text Box 183">
          <a:extLst>
            <a:ext uri="{FF2B5EF4-FFF2-40B4-BE49-F238E27FC236}">
              <a16:creationId xmlns:a16="http://schemas.microsoft.com/office/drawing/2014/main" id="{00000000-0008-0000-0800-00002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6" name="Text Box 184">
          <a:extLst>
            <a:ext uri="{FF2B5EF4-FFF2-40B4-BE49-F238E27FC236}">
              <a16:creationId xmlns:a16="http://schemas.microsoft.com/office/drawing/2014/main" id="{00000000-0008-0000-0800-00002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7" name="Text Box 185">
          <a:extLst>
            <a:ext uri="{FF2B5EF4-FFF2-40B4-BE49-F238E27FC236}">
              <a16:creationId xmlns:a16="http://schemas.microsoft.com/office/drawing/2014/main" id="{00000000-0008-0000-0800-00002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8" name="Text Box 186">
          <a:extLst>
            <a:ext uri="{FF2B5EF4-FFF2-40B4-BE49-F238E27FC236}">
              <a16:creationId xmlns:a16="http://schemas.microsoft.com/office/drawing/2014/main" id="{00000000-0008-0000-0800-00002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9" name="Text Box 187">
          <a:extLst>
            <a:ext uri="{FF2B5EF4-FFF2-40B4-BE49-F238E27FC236}">
              <a16:creationId xmlns:a16="http://schemas.microsoft.com/office/drawing/2014/main" id="{00000000-0008-0000-0800-00002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0" name="Text Box 188">
          <a:extLst>
            <a:ext uri="{FF2B5EF4-FFF2-40B4-BE49-F238E27FC236}">
              <a16:creationId xmlns:a16="http://schemas.microsoft.com/office/drawing/2014/main" id="{00000000-0008-0000-0800-00002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1" name="Text Box 189">
          <a:extLst>
            <a:ext uri="{FF2B5EF4-FFF2-40B4-BE49-F238E27FC236}">
              <a16:creationId xmlns:a16="http://schemas.microsoft.com/office/drawing/2014/main" id="{00000000-0008-0000-0800-00002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2" name="Text Box 190">
          <a:extLst>
            <a:ext uri="{FF2B5EF4-FFF2-40B4-BE49-F238E27FC236}">
              <a16:creationId xmlns:a16="http://schemas.microsoft.com/office/drawing/2014/main" id="{00000000-0008-0000-0800-00003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3" name="Text Box 191">
          <a:extLst>
            <a:ext uri="{FF2B5EF4-FFF2-40B4-BE49-F238E27FC236}">
              <a16:creationId xmlns:a16="http://schemas.microsoft.com/office/drawing/2014/main" id="{00000000-0008-0000-0800-00003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4" name="Text Box 192">
          <a:extLst>
            <a:ext uri="{FF2B5EF4-FFF2-40B4-BE49-F238E27FC236}">
              <a16:creationId xmlns:a16="http://schemas.microsoft.com/office/drawing/2014/main" id="{00000000-0008-0000-0800-00003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5" name="Text Box 193">
          <a:extLst>
            <a:ext uri="{FF2B5EF4-FFF2-40B4-BE49-F238E27FC236}">
              <a16:creationId xmlns:a16="http://schemas.microsoft.com/office/drawing/2014/main" id="{00000000-0008-0000-0800-00003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6" name="Text Box 194">
          <a:extLst>
            <a:ext uri="{FF2B5EF4-FFF2-40B4-BE49-F238E27FC236}">
              <a16:creationId xmlns:a16="http://schemas.microsoft.com/office/drawing/2014/main" id="{00000000-0008-0000-0800-00003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7" name="Text Box 195">
          <a:extLst>
            <a:ext uri="{FF2B5EF4-FFF2-40B4-BE49-F238E27FC236}">
              <a16:creationId xmlns:a16="http://schemas.microsoft.com/office/drawing/2014/main" id="{00000000-0008-0000-0800-00003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8" name="Text Box 196">
          <a:extLst>
            <a:ext uri="{FF2B5EF4-FFF2-40B4-BE49-F238E27FC236}">
              <a16:creationId xmlns:a16="http://schemas.microsoft.com/office/drawing/2014/main" id="{00000000-0008-0000-0800-00003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9" name="Text Box 197">
          <a:extLst>
            <a:ext uri="{FF2B5EF4-FFF2-40B4-BE49-F238E27FC236}">
              <a16:creationId xmlns:a16="http://schemas.microsoft.com/office/drawing/2014/main" id="{00000000-0008-0000-0800-00003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0" name="Text Box 198">
          <a:extLst>
            <a:ext uri="{FF2B5EF4-FFF2-40B4-BE49-F238E27FC236}">
              <a16:creationId xmlns:a16="http://schemas.microsoft.com/office/drawing/2014/main" id="{00000000-0008-0000-0800-00003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1" name="Text Box 199">
          <a:extLst>
            <a:ext uri="{FF2B5EF4-FFF2-40B4-BE49-F238E27FC236}">
              <a16:creationId xmlns:a16="http://schemas.microsoft.com/office/drawing/2014/main" id="{00000000-0008-0000-0800-00003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2" name="Text Box 200">
          <a:extLst>
            <a:ext uri="{FF2B5EF4-FFF2-40B4-BE49-F238E27FC236}">
              <a16:creationId xmlns:a16="http://schemas.microsoft.com/office/drawing/2014/main" id="{00000000-0008-0000-0800-00003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3" name="Text Box 201">
          <a:extLst>
            <a:ext uri="{FF2B5EF4-FFF2-40B4-BE49-F238E27FC236}">
              <a16:creationId xmlns:a16="http://schemas.microsoft.com/office/drawing/2014/main" id="{00000000-0008-0000-0800-00003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4" name="Text Box 202">
          <a:extLst>
            <a:ext uri="{FF2B5EF4-FFF2-40B4-BE49-F238E27FC236}">
              <a16:creationId xmlns:a16="http://schemas.microsoft.com/office/drawing/2014/main" id="{00000000-0008-0000-0800-00003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5" name="Text Box 203">
          <a:extLst>
            <a:ext uri="{FF2B5EF4-FFF2-40B4-BE49-F238E27FC236}">
              <a16:creationId xmlns:a16="http://schemas.microsoft.com/office/drawing/2014/main" id="{00000000-0008-0000-0800-00003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6" name="Text Box 204">
          <a:extLst>
            <a:ext uri="{FF2B5EF4-FFF2-40B4-BE49-F238E27FC236}">
              <a16:creationId xmlns:a16="http://schemas.microsoft.com/office/drawing/2014/main" id="{00000000-0008-0000-0800-00003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7" name="Text Box 205">
          <a:extLst>
            <a:ext uri="{FF2B5EF4-FFF2-40B4-BE49-F238E27FC236}">
              <a16:creationId xmlns:a16="http://schemas.microsoft.com/office/drawing/2014/main" id="{00000000-0008-0000-0800-00003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8" name="Text Box 206">
          <a:extLst>
            <a:ext uri="{FF2B5EF4-FFF2-40B4-BE49-F238E27FC236}">
              <a16:creationId xmlns:a16="http://schemas.microsoft.com/office/drawing/2014/main" id="{00000000-0008-0000-0800-00004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9" name="Text Box 207">
          <a:extLst>
            <a:ext uri="{FF2B5EF4-FFF2-40B4-BE49-F238E27FC236}">
              <a16:creationId xmlns:a16="http://schemas.microsoft.com/office/drawing/2014/main" id="{00000000-0008-0000-0800-00004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0" name="Text Box 208">
          <a:extLst>
            <a:ext uri="{FF2B5EF4-FFF2-40B4-BE49-F238E27FC236}">
              <a16:creationId xmlns:a16="http://schemas.microsoft.com/office/drawing/2014/main" id="{00000000-0008-0000-0800-00004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1" name="Text Box 209">
          <a:extLst>
            <a:ext uri="{FF2B5EF4-FFF2-40B4-BE49-F238E27FC236}">
              <a16:creationId xmlns:a16="http://schemas.microsoft.com/office/drawing/2014/main" id="{00000000-0008-0000-0800-00004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2" name="Text Box 210">
          <a:extLst>
            <a:ext uri="{FF2B5EF4-FFF2-40B4-BE49-F238E27FC236}">
              <a16:creationId xmlns:a16="http://schemas.microsoft.com/office/drawing/2014/main" id="{00000000-0008-0000-0800-00004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3" name="Text Box 211">
          <a:extLst>
            <a:ext uri="{FF2B5EF4-FFF2-40B4-BE49-F238E27FC236}">
              <a16:creationId xmlns:a16="http://schemas.microsoft.com/office/drawing/2014/main" id="{00000000-0008-0000-0800-00004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4" name="Text Box 212">
          <a:extLst>
            <a:ext uri="{FF2B5EF4-FFF2-40B4-BE49-F238E27FC236}">
              <a16:creationId xmlns:a16="http://schemas.microsoft.com/office/drawing/2014/main" id="{00000000-0008-0000-0800-00004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5" name="Text Box 213">
          <a:extLst>
            <a:ext uri="{FF2B5EF4-FFF2-40B4-BE49-F238E27FC236}">
              <a16:creationId xmlns:a16="http://schemas.microsoft.com/office/drawing/2014/main" id="{00000000-0008-0000-0800-00004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6" name="Text Box 214">
          <a:extLst>
            <a:ext uri="{FF2B5EF4-FFF2-40B4-BE49-F238E27FC236}">
              <a16:creationId xmlns:a16="http://schemas.microsoft.com/office/drawing/2014/main" id="{00000000-0008-0000-0800-00004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7" name="Text Box 215">
          <a:extLst>
            <a:ext uri="{FF2B5EF4-FFF2-40B4-BE49-F238E27FC236}">
              <a16:creationId xmlns:a16="http://schemas.microsoft.com/office/drawing/2014/main" id="{00000000-0008-0000-0800-00004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8" name="Text Box 216">
          <a:extLst>
            <a:ext uri="{FF2B5EF4-FFF2-40B4-BE49-F238E27FC236}">
              <a16:creationId xmlns:a16="http://schemas.microsoft.com/office/drawing/2014/main" id="{00000000-0008-0000-0800-00004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9" name="Text Box 217">
          <a:extLst>
            <a:ext uri="{FF2B5EF4-FFF2-40B4-BE49-F238E27FC236}">
              <a16:creationId xmlns:a16="http://schemas.microsoft.com/office/drawing/2014/main" id="{00000000-0008-0000-0800-00004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0" name="Text Box 218">
          <a:extLst>
            <a:ext uri="{FF2B5EF4-FFF2-40B4-BE49-F238E27FC236}">
              <a16:creationId xmlns:a16="http://schemas.microsoft.com/office/drawing/2014/main" id="{00000000-0008-0000-0800-00004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1" name="Text Box 219">
          <a:extLst>
            <a:ext uri="{FF2B5EF4-FFF2-40B4-BE49-F238E27FC236}">
              <a16:creationId xmlns:a16="http://schemas.microsoft.com/office/drawing/2014/main" id="{00000000-0008-0000-0800-00004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2" name="Text Box 220">
          <a:extLst>
            <a:ext uri="{FF2B5EF4-FFF2-40B4-BE49-F238E27FC236}">
              <a16:creationId xmlns:a16="http://schemas.microsoft.com/office/drawing/2014/main" id="{00000000-0008-0000-0800-00004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3" name="Text Box 221">
          <a:extLst>
            <a:ext uri="{FF2B5EF4-FFF2-40B4-BE49-F238E27FC236}">
              <a16:creationId xmlns:a16="http://schemas.microsoft.com/office/drawing/2014/main" id="{00000000-0008-0000-0800-00004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4" name="Text Box 222">
          <a:extLst>
            <a:ext uri="{FF2B5EF4-FFF2-40B4-BE49-F238E27FC236}">
              <a16:creationId xmlns:a16="http://schemas.microsoft.com/office/drawing/2014/main" id="{00000000-0008-0000-0800-00005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5" name="Text Box 223">
          <a:extLst>
            <a:ext uri="{FF2B5EF4-FFF2-40B4-BE49-F238E27FC236}">
              <a16:creationId xmlns:a16="http://schemas.microsoft.com/office/drawing/2014/main" id="{00000000-0008-0000-0800-00005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6" name="Text Box 224">
          <a:extLst>
            <a:ext uri="{FF2B5EF4-FFF2-40B4-BE49-F238E27FC236}">
              <a16:creationId xmlns:a16="http://schemas.microsoft.com/office/drawing/2014/main" id="{00000000-0008-0000-0800-00005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7" name="Text Box 225">
          <a:extLst>
            <a:ext uri="{FF2B5EF4-FFF2-40B4-BE49-F238E27FC236}">
              <a16:creationId xmlns:a16="http://schemas.microsoft.com/office/drawing/2014/main" id="{00000000-0008-0000-0800-00005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8" name="Text Box 226">
          <a:extLst>
            <a:ext uri="{FF2B5EF4-FFF2-40B4-BE49-F238E27FC236}">
              <a16:creationId xmlns:a16="http://schemas.microsoft.com/office/drawing/2014/main" id="{00000000-0008-0000-0800-00005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09" name="Text Box 227">
          <a:extLst>
            <a:ext uri="{FF2B5EF4-FFF2-40B4-BE49-F238E27FC236}">
              <a16:creationId xmlns:a16="http://schemas.microsoft.com/office/drawing/2014/main" id="{00000000-0008-0000-0800-00005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0" name="Text Box 228">
          <a:extLst>
            <a:ext uri="{FF2B5EF4-FFF2-40B4-BE49-F238E27FC236}">
              <a16:creationId xmlns:a16="http://schemas.microsoft.com/office/drawing/2014/main" id="{00000000-0008-0000-0800-00005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1" name="Text Box 229">
          <a:extLst>
            <a:ext uri="{FF2B5EF4-FFF2-40B4-BE49-F238E27FC236}">
              <a16:creationId xmlns:a16="http://schemas.microsoft.com/office/drawing/2014/main" id="{00000000-0008-0000-0800-00005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2" name="Text Box 230">
          <a:extLst>
            <a:ext uri="{FF2B5EF4-FFF2-40B4-BE49-F238E27FC236}">
              <a16:creationId xmlns:a16="http://schemas.microsoft.com/office/drawing/2014/main" id="{00000000-0008-0000-0800-00005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3" name="Text Box 231">
          <a:extLst>
            <a:ext uri="{FF2B5EF4-FFF2-40B4-BE49-F238E27FC236}">
              <a16:creationId xmlns:a16="http://schemas.microsoft.com/office/drawing/2014/main" id="{00000000-0008-0000-0800-00005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4" name="Text Box 232">
          <a:extLst>
            <a:ext uri="{FF2B5EF4-FFF2-40B4-BE49-F238E27FC236}">
              <a16:creationId xmlns:a16="http://schemas.microsoft.com/office/drawing/2014/main" id="{00000000-0008-0000-0800-00005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5" name="Text Box 233">
          <a:extLst>
            <a:ext uri="{FF2B5EF4-FFF2-40B4-BE49-F238E27FC236}">
              <a16:creationId xmlns:a16="http://schemas.microsoft.com/office/drawing/2014/main" id="{00000000-0008-0000-0800-00005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6" name="Text Box 234">
          <a:extLst>
            <a:ext uri="{FF2B5EF4-FFF2-40B4-BE49-F238E27FC236}">
              <a16:creationId xmlns:a16="http://schemas.microsoft.com/office/drawing/2014/main" id="{00000000-0008-0000-0800-00005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7" name="Text Box 235">
          <a:extLst>
            <a:ext uri="{FF2B5EF4-FFF2-40B4-BE49-F238E27FC236}">
              <a16:creationId xmlns:a16="http://schemas.microsoft.com/office/drawing/2014/main" id="{00000000-0008-0000-0800-00005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8" name="Text Box 236">
          <a:extLst>
            <a:ext uri="{FF2B5EF4-FFF2-40B4-BE49-F238E27FC236}">
              <a16:creationId xmlns:a16="http://schemas.microsoft.com/office/drawing/2014/main" id="{00000000-0008-0000-0800-00005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9" name="Text Box 237">
          <a:extLst>
            <a:ext uri="{FF2B5EF4-FFF2-40B4-BE49-F238E27FC236}">
              <a16:creationId xmlns:a16="http://schemas.microsoft.com/office/drawing/2014/main" id="{00000000-0008-0000-0800-00005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0" name="Text Box 238">
          <a:extLst>
            <a:ext uri="{FF2B5EF4-FFF2-40B4-BE49-F238E27FC236}">
              <a16:creationId xmlns:a16="http://schemas.microsoft.com/office/drawing/2014/main" id="{00000000-0008-0000-0800-00006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1" name="Text Box 239">
          <a:extLst>
            <a:ext uri="{FF2B5EF4-FFF2-40B4-BE49-F238E27FC236}">
              <a16:creationId xmlns:a16="http://schemas.microsoft.com/office/drawing/2014/main" id="{00000000-0008-0000-0800-00006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2" name="Text Box 240">
          <a:extLst>
            <a:ext uri="{FF2B5EF4-FFF2-40B4-BE49-F238E27FC236}">
              <a16:creationId xmlns:a16="http://schemas.microsoft.com/office/drawing/2014/main" id="{00000000-0008-0000-0800-00006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3" name="Text Box 241">
          <a:extLst>
            <a:ext uri="{FF2B5EF4-FFF2-40B4-BE49-F238E27FC236}">
              <a16:creationId xmlns:a16="http://schemas.microsoft.com/office/drawing/2014/main" id="{00000000-0008-0000-0800-00006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4" name="Text Box 242">
          <a:extLst>
            <a:ext uri="{FF2B5EF4-FFF2-40B4-BE49-F238E27FC236}">
              <a16:creationId xmlns:a16="http://schemas.microsoft.com/office/drawing/2014/main" id="{00000000-0008-0000-0800-00006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5" name="Text Box 243">
          <a:extLst>
            <a:ext uri="{FF2B5EF4-FFF2-40B4-BE49-F238E27FC236}">
              <a16:creationId xmlns:a16="http://schemas.microsoft.com/office/drawing/2014/main" id="{00000000-0008-0000-0800-00006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6" name="Text Box 244">
          <a:extLst>
            <a:ext uri="{FF2B5EF4-FFF2-40B4-BE49-F238E27FC236}">
              <a16:creationId xmlns:a16="http://schemas.microsoft.com/office/drawing/2014/main" id="{00000000-0008-0000-0800-00006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7" name="Text Box 245">
          <a:extLst>
            <a:ext uri="{FF2B5EF4-FFF2-40B4-BE49-F238E27FC236}">
              <a16:creationId xmlns:a16="http://schemas.microsoft.com/office/drawing/2014/main" id="{00000000-0008-0000-0800-00006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8" name="Text Box 246">
          <a:extLst>
            <a:ext uri="{FF2B5EF4-FFF2-40B4-BE49-F238E27FC236}">
              <a16:creationId xmlns:a16="http://schemas.microsoft.com/office/drawing/2014/main" id="{00000000-0008-0000-0800-00006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9" name="Text Box 247">
          <a:extLst>
            <a:ext uri="{FF2B5EF4-FFF2-40B4-BE49-F238E27FC236}">
              <a16:creationId xmlns:a16="http://schemas.microsoft.com/office/drawing/2014/main" id="{00000000-0008-0000-0800-00006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0" name="Text Box 248">
          <a:extLst>
            <a:ext uri="{FF2B5EF4-FFF2-40B4-BE49-F238E27FC236}">
              <a16:creationId xmlns:a16="http://schemas.microsoft.com/office/drawing/2014/main" id="{00000000-0008-0000-0800-00006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1" name="Text Box 249">
          <a:extLst>
            <a:ext uri="{FF2B5EF4-FFF2-40B4-BE49-F238E27FC236}">
              <a16:creationId xmlns:a16="http://schemas.microsoft.com/office/drawing/2014/main" id="{00000000-0008-0000-0800-00006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2" name="Text Box 250">
          <a:extLst>
            <a:ext uri="{FF2B5EF4-FFF2-40B4-BE49-F238E27FC236}">
              <a16:creationId xmlns:a16="http://schemas.microsoft.com/office/drawing/2014/main" id="{00000000-0008-0000-0800-00006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3" name="Text Box 251">
          <a:extLst>
            <a:ext uri="{FF2B5EF4-FFF2-40B4-BE49-F238E27FC236}">
              <a16:creationId xmlns:a16="http://schemas.microsoft.com/office/drawing/2014/main" id="{00000000-0008-0000-0800-00006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4" name="Text Box 252">
          <a:extLst>
            <a:ext uri="{FF2B5EF4-FFF2-40B4-BE49-F238E27FC236}">
              <a16:creationId xmlns:a16="http://schemas.microsoft.com/office/drawing/2014/main" id="{00000000-0008-0000-0800-00006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5" name="Text Box 253">
          <a:extLst>
            <a:ext uri="{FF2B5EF4-FFF2-40B4-BE49-F238E27FC236}">
              <a16:creationId xmlns:a16="http://schemas.microsoft.com/office/drawing/2014/main" id="{00000000-0008-0000-0800-00006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6" name="Text Box 254">
          <a:extLst>
            <a:ext uri="{FF2B5EF4-FFF2-40B4-BE49-F238E27FC236}">
              <a16:creationId xmlns:a16="http://schemas.microsoft.com/office/drawing/2014/main" id="{00000000-0008-0000-0800-00007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7" name="Text Box 255">
          <a:extLst>
            <a:ext uri="{FF2B5EF4-FFF2-40B4-BE49-F238E27FC236}">
              <a16:creationId xmlns:a16="http://schemas.microsoft.com/office/drawing/2014/main" id="{00000000-0008-0000-0800-00007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8" name="Text Box 256">
          <a:extLst>
            <a:ext uri="{FF2B5EF4-FFF2-40B4-BE49-F238E27FC236}">
              <a16:creationId xmlns:a16="http://schemas.microsoft.com/office/drawing/2014/main" id="{00000000-0008-0000-0800-00007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9" name="Text Box 257">
          <a:extLst>
            <a:ext uri="{FF2B5EF4-FFF2-40B4-BE49-F238E27FC236}">
              <a16:creationId xmlns:a16="http://schemas.microsoft.com/office/drawing/2014/main" id="{00000000-0008-0000-0800-00007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0" name="Text Box 258">
          <a:extLst>
            <a:ext uri="{FF2B5EF4-FFF2-40B4-BE49-F238E27FC236}">
              <a16:creationId xmlns:a16="http://schemas.microsoft.com/office/drawing/2014/main" id="{00000000-0008-0000-0800-00007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1" name="Text Box 259">
          <a:extLst>
            <a:ext uri="{FF2B5EF4-FFF2-40B4-BE49-F238E27FC236}">
              <a16:creationId xmlns:a16="http://schemas.microsoft.com/office/drawing/2014/main" id="{00000000-0008-0000-0800-00007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2" name="Text Box 260">
          <a:extLst>
            <a:ext uri="{FF2B5EF4-FFF2-40B4-BE49-F238E27FC236}">
              <a16:creationId xmlns:a16="http://schemas.microsoft.com/office/drawing/2014/main" id="{00000000-0008-0000-0800-00007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3" name="Text Box 261">
          <a:extLst>
            <a:ext uri="{FF2B5EF4-FFF2-40B4-BE49-F238E27FC236}">
              <a16:creationId xmlns:a16="http://schemas.microsoft.com/office/drawing/2014/main" id="{00000000-0008-0000-0800-00007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4" name="Text Box 262">
          <a:extLst>
            <a:ext uri="{FF2B5EF4-FFF2-40B4-BE49-F238E27FC236}">
              <a16:creationId xmlns:a16="http://schemas.microsoft.com/office/drawing/2014/main" id="{00000000-0008-0000-0800-00007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5" name="Text Box 263">
          <a:extLst>
            <a:ext uri="{FF2B5EF4-FFF2-40B4-BE49-F238E27FC236}">
              <a16:creationId xmlns:a16="http://schemas.microsoft.com/office/drawing/2014/main" id="{00000000-0008-0000-0800-00007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6" name="Text Box 264">
          <a:extLst>
            <a:ext uri="{FF2B5EF4-FFF2-40B4-BE49-F238E27FC236}">
              <a16:creationId xmlns:a16="http://schemas.microsoft.com/office/drawing/2014/main" id="{00000000-0008-0000-0800-00007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7" name="Text Box 265">
          <a:extLst>
            <a:ext uri="{FF2B5EF4-FFF2-40B4-BE49-F238E27FC236}">
              <a16:creationId xmlns:a16="http://schemas.microsoft.com/office/drawing/2014/main" id="{00000000-0008-0000-0800-00007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8" name="Text Box 266">
          <a:extLst>
            <a:ext uri="{FF2B5EF4-FFF2-40B4-BE49-F238E27FC236}">
              <a16:creationId xmlns:a16="http://schemas.microsoft.com/office/drawing/2014/main" id="{00000000-0008-0000-0800-00007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9" name="Text Box 267">
          <a:extLst>
            <a:ext uri="{FF2B5EF4-FFF2-40B4-BE49-F238E27FC236}">
              <a16:creationId xmlns:a16="http://schemas.microsoft.com/office/drawing/2014/main" id="{00000000-0008-0000-0800-00007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0" name="Text Box 268">
          <a:extLst>
            <a:ext uri="{FF2B5EF4-FFF2-40B4-BE49-F238E27FC236}">
              <a16:creationId xmlns:a16="http://schemas.microsoft.com/office/drawing/2014/main" id="{00000000-0008-0000-0800-00007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1" name="Text Box 269">
          <a:extLst>
            <a:ext uri="{FF2B5EF4-FFF2-40B4-BE49-F238E27FC236}">
              <a16:creationId xmlns:a16="http://schemas.microsoft.com/office/drawing/2014/main" id="{00000000-0008-0000-0800-00007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2" name="Text Box 270">
          <a:extLst>
            <a:ext uri="{FF2B5EF4-FFF2-40B4-BE49-F238E27FC236}">
              <a16:creationId xmlns:a16="http://schemas.microsoft.com/office/drawing/2014/main" id="{00000000-0008-0000-0800-00008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3" name="Text Box 271">
          <a:extLst>
            <a:ext uri="{FF2B5EF4-FFF2-40B4-BE49-F238E27FC236}">
              <a16:creationId xmlns:a16="http://schemas.microsoft.com/office/drawing/2014/main" id="{00000000-0008-0000-0800-00008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4" name="Text Box 272">
          <a:extLst>
            <a:ext uri="{FF2B5EF4-FFF2-40B4-BE49-F238E27FC236}">
              <a16:creationId xmlns:a16="http://schemas.microsoft.com/office/drawing/2014/main" id="{00000000-0008-0000-0800-00008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5" name="Text Box 273">
          <a:extLst>
            <a:ext uri="{FF2B5EF4-FFF2-40B4-BE49-F238E27FC236}">
              <a16:creationId xmlns:a16="http://schemas.microsoft.com/office/drawing/2014/main" id="{00000000-0008-0000-0800-00008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6" name="Text Box 274">
          <a:extLst>
            <a:ext uri="{FF2B5EF4-FFF2-40B4-BE49-F238E27FC236}">
              <a16:creationId xmlns:a16="http://schemas.microsoft.com/office/drawing/2014/main" id="{00000000-0008-0000-0800-00008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7" name="Text Box 275">
          <a:extLst>
            <a:ext uri="{FF2B5EF4-FFF2-40B4-BE49-F238E27FC236}">
              <a16:creationId xmlns:a16="http://schemas.microsoft.com/office/drawing/2014/main" id="{00000000-0008-0000-0800-00008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8" name="Text Box 276">
          <a:extLst>
            <a:ext uri="{FF2B5EF4-FFF2-40B4-BE49-F238E27FC236}">
              <a16:creationId xmlns:a16="http://schemas.microsoft.com/office/drawing/2014/main" id="{00000000-0008-0000-0800-00008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9" name="Text Box 277">
          <a:extLst>
            <a:ext uri="{FF2B5EF4-FFF2-40B4-BE49-F238E27FC236}">
              <a16:creationId xmlns:a16="http://schemas.microsoft.com/office/drawing/2014/main" id="{00000000-0008-0000-0800-00008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0" name="Text Box 278">
          <a:extLst>
            <a:ext uri="{FF2B5EF4-FFF2-40B4-BE49-F238E27FC236}">
              <a16:creationId xmlns:a16="http://schemas.microsoft.com/office/drawing/2014/main" id="{00000000-0008-0000-0800-00008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1" name="Text Box 279">
          <a:extLst>
            <a:ext uri="{FF2B5EF4-FFF2-40B4-BE49-F238E27FC236}">
              <a16:creationId xmlns:a16="http://schemas.microsoft.com/office/drawing/2014/main" id="{00000000-0008-0000-0800-00008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2" name="Text Box 280">
          <a:extLst>
            <a:ext uri="{FF2B5EF4-FFF2-40B4-BE49-F238E27FC236}">
              <a16:creationId xmlns:a16="http://schemas.microsoft.com/office/drawing/2014/main" id="{00000000-0008-0000-0800-00008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3" name="Text Box 281">
          <a:extLst>
            <a:ext uri="{FF2B5EF4-FFF2-40B4-BE49-F238E27FC236}">
              <a16:creationId xmlns:a16="http://schemas.microsoft.com/office/drawing/2014/main" id="{00000000-0008-0000-0800-00008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4" name="Text Box 282">
          <a:extLst>
            <a:ext uri="{FF2B5EF4-FFF2-40B4-BE49-F238E27FC236}">
              <a16:creationId xmlns:a16="http://schemas.microsoft.com/office/drawing/2014/main" id="{00000000-0008-0000-0800-00008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5" name="Text Box 283">
          <a:extLst>
            <a:ext uri="{FF2B5EF4-FFF2-40B4-BE49-F238E27FC236}">
              <a16:creationId xmlns:a16="http://schemas.microsoft.com/office/drawing/2014/main" id="{00000000-0008-0000-0800-00008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6" name="Text Box 284">
          <a:extLst>
            <a:ext uri="{FF2B5EF4-FFF2-40B4-BE49-F238E27FC236}">
              <a16:creationId xmlns:a16="http://schemas.microsoft.com/office/drawing/2014/main" id="{00000000-0008-0000-0800-00008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7" name="Text Box 285">
          <a:extLst>
            <a:ext uri="{FF2B5EF4-FFF2-40B4-BE49-F238E27FC236}">
              <a16:creationId xmlns:a16="http://schemas.microsoft.com/office/drawing/2014/main" id="{00000000-0008-0000-0800-00008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8" name="Text Box 286">
          <a:extLst>
            <a:ext uri="{FF2B5EF4-FFF2-40B4-BE49-F238E27FC236}">
              <a16:creationId xmlns:a16="http://schemas.microsoft.com/office/drawing/2014/main" id="{00000000-0008-0000-0800-00009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9" name="Text Box 287">
          <a:extLst>
            <a:ext uri="{FF2B5EF4-FFF2-40B4-BE49-F238E27FC236}">
              <a16:creationId xmlns:a16="http://schemas.microsoft.com/office/drawing/2014/main" id="{00000000-0008-0000-0800-00009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0" name="Text Box 288">
          <a:extLst>
            <a:ext uri="{FF2B5EF4-FFF2-40B4-BE49-F238E27FC236}">
              <a16:creationId xmlns:a16="http://schemas.microsoft.com/office/drawing/2014/main" id="{00000000-0008-0000-0800-00009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1" name="Text Box 289">
          <a:extLst>
            <a:ext uri="{FF2B5EF4-FFF2-40B4-BE49-F238E27FC236}">
              <a16:creationId xmlns:a16="http://schemas.microsoft.com/office/drawing/2014/main" id="{00000000-0008-0000-0800-00009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2" name="Text Box 290">
          <a:extLst>
            <a:ext uri="{FF2B5EF4-FFF2-40B4-BE49-F238E27FC236}">
              <a16:creationId xmlns:a16="http://schemas.microsoft.com/office/drawing/2014/main" id="{00000000-0008-0000-0800-00009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3" name="Text Box 291">
          <a:extLst>
            <a:ext uri="{FF2B5EF4-FFF2-40B4-BE49-F238E27FC236}">
              <a16:creationId xmlns:a16="http://schemas.microsoft.com/office/drawing/2014/main" id="{00000000-0008-0000-0800-00009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4" name="Text Box 292">
          <a:extLst>
            <a:ext uri="{FF2B5EF4-FFF2-40B4-BE49-F238E27FC236}">
              <a16:creationId xmlns:a16="http://schemas.microsoft.com/office/drawing/2014/main" id="{00000000-0008-0000-0800-00009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5" name="Text Box 293">
          <a:extLst>
            <a:ext uri="{FF2B5EF4-FFF2-40B4-BE49-F238E27FC236}">
              <a16:creationId xmlns:a16="http://schemas.microsoft.com/office/drawing/2014/main" id="{00000000-0008-0000-0800-00009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6" name="Text Box 294">
          <a:extLst>
            <a:ext uri="{FF2B5EF4-FFF2-40B4-BE49-F238E27FC236}">
              <a16:creationId xmlns:a16="http://schemas.microsoft.com/office/drawing/2014/main" id="{00000000-0008-0000-0800-00009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7" name="Text Box 295">
          <a:extLst>
            <a:ext uri="{FF2B5EF4-FFF2-40B4-BE49-F238E27FC236}">
              <a16:creationId xmlns:a16="http://schemas.microsoft.com/office/drawing/2014/main" id="{00000000-0008-0000-0800-00009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8" name="Text Box 296">
          <a:extLst>
            <a:ext uri="{FF2B5EF4-FFF2-40B4-BE49-F238E27FC236}">
              <a16:creationId xmlns:a16="http://schemas.microsoft.com/office/drawing/2014/main" id="{00000000-0008-0000-0800-00009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79" name="Text Box 297">
          <a:extLst>
            <a:ext uri="{FF2B5EF4-FFF2-40B4-BE49-F238E27FC236}">
              <a16:creationId xmlns:a16="http://schemas.microsoft.com/office/drawing/2014/main" id="{00000000-0008-0000-0800-00009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0" name="Text Box 298">
          <a:extLst>
            <a:ext uri="{FF2B5EF4-FFF2-40B4-BE49-F238E27FC236}">
              <a16:creationId xmlns:a16="http://schemas.microsoft.com/office/drawing/2014/main" id="{00000000-0008-0000-0800-00009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1" name="Text Box 299">
          <a:extLst>
            <a:ext uri="{FF2B5EF4-FFF2-40B4-BE49-F238E27FC236}">
              <a16:creationId xmlns:a16="http://schemas.microsoft.com/office/drawing/2014/main" id="{00000000-0008-0000-0800-00009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2" name="Text Box 300">
          <a:extLst>
            <a:ext uri="{FF2B5EF4-FFF2-40B4-BE49-F238E27FC236}">
              <a16:creationId xmlns:a16="http://schemas.microsoft.com/office/drawing/2014/main" id="{00000000-0008-0000-0800-00009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3" name="Text Box 301">
          <a:extLst>
            <a:ext uri="{FF2B5EF4-FFF2-40B4-BE49-F238E27FC236}">
              <a16:creationId xmlns:a16="http://schemas.microsoft.com/office/drawing/2014/main" id="{00000000-0008-0000-0800-00009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4" name="Text Box 302">
          <a:extLst>
            <a:ext uri="{FF2B5EF4-FFF2-40B4-BE49-F238E27FC236}">
              <a16:creationId xmlns:a16="http://schemas.microsoft.com/office/drawing/2014/main" id="{00000000-0008-0000-0800-0000A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5" name="Text Box 303">
          <a:extLst>
            <a:ext uri="{FF2B5EF4-FFF2-40B4-BE49-F238E27FC236}">
              <a16:creationId xmlns:a16="http://schemas.microsoft.com/office/drawing/2014/main" id="{00000000-0008-0000-0800-0000A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6" name="Text Box 304">
          <a:extLst>
            <a:ext uri="{FF2B5EF4-FFF2-40B4-BE49-F238E27FC236}">
              <a16:creationId xmlns:a16="http://schemas.microsoft.com/office/drawing/2014/main" id="{00000000-0008-0000-0800-0000A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7" name="Text Box 305">
          <a:extLst>
            <a:ext uri="{FF2B5EF4-FFF2-40B4-BE49-F238E27FC236}">
              <a16:creationId xmlns:a16="http://schemas.microsoft.com/office/drawing/2014/main" id="{00000000-0008-0000-0800-0000A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8" name="Text Box 306">
          <a:extLst>
            <a:ext uri="{FF2B5EF4-FFF2-40B4-BE49-F238E27FC236}">
              <a16:creationId xmlns:a16="http://schemas.microsoft.com/office/drawing/2014/main" id="{00000000-0008-0000-0800-0000A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9" name="Text Box 307">
          <a:extLst>
            <a:ext uri="{FF2B5EF4-FFF2-40B4-BE49-F238E27FC236}">
              <a16:creationId xmlns:a16="http://schemas.microsoft.com/office/drawing/2014/main" id="{00000000-0008-0000-0800-0000A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0" name="Text Box 308">
          <a:extLst>
            <a:ext uri="{FF2B5EF4-FFF2-40B4-BE49-F238E27FC236}">
              <a16:creationId xmlns:a16="http://schemas.microsoft.com/office/drawing/2014/main" id="{00000000-0008-0000-0800-0000A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1" name="Text Box 309">
          <a:extLst>
            <a:ext uri="{FF2B5EF4-FFF2-40B4-BE49-F238E27FC236}">
              <a16:creationId xmlns:a16="http://schemas.microsoft.com/office/drawing/2014/main" id="{00000000-0008-0000-0800-0000A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2" name="Text Box 310">
          <a:extLst>
            <a:ext uri="{FF2B5EF4-FFF2-40B4-BE49-F238E27FC236}">
              <a16:creationId xmlns:a16="http://schemas.microsoft.com/office/drawing/2014/main" id="{00000000-0008-0000-0800-0000A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3" name="Text Box 311">
          <a:extLst>
            <a:ext uri="{FF2B5EF4-FFF2-40B4-BE49-F238E27FC236}">
              <a16:creationId xmlns:a16="http://schemas.microsoft.com/office/drawing/2014/main" id="{00000000-0008-0000-0800-0000A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4" name="Text Box 312">
          <a:extLst>
            <a:ext uri="{FF2B5EF4-FFF2-40B4-BE49-F238E27FC236}">
              <a16:creationId xmlns:a16="http://schemas.microsoft.com/office/drawing/2014/main" id="{00000000-0008-0000-0800-0000A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5" name="Text Box 313">
          <a:extLst>
            <a:ext uri="{FF2B5EF4-FFF2-40B4-BE49-F238E27FC236}">
              <a16:creationId xmlns:a16="http://schemas.microsoft.com/office/drawing/2014/main" id="{00000000-0008-0000-0800-0000A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6" name="Text Box 314">
          <a:extLst>
            <a:ext uri="{FF2B5EF4-FFF2-40B4-BE49-F238E27FC236}">
              <a16:creationId xmlns:a16="http://schemas.microsoft.com/office/drawing/2014/main" id="{00000000-0008-0000-0800-0000A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7" name="Text Box 315">
          <a:extLst>
            <a:ext uri="{FF2B5EF4-FFF2-40B4-BE49-F238E27FC236}">
              <a16:creationId xmlns:a16="http://schemas.microsoft.com/office/drawing/2014/main" id="{00000000-0008-0000-0800-0000A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8" name="Text Box 316">
          <a:extLst>
            <a:ext uri="{FF2B5EF4-FFF2-40B4-BE49-F238E27FC236}">
              <a16:creationId xmlns:a16="http://schemas.microsoft.com/office/drawing/2014/main" id="{00000000-0008-0000-0800-0000A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9" name="Text Box 317">
          <a:extLst>
            <a:ext uri="{FF2B5EF4-FFF2-40B4-BE49-F238E27FC236}">
              <a16:creationId xmlns:a16="http://schemas.microsoft.com/office/drawing/2014/main" id="{00000000-0008-0000-0800-0000A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0" name="Text Box 318">
          <a:extLst>
            <a:ext uri="{FF2B5EF4-FFF2-40B4-BE49-F238E27FC236}">
              <a16:creationId xmlns:a16="http://schemas.microsoft.com/office/drawing/2014/main" id="{00000000-0008-0000-0800-0000B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1" name="Text Box 319">
          <a:extLst>
            <a:ext uri="{FF2B5EF4-FFF2-40B4-BE49-F238E27FC236}">
              <a16:creationId xmlns:a16="http://schemas.microsoft.com/office/drawing/2014/main" id="{00000000-0008-0000-0800-0000B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2" name="Text Box 320">
          <a:extLst>
            <a:ext uri="{FF2B5EF4-FFF2-40B4-BE49-F238E27FC236}">
              <a16:creationId xmlns:a16="http://schemas.microsoft.com/office/drawing/2014/main" id="{00000000-0008-0000-0800-0000B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3" name="Text Box 28">
          <a:extLst>
            <a:ext uri="{FF2B5EF4-FFF2-40B4-BE49-F238E27FC236}">
              <a16:creationId xmlns:a16="http://schemas.microsoft.com/office/drawing/2014/main" id="{00000000-0008-0000-0800-0000B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4" name="Text Box 29">
          <a:extLst>
            <a:ext uri="{FF2B5EF4-FFF2-40B4-BE49-F238E27FC236}">
              <a16:creationId xmlns:a16="http://schemas.microsoft.com/office/drawing/2014/main" id="{00000000-0008-0000-0800-0000B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5" name="Text Box 30">
          <a:extLst>
            <a:ext uri="{FF2B5EF4-FFF2-40B4-BE49-F238E27FC236}">
              <a16:creationId xmlns:a16="http://schemas.microsoft.com/office/drawing/2014/main" id="{00000000-0008-0000-0800-0000B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6" name="Text Box 31">
          <a:extLst>
            <a:ext uri="{FF2B5EF4-FFF2-40B4-BE49-F238E27FC236}">
              <a16:creationId xmlns:a16="http://schemas.microsoft.com/office/drawing/2014/main" id="{00000000-0008-0000-0800-0000B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7" name="Text Box 32">
          <a:extLst>
            <a:ext uri="{FF2B5EF4-FFF2-40B4-BE49-F238E27FC236}">
              <a16:creationId xmlns:a16="http://schemas.microsoft.com/office/drawing/2014/main" id="{00000000-0008-0000-0800-0000B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8" name="Text Box 33">
          <a:extLst>
            <a:ext uri="{FF2B5EF4-FFF2-40B4-BE49-F238E27FC236}">
              <a16:creationId xmlns:a16="http://schemas.microsoft.com/office/drawing/2014/main" id="{00000000-0008-0000-0800-0000B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9" name="Text Box 34">
          <a:extLst>
            <a:ext uri="{FF2B5EF4-FFF2-40B4-BE49-F238E27FC236}">
              <a16:creationId xmlns:a16="http://schemas.microsoft.com/office/drawing/2014/main" id="{00000000-0008-0000-0800-0000B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0" name="Text Box 35">
          <a:extLst>
            <a:ext uri="{FF2B5EF4-FFF2-40B4-BE49-F238E27FC236}">
              <a16:creationId xmlns:a16="http://schemas.microsoft.com/office/drawing/2014/main" id="{00000000-0008-0000-0800-0000B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1" name="Text Box 36">
          <a:extLst>
            <a:ext uri="{FF2B5EF4-FFF2-40B4-BE49-F238E27FC236}">
              <a16:creationId xmlns:a16="http://schemas.microsoft.com/office/drawing/2014/main" id="{00000000-0008-0000-0800-0000B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2" name="Text Box 37">
          <a:extLst>
            <a:ext uri="{FF2B5EF4-FFF2-40B4-BE49-F238E27FC236}">
              <a16:creationId xmlns:a16="http://schemas.microsoft.com/office/drawing/2014/main" id="{00000000-0008-0000-0800-0000B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3" name="Text Box 38">
          <a:extLst>
            <a:ext uri="{FF2B5EF4-FFF2-40B4-BE49-F238E27FC236}">
              <a16:creationId xmlns:a16="http://schemas.microsoft.com/office/drawing/2014/main" id="{00000000-0008-0000-0800-0000B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4" name="Text Box 39">
          <a:extLst>
            <a:ext uri="{FF2B5EF4-FFF2-40B4-BE49-F238E27FC236}">
              <a16:creationId xmlns:a16="http://schemas.microsoft.com/office/drawing/2014/main" id="{00000000-0008-0000-0800-0000B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5" name="Text Box 40">
          <a:extLst>
            <a:ext uri="{FF2B5EF4-FFF2-40B4-BE49-F238E27FC236}">
              <a16:creationId xmlns:a16="http://schemas.microsoft.com/office/drawing/2014/main" id="{00000000-0008-0000-0800-0000B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6" name="Text Box 41">
          <a:extLst>
            <a:ext uri="{FF2B5EF4-FFF2-40B4-BE49-F238E27FC236}">
              <a16:creationId xmlns:a16="http://schemas.microsoft.com/office/drawing/2014/main" id="{00000000-0008-0000-0800-0000C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7" name="Text Box 42">
          <a:extLst>
            <a:ext uri="{FF2B5EF4-FFF2-40B4-BE49-F238E27FC236}">
              <a16:creationId xmlns:a16="http://schemas.microsoft.com/office/drawing/2014/main" id="{00000000-0008-0000-0800-0000C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8" name="Text Box 43">
          <a:extLst>
            <a:ext uri="{FF2B5EF4-FFF2-40B4-BE49-F238E27FC236}">
              <a16:creationId xmlns:a16="http://schemas.microsoft.com/office/drawing/2014/main" id="{00000000-0008-0000-0800-0000C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9" name="Text Box 44">
          <a:extLst>
            <a:ext uri="{FF2B5EF4-FFF2-40B4-BE49-F238E27FC236}">
              <a16:creationId xmlns:a16="http://schemas.microsoft.com/office/drawing/2014/main" id="{00000000-0008-0000-0800-0000C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0" name="Text Box 45">
          <a:extLst>
            <a:ext uri="{FF2B5EF4-FFF2-40B4-BE49-F238E27FC236}">
              <a16:creationId xmlns:a16="http://schemas.microsoft.com/office/drawing/2014/main" id="{00000000-0008-0000-0800-0000C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1" name="Text Box 46">
          <a:extLst>
            <a:ext uri="{FF2B5EF4-FFF2-40B4-BE49-F238E27FC236}">
              <a16:creationId xmlns:a16="http://schemas.microsoft.com/office/drawing/2014/main" id="{00000000-0008-0000-0800-0000C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2" name="Text Box 47">
          <a:extLst>
            <a:ext uri="{FF2B5EF4-FFF2-40B4-BE49-F238E27FC236}">
              <a16:creationId xmlns:a16="http://schemas.microsoft.com/office/drawing/2014/main" id="{00000000-0008-0000-0800-0000C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3" name="Text Box 48">
          <a:extLst>
            <a:ext uri="{FF2B5EF4-FFF2-40B4-BE49-F238E27FC236}">
              <a16:creationId xmlns:a16="http://schemas.microsoft.com/office/drawing/2014/main" id="{00000000-0008-0000-0800-0000C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4" name="Text Box 49">
          <a:extLst>
            <a:ext uri="{FF2B5EF4-FFF2-40B4-BE49-F238E27FC236}">
              <a16:creationId xmlns:a16="http://schemas.microsoft.com/office/drawing/2014/main" id="{00000000-0008-0000-0800-0000C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5" name="Text Box 50">
          <a:extLst>
            <a:ext uri="{FF2B5EF4-FFF2-40B4-BE49-F238E27FC236}">
              <a16:creationId xmlns:a16="http://schemas.microsoft.com/office/drawing/2014/main" id="{00000000-0008-0000-0800-0000C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6" name="Text Box 51">
          <a:extLst>
            <a:ext uri="{FF2B5EF4-FFF2-40B4-BE49-F238E27FC236}">
              <a16:creationId xmlns:a16="http://schemas.microsoft.com/office/drawing/2014/main" id="{00000000-0008-0000-0800-0000C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7" name="Text Box 52">
          <a:extLst>
            <a:ext uri="{FF2B5EF4-FFF2-40B4-BE49-F238E27FC236}">
              <a16:creationId xmlns:a16="http://schemas.microsoft.com/office/drawing/2014/main" id="{00000000-0008-0000-0800-0000C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8" name="Text Box 53">
          <a:extLst>
            <a:ext uri="{FF2B5EF4-FFF2-40B4-BE49-F238E27FC236}">
              <a16:creationId xmlns:a16="http://schemas.microsoft.com/office/drawing/2014/main" id="{00000000-0008-0000-0800-0000C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9" name="Text Box 54">
          <a:extLst>
            <a:ext uri="{FF2B5EF4-FFF2-40B4-BE49-F238E27FC236}">
              <a16:creationId xmlns:a16="http://schemas.microsoft.com/office/drawing/2014/main" id="{00000000-0008-0000-0800-0000C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0" name="Text Box 55">
          <a:extLst>
            <a:ext uri="{FF2B5EF4-FFF2-40B4-BE49-F238E27FC236}">
              <a16:creationId xmlns:a16="http://schemas.microsoft.com/office/drawing/2014/main" id="{00000000-0008-0000-0800-0000C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1" name="Text Box 56">
          <a:extLst>
            <a:ext uri="{FF2B5EF4-FFF2-40B4-BE49-F238E27FC236}">
              <a16:creationId xmlns:a16="http://schemas.microsoft.com/office/drawing/2014/main" id="{00000000-0008-0000-0800-0000C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2" name="Text Box 57">
          <a:extLst>
            <a:ext uri="{FF2B5EF4-FFF2-40B4-BE49-F238E27FC236}">
              <a16:creationId xmlns:a16="http://schemas.microsoft.com/office/drawing/2014/main" id="{00000000-0008-0000-0800-0000D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3" name="Text Box 58">
          <a:extLst>
            <a:ext uri="{FF2B5EF4-FFF2-40B4-BE49-F238E27FC236}">
              <a16:creationId xmlns:a16="http://schemas.microsoft.com/office/drawing/2014/main" id="{00000000-0008-0000-0800-0000D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4" name="Text Box 59">
          <a:extLst>
            <a:ext uri="{FF2B5EF4-FFF2-40B4-BE49-F238E27FC236}">
              <a16:creationId xmlns:a16="http://schemas.microsoft.com/office/drawing/2014/main" id="{00000000-0008-0000-0800-0000D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5" name="Text Box 60">
          <a:extLst>
            <a:ext uri="{FF2B5EF4-FFF2-40B4-BE49-F238E27FC236}">
              <a16:creationId xmlns:a16="http://schemas.microsoft.com/office/drawing/2014/main" id="{00000000-0008-0000-0800-0000D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6" name="Text Box 61">
          <a:extLst>
            <a:ext uri="{FF2B5EF4-FFF2-40B4-BE49-F238E27FC236}">
              <a16:creationId xmlns:a16="http://schemas.microsoft.com/office/drawing/2014/main" id="{00000000-0008-0000-0800-0000D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7" name="Text Box 62">
          <a:extLst>
            <a:ext uri="{FF2B5EF4-FFF2-40B4-BE49-F238E27FC236}">
              <a16:creationId xmlns:a16="http://schemas.microsoft.com/office/drawing/2014/main" id="{00000000-0008-0000-0800-0000D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8" name="Text Box 63">
          <a:extLst>
            <a:ext uri="{FF2B5EF4-FFF2-40B4-BE49-F238E27FC236}">
              <a16:creationId xmlns:a16="http://schemas.microsoft.com/office/drawing/2014/main" id="{00000000-0008-0000-0800-0000D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9" name="Text Box 64">
          <a:extLst>
            <a:ext uri="{FF2B5EF4-FFF2-40B4-BE49-F238E27FC236}">
              <a16:creationId xmlns:a16="http://schemas.microsoft.com/office/drawing/2014/main" id="{00000000-0008-0000-0800-0000D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0" name="Text Box 65">
          <a:extLst>
            <a:ext uri="{FF2B5EF4-FFF2-40B4-BE49-F238E27FC236}">
              <a16:creationId xmlns:a16="http://schemas.microsoft.com/office/drawing/2014/main" id="{00000000-0008-0000-0800-0000D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1" name="Text Box 66">
          <a:extLst>
            <a:ext uri="{FF2B5EF4-FFF2-40B4-BE49-F238E27FC236}">
              <a16:creationId xmlns:a16="http://schemas.microsoft.com/office/drawing/2014/main" id="{00000000-0008-0000-0800-0000D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2" name="Text Box 67">
          <a:extLst>
            <a:ext uri="{FF2B5EF4-FFF2-40B4-BE49-F238E27FC236}">
              <a16:creationId xmlns:a16="http://schemas.microsoft.com/office/drawing/2014/main" id="{00000000-0008-0000-0800-0000D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3" name="Text Box 68">
          <a:extLst>
            <a:ext uri="{FF2B5EF4-FFF2-40B4-BE49-F238E27FC236}">
              <a16:creationId xmlns:a16="http://schemas.microsoft.com/office/drawing/2014/main" id="{00000000-0008-0000-0800-0000D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4" name="Text Box 69">
          <a:extLst>
            <a:ext uri="{FF2B5EF4-FFF2-40B4-BE49-F238E27FC236}">
              <a16:creationId xmlns:a16="http://schemas.microsoft.com/office/drawing/2014/main" id="{00000000-0008-0000-0800-0000D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5" name="Text Box 70">
          <a:extLst>
            <a:ext uri="{FF2B5EF4-FFF2-40B4-BE49-F238E27FC236}">
              <a16:creationId xmlns:a16="http://schemas.microsoft.com/office/drawing/2014/main" id="{00000000-0008-0000-0800-0000D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6" name="Text Box 71">
          <a:extLst>
            <a:ext uri="{FF2B5EF4-FFF2-40B4-BE49-F238E27FC236}">
              <a16:creationId xmlns:a16="http://schemas.microsoft.com/office/drawing/2014/main" id="{00000000-0008-0000-0800-0000D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7" name="Text Box 72">
          <a:extLst>
            <a:ext uri="{FF2B5EF4-FFF2-40B4-BE49-F238E27FC236}">
              <a16:creationId xmlns:a16="http://schemas.microsoft.com/office/drawing/2014/main" id="{00000000-0008-0000-0800-0000D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8" name="Text Box 73">
          <a:extLst>
            <a:ext uri="{FF2B5EF4-FFF2-40B4-BE49-F238E27FC236}">
              <a16:creationId xmlns:a16="http://schemas.microsoft.com/office/drawing/2014/main" id="{00000000-0008-0000-0800-0000E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9" name="Text Box 74">
          <a:extLst>
            <a:ext uri="{FF2B5EF4-FFF2-40B4-BE49-F238E27FC236}">
              <a16:creationId xmlns:a16="http://schemas.microsoft.com/office/drawing/2014/main" id="{00000000-0008-0000-0800-0000E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0" name="Text Box 75">
          <a:extLst>
            <a:ext uri="{FF2B5EF4-FFF2-40B4-BE49-F238E27FC236}">
              <a16:creationId xmlns:a16="http://schemas.microsoft.com/office/drawing/2014/main" id="{00000000-0008-0000-0800-0000E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1" name="Text Box 76">
          <a:extLst>
            <a:ext uri="{FF2B5EF4-FFF2-40B4-BE49-F238E27FC236}">
              <a16:creationId xmlns:a16="http://schemas.microsoft.com/office/drawing/2014/main" id="{00000000-0008-0000-0800-0000E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2" name="Text Box 77">
          <a:extLst>
            <a:ext uri="{FF2B5EF4-FFF2-40B4-BE49-F238E27FC236}">
              <a16:creationId xmlns:a16="http://schemas.microsoft.com/office/drawing/2014/main" id="{00000000-0008-0000-0800-0000E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3" name="Text Box 78">
          <a:extLst>
            <a:ext uri="{FF2B5EF4-FFF2-40B4-BE49-F238E27FC236}">
              <a16:creationId xmlns:a16="http://schemas.microsoft.com/office/drawing/2014/main" id="{00000000-0008-0000-0800-0000E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4" name="Text Box 79">
          <a:extLst>
            <a:ext uri="{FF2B5EF4-FFF2-40B4-BE49-F238E27FC236}">
              <a16:creationId xmlns:a16="http://schemas.microsoft.com/office/drawing/2014/main" id="{00000000-0008-0000-0800-0000E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5" name="Text Box 80">
          <a:extLst>
            <a:ext uri="{FF2B5EF4-FFF2-40B4-BE49-F238E27FC236}">
              <a16:creationId xmlns:a16="http://schemas.microsoft.com/office/drawing/2014/main" id="{00000000-0008-0000-0800-0000E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6" name="Text Box 81">
          <a:extLst>
            <a:ext uri="{FF2B5EF4-FFF2-40B4-BE49-F238E27FC236}">
              <a16:creationId xmlns:a16="http://schemas.microsoft.com/office/drawing/2014/main" id="{00000000-0008-0000-0800-0000E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7" name="Text Box 82">
          <a:extLst>
            <a:ext uri="{FF2B5EF4-FFF2-40B4-BE49-F238E27FC236}">
              <a16:creationId xmlns:a16="http://schemas.microsoft.com/office/drawing/2014/main" id="{00000000-0008-0000-0800-0000E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8" name="Text Box 83">
          <a:extLst>
            <a:ext uri="{FF2B5EF4-FFF2-40B4-BE49-F238E27FC236}">
              <a16:creationId xmlns:a16="http://schemas.microsoft.com/office/drawing/2014/main" id="{00000000-0008-0000-0800-0000E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9" name="Text Box 84">
          <a:extLst>
            <a:ext uri="{FF2B5EF4-FFF2-40B4-BE49-F238E27FC236}">
              <a16:creationId xmlns:a16="http://schemas.microsoft.com/office/drawing/2014/main" id="{00000000-0008-0000-0800-0000E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0" name="Text Box 85">
          <a:extLst>
            <a:ext uri="{FF2B5EF4-FFF2-40B4-BE49-F238E27FC236}">
              <a16:creationId xmlns:a16="http://schemas.microsoft.com/office/drawing/2014/main" id="{00000000-0008-0000-0800-0000E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1" name="Text Box 86">
          <a:extLst>
            <a:ext uri="{FF2B5EF4-FFF2-40B4-BE49-F238E27FC236}">
              <a16:creationId xmlns:a16="http://schemas.microsoft.com/office/drawing/2014/main" id="{00000000-0008-0000-0800-0000E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2" name="Text Box 87">
          <a:extLst>
            <a:ext uri="{FF2B5EF4-FFF2-40B4-BE49-F238E27FC236}">
              <a16:creationId xmlns:a16="http://schemas.microsoft.com/office/drawing/2014/main" id="{00000000-0008-0000-0800-0000E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3" name="Text Box 88">
          <a:extLst>
            <a:ext uri="{FF2B5EF4-FFF2-40B4-BE49-F238E27FC236}">
              <a16:creationId xmlns:a16="http://schemas.microsoft.com/office/drawing/2014/main" id="{00000000-0008-0000-0800-0000E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4" name="Text Box 89">
          <a:extLst>
            <a:ext uri="{FF2B5EF4-FFF2-40B4-BE49-F238E27FC236}">
              <a16:creationId xmlns:a16="http://schemas.microsoft.com/office/drawing/2014/main" id="{00000000-0008-0000-0800-0000F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5" name="Text Box 90">
          <a:extLst>
            <a:ext uri="{FF2B5EF4-FFF2-40B4-BE49-F238E27FC236}">
              <a16:creationId xmlns:a16="http://schemas.microsoft.com/office/drawing/2014/main" id="{00000000-0008-0000-0800-0000F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6" name="Text Box 91">
          <a:extLst>
            <a:ext uri="{FF2B5EF4-FFF2-40B4-BE49-F238E27FC236}">
              <a16:creationId xmlns:a16="http://schemas.microsoft.com/office/drawing/2014/main" id="{00000000-0008-0000-0800-0000F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7" name="Text Box 92">
          <a:extLst>
            <a:ext uri="{FF2B5EF4-FFF2-40B4-BE49-F238E27FC236}">
              <a16:creationId xmlns:a16="http://schemas.microsoft.com/office/drawing/2014/main" id="{00000000-0008-0000-0800-0000F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8" name="Text Box 93">
          <a:extLst>
            <a:ext uri="{FF2B5EF4-FFF2-40B4-BE49-F238E27FC236}">
              <a16:creationId xmlns:a16="http://schemas.microsoft.com/office/drawing/2014/main" id="{00000000-0008-0000-0800-0000F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9" name="Text Box 94">
          <a:extLst>
            <a:ext uri="{FF2B5EF4-FFF2-40B4-BE49-F238E27FC236}">
              <a16:creationId xmlns:a16="http://schemas.microsoft.com/office/drawing/2014/main" id="{00000000-0008-0000-0800-0000F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0" name="Text Box 95">
          <a:extLst>
            <a:ext uri="{FF2B5EF4-FFF2-40B4-BE49-F238E27FC236}">
              <a16:creationId xmlns:a16="http://schemas.microsoft.com/office/drawing/2014/main" id="{00000000-0008-0000-0800-0000F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1" name="Text Box 96">
          <a:extLst>
            <a:ext uri="{FF2B5EF4-FFF2-40B4-BE49-F238E27FC236}">
              <a16:creationId xmlns:a16="http://schemas.microsoft.com/office/drawing/2014/main" id="{00000000-0008-0000-0800-0000F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2" name="Text Box 97">
          <a:extLst>
            <a:ext uri="{FF2B5EF4-FFF2-40B4-BE49-F238E27FC236}">
              <a16:creationId xmlns:a16="http://schemas.microsoft.com/office/drawing/2014/main" id="{00000000-0008-0000-0800-0000F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3" name="Text Box 100">
          <a:extLst>
            <a:ext uri="{FF2B5EF4-FFF2-40B4-BE49-F238E27FC236}">
              <a16:creationId xmlns:a16="http://schemas.microsoft.com/office/drawing/2014/main" id="{00000000-0008-0000-0800-0000F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4" name="Text Box 101">
          <a:extLst>
            <a:ext uri="{FF2B5EF4-FFF2-40B4-BE49-F238E27FC236}">
              <a16:creationId xmlns:a16="http://schemas.microsoft.com/office/drawing/2014/main" id="{00000000-0008-0000-0800-0000F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5" name="Text Box 102">
          <a:extLst>
            <a:ext uri="{FF2B5EF4-FFF2-40B4-BE49-F238E27FC236}">
              <a16:creationId xmlns:a16="http://schemas.microsoft.com/office/drawing/2014/main" id="{00000000-0008-0000-0800-0000F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6" name="Text Box 103">
          <a:extLst>
            <a:ext uri="{FF2B5EF4-FFF2-40B4-BE49-F238E27FC236}">
              <a16:creationId xmlns:a16="http://schemas.microsoft.com/office/drawing/2014/main" id="{00000000-0008-0000-0800-0000F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7" name="Text Box 104">
          <a:extLst>
            <a:ext uri="{FF2B5EF4-FFF2-40B4-BE49-F238E27FC236}">
              <a16:creationId xmlns:a16="http://schemas.microsoft.com/office/drawing/2014/main" id="{00000000-0008-0000-0800-0000F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8" name="Text Box 105">
          <a:extLst>
            <a:ext uri="{FF2B5EF4-FFF2-40B4-BE49-F238E27FC236}">
              <a16:creationId xmlns:a16="http://schemas.microsoft.com/office/drawing/2014/main" id="{00000000-0008-0000-0800-0000F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9" name="Text Box 106">
          <a:extLst>
            <a:ext uri="{FF2B5EF4-FFF2-40B4-BE49-F238E27FC236}">
              <a16:creationId xmlns:a16="http://schemas.microsoft.com/office/drawing/2014/main" id="{00000000-0008-0000-0800-0000F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0" name="Text Box 107">
          <a:extLst>
            <a:ext uri="{FF2B5EF4-FFF2-40B4-BE49-F238E27FC236}">
              <a16:creationId xmlns:a16="http://schemas.microsoft.com/office/drawing/2014/main" id="{00000000-0008-0000-0800-00000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1" name="Text Box 108">
          <a:extLst>
            <a:ext uri="{FF2B5EF4-FFF2-40B4-BE49-F238E27FC236}">
              <a16:creationId xmlns:a16="http://schemas.microsoft.com/office/drawing/2014/main" id="{00000000-0008-0000-0800-00000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2" name="Text Box 109">
          <a:extLst>
            <a:ext uri="{FF2B5EF4-FFF2-40B4-BE49-F238E27FC236}">
              <a16:creationId xmlns:a16="http://schemas.microsoft.com/office/drawing/2014/main" id="{00000000-0008-0000-0800-00000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3" name="Text Box 110">
          <a:extLst>
            <a:ext uri="{FF2B5EF4-FFF2-40B4-BE49-F238E27FC236}">
              <a16:creationId xmlns:a16="http://schemas.microsoft.com/office/drawing/2014/main" id="{00000000-0008-0000-0800-00000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4" name="Text Box 111">
          <a:extLst>
            <a:ext uri="{FF2B5EF4-FFF2-40B4-BE49-F238E27FC236}">
              <a16:creationId xmlns:a16="http://schemas.microsoft.com/office/drawing/2014/main" id="{00000000-0008-0000-0800-00000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5" name="Text Box 119">
          <a:extLst>
            <a:ext uri="{FF2B5EF4-FFF2-40B4-BE49-F238E27FC236}">
              <a16:creationId xmlns:a16="http://schemas.microsoft.com/office/drawing/2014/main" id="{00000000-0008-0000-0800-00000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6" name="Text Box 120">
          <a:extLst>
            <a:ext uri="{FF2B5EF4-FFF2-40B4-BE49-F238E27FC236}">
              <a16:creationId xmlns:a16="http://schemas.microsoft.com/office/drawing/2014/main" id="{00000000-0008-0000-0800-00000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7" name="Text Box 121">
          <a:extLst>
            <a:ext uri="{FF2B5EF4-FFF2-40B4-BE49-F238E27FC236}">
              <a16:creationId xmlns:a16="http://schemas.microsoft.com/office/drawing/2014/main" id="{00000000-0008-0000-0800-00000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8" name="Text Box 122">
          <a:extLst>
            <a:ext uri="{FF2B5EF4-FFF2-40B4-BE49-F238E27FC236}">
              <a16:creationId xmlns:a16="http://schemas.microsoft.com/office/drawing/2014/main" id="{00000000-0008-0000-0800-00000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9" name="Text Box 123">
          <a:extLst>
            <a:ext uri="{FF2B5EF4-FFF2-40B4-BE49-F238E27FC236}">
              <a16:creationId xmlns:a16="http://schemas.microsoft.com/office/drawing/2014/main" id="{00000000-0008-0000-0800-00000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0" name="Text Box 124">
          <a:extLst>
            <a:ext uri="{FF2B5EF4-FFF2-40B4-BE49-F238E27FC236}">
              <a16:creationId xmlns:a16="http://schemas.microsoft.com/office/drawing/2014/main" id="{00000000-0008-0000-0800-00000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1" name="Text Box 125">
          <a:extLst>
            <a:ext uri="{FF2B5EF4-FFF2-40B4-BE49-F238E27FC236}">
              <a16:creationId xmlns:a16="http://schemas.microsoft.com/office/drawing/2014/main" id="{00000000-0008-0000-0800-00000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2" name="Text Box 126">
          <a:extLst>
            <a:ext uri="{FF2B5EF4-FFF2-40B4-BE49-F238E27FC236}">
              <a16:creationId xmlns:a16="http://schemas.microsoft.com/office/drawing/2014/main" id="{00000000-0008-0000-0800-00000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3" name="Text Box 127">
          <a:extLst>
            <a:ext uri="{FF2B5EF4-FFF2-40B4-BE49-F238E27FC236}">
              <a16:creationId xmlns:a16="http://schemas.microsoft.com/office/drawing/2014/main" id="{00000000-0008-0000-0800-00000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4" name="Text Box 128">
          <a:extLst>
            <a:ext uri="{FF2B5EF4-FFF2-40B4-BE49-F238E27FC236}">
              <a16:creationId xmlns:a16="http://schemas.microsoft.com/office/drawing/2014/main" id="{00000000-0008-0000-0800-00000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5" name="Text Box 129">
          <a:extLst>
            <a:ext uri="{FF2B5EF4-FFF2-40B4-BE49-F238E27FC236}">
              <a16:creationId xmlns:a16="http://schemas.microsoft.com/office/drawing/2014/main" id="{00000000-0008-0000-0800-00000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6" name="Text Box 130">
          <a:extLst>
            <a:ext uri="{FF2B5EF4-FFF2-40B4-BE49-F238E27FC236}">
              <a16:creationId xmlns:a16="http://schemas.microsoft.com/office/drawing/2014/main" id="{00000000-0008-0000-0800-00001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7" name="Text Box 133">
          <a:extLst>
            <a:ext uri="{FF2B5EF4-FFF2-40B4-BE49-F238E27FC236}">
              <a16:creationId xmlns:a16="http://schemas.microsoft.com/office/drawing/2014/main" id="{00000000-0008-0000-0800-00001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8" name="Text Box 134">
          <a:extLst>
            <a:ext uri="{FF2B5EF4-FFF2-40B4-BE49-F238E27FC236}">
              <a16:creationId xmlns:a16="http://schemas.microsoft.com/office/drawing/2014/main" id="{00000000-0008-0000-0800-00001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9" name="Text Box 135">
          <a:extLst>
            <a:ext uri="{FF2B5EF4-FFF2-40B4-BE49-F238E27FC236}">
              <a16:creationId xmlns:a16="http://schemas.microsoft.com/office/drawing/2014/main" id="{00000000-0008-0000-0800-00001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0" name="Text Box 136">
          <a:extLst>
            <a:ext uri="{FF2B5EF4-FFF2-40B4-BE49-F238E27FC236}">
              <a16:creationId xmlns:a16="http://schemas.microsoft.com/office/drawing/2014/main" id="{00000000-0008-0000-0800-00001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1" name="Text Box 137">
          <a:extLst>
            <a:ext uri="{FF2B5EF4-FFF2-40B4-BE49-F238E27FC236}">
              <a16:creationId xmlns:a16="http://schemas.microsoft.com/office/drawing/2014/main" id="{00000000-0008-0000-0800-00001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2" name="Text Box 138">
          <a:extLst>
            <a:ext uri="{FF2B5EF4-FFF2-40B4-BE49-F238E27FC236}">
              <a16:creationId xmlns:a16="http://schemas.microsoft.com/office/drawing/2014/main" id="{00000000-0008-0000-0800-00001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3" name="Text Box 139">
          <a:extLst>
            <a:ext uri="{FF2B5EF4-FFF2-40B4-BE49-F238E27FC236}">
              <a16:creationId xmlns:a16="http://schemas.microsoft.com/office/drawing/2014/main" id="{00000000-0008-0000-0800-00001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4" name="Text Box 140">
          <a:extLst>
            <a:ext uri="{FF2B5EF4-FFF2-40B4-BE49-F238E27FC236}">
              <a16:creationId xmlns:a16="http://schemas.microsoft.com/office/drawing/2014/main" id="{00000000-0008-0000-0800-00001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5" name="Text Box 141">
          <a:extLst>
            <a:ext uri="{FF2B5EF4-FFF2-40B4-BE49-F238E27FC236}">
              <a16:creationId xmlns:a16="http://schemas.microsoft.com/office/drawing/2014/main" id="{00000000-0008-0000-0800-00001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6" name="Text Box 142">
          <a:extLst>
            <a:ext uri="{FF2B5EF4-FFF2-40B4-BE49-F238E27FC236}">
              <a16:creationId xmlns:a16="http://schemas.microsoft.com/office/drawing/2014/main" id="{00000000-0008-0000-0800-00001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7" name="Text Box 143">
          <a:extLst>
            <a:ext uri="{FF2B5EF4-FFF2-40B4-BE49-F238E27FC236}">
              <a16:creationId xmlns:a16="http://schemas.microsoft.com/office/drawing/2014/main" id="{00000000-0008-0000-0800-00001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8" name="Text Box 144">
          <a:extLst>
            <a:ext uri="{FF2B5EF4-FFF2-40B4-BE49-F238E27FC236}">
              <a16:creationId xmlns:a16="http://schemas.microsoft.com/office/drawing/2014/main" id="{00000000-0008-0000-0800-00001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9" name="Text Box 145">
          <a:extLst>
            <a:ext uri="{FF2B5EF4-FFF2-40B4-BE49-F238E27FC236}">
              <a16:creationId xmlns:a16="http://schemas.microsoft.com/office/drawing/2014/main" id="{00000000-0008-0000-0800-00001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0" name="Text Box 146">
          <a:extLst>
            <a:ext uri="{FF2B5EF4-FFF2-40B4-BE49-F238E27FC236}">
              <a16:creationId xmlns:a16="http://schemas.microsoft.com/office/drawing/2014/main" id="{00000000-0008-0000-0800-00001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1" name="Text Box 147">
          <a:extLst>
            <a:ext uri="{FF2B5EF4-FFF2-40B4-BE49-F238E27FC236}">
              <a16:creationId xmlns:a16="http://schemas.microsoft.com/office/drawing/2014/main" id="{00000000-0008-0000-0800-00001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2" name="Text Box 148">
          <a:extLst>
            <a:ext uri="{FF2B5EF4-FFF2-40B4-BE49-F238E27FC236}">
              <a16:creationId xmlns:a16="http://schemas.microsoft.com/office/drawing/2014/main" id="{00000000-0008-0000-0800-00002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3" name="Text Box 149">
          <a:extLst>
            <a:ext uri="{FF2B5EF4-FFF2-40B4-BE49-F238E27FC236}">
              <a16:creationId xmlns:a16="http://schemas.microsoft.com/office/drawing/2014/main" id="{00000000-0008-0000-0800-00002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4" name="Text Box 150">
          <a:extLst>
            <a:ext uri="{FF2B5EF4-FFF2-40B4-BE49-F238E27FC236}">
              <a16:creationId xmlns:a16="http://schemas.microsoft.com/office/drawing/2014/main" id="{00000000-0008-0000-0800-00002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5" name="Text Box 151">
          <a:extLst>
            <a:ext uri="{FF2B5EF4-FFF2-40B4-BE49-F238E27FC236}">
              <a16:creationId xmlns:a16="http://schemas.microsoft.com/office/drawing/2014/main" id="{00000000-0008-0000-0800-00002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6" name="Text Box 152">
          <a:extLst>
            <a:ext uri="{FF2B5EF4-FFF2-40B4-BE49-F238E27FC236}">
              <a16:creationId xmlns:a16="http://schemas.microsoft.com/office/drawing/2014/main" id="{00000000-0008-0000-0800-00002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7" name="Text Box 153">
          <a:extLst>
            <a:ext uri="{FF2B5EF4-FFF2-40B4-BE49-F238E27FC236}">
              <a16:creationId xmlns:a16="http://schemas.microsoft.com/office/drawing/2014/main" id="{00000000-0008-0000-0800-00002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8" name="Text Box 154">
          <a:extLst>
            <a:ext uri="{FF2B5EF4-FFF2-40B4-BE49-F238E27FC236}">
              <a16:creationId xmlns:a16="http://schemas.microsoft.com/office/drawing/2014/main" id="{00000000-0008-0000-0800-00002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9" name="Text Box 155">
          <a:extLst>
            <a:ext uri="{FF2B5EF4-FFF2-40B4-BE49-F238E27FC236}">
              <a16:creationId xmlns:a16="http://schemas.microsoft.com/office/drawing/2014/main" id="{00000000-0008-0000-0800-00002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0" name="Text Box 156">
          <a:extLst>
            <a:ext uri="{FF2B5EF4-FFF2-40B4-BE49-F238E27FC236}">
              <a16:creationId xmlns:a16="http://schemas.microsoft.com/office/drawing/2014/main" id="{00000000-0008-0000-0800-00002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1" name="Text Box 157">
          <a:extLst>
            <a:ext uri="{FF2B5EF4-FFF2-40B4-BE49-F238E27FC236}">
              <a16:creationId xmlns:a16="http://schemas.microsoft.com/office/drawing/2014/main" id="{00000000-0008-0000-0800-00002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2" name="Text Box 158">
          <a:extLst>
            <a:ext uri="{FF2B5EF4-FFF2-40B4-BE49-F238E27FC236}">
              <a16:creationId xmlns:a16="http://schemas.microsoft.com/office/drawing/2014/main" id="{00000000-0008-0000-0800-00002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3" name="Text Box 159">
          <a:extLst>
            <a:ext uri="{FF2B5EF4-FFF2-40B4-BE49-F238E27FC236}">
              <a16:creationId xmlns:a16="http://schemas.microsoft.com/office/drawing/2014/main" id="{00000000-0008-0000-0800-00002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4" name="Text Box 160">
          <a:extLst>
            <a:ext uri="{FF2B5EF4-FFF2-40B4-BE49-F238E27FC236}">
              <a16:creationId xmlns:a16="http://schemas.microsoft.com/office/drawing/2014/main" id="{00000000-0008-0000-0800-00002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5" name="Text Box 161">
          <a:extLst>
            <a:ext uri="{FF2B5EF4-FFF2-40B4-BE49-F238E27FC236}">
              <a16:creationId xmlns:a16="http://schemas.microsoft.com/office/drawing/2014/main" id="{00000000-0008-0000-0800-00002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6" name="Text Box 162">
          <a:extLst>
            <a:ext uri="{FF2B5EF4-FFF2-40B4-BE49-F238E27FC236}">
              <a16:creationId xmlns:a16="http://schemas.microsoft.com/office/drawing/2014/main" id="{00000000-0008-0000-0800-00002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7" name="Text Box 163">
          <a:extLst>
            <a:ext uri="{FF2B5EF4-FFF2-40B4-BE49-F238E27FC236}">
              <a16:creationId xmlns:a16="http://schemas.microsoft.com/office/drawing/2014/main" id="{00000000-0008-0000-0800-00002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8" name="Text Box 164">
          <a:extLst>
            <a:ext uri="{FF2B5EF4-FFF2-40B4-BE49-F238E27FC236}">
              <a16:creationId xmlns:a16="http://schemas.microsoft.com/office/drawing/2014/main" id="{00000000-0008-0000-0800-00003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9" name="Text Box 165">
          <a:extLst>
            <a:ext uri="{FF2B5EF4-FFF2-40B4-BE49-F238E27FC236}">
              <a16:creationId xmlns:a16="http://schemas.microsoft.com/office/drawing/2014/main" id="{00000000-0008-0000-0800-00003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0" name="Text Box 166">
          <a:extLst>
            <a:ext uri="{FF2B5EF4-FFF2-40B4-BE49-F238E27FC236}">
              <a16:creationId xmlns:a16="http://schemas.microsoft.com/office/drawing/2014/main" id="{00000000-0008-0000-0800-00003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1" name="Text Box 167">
          <a:extLst>
            <a:ext uri="{FF2B5EF4-FFF2-40B4-BE49-F238E27FC236}">
              <a16:creationId xmlns:a16="http://schemas.microsoft.com/office/drawing/2014/main" id="{00000000-0008-0000-0800-00003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2" name="Text Box 168">
          <a:extLst>
            <a:ext uri="{FF2B5EF4-FFF2-40B4-BE49-F238E27FC236}">
              <a16:creationId xmlns:a16="http://schemas.microsoft.com/office/drawing/2014/main" id="{00000000-0008-0000-0800-00003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3" name="Text Box 169">
          <a:extLst>
            <a:ext uri="{FF2B5EF4-FFF2-40B4-BE49-F238E27FC236}">
              <a16:creationId xmlns:a16="http://schemas.microsoft.com/office/drawing/2014/main" id="{00000000-0008-0000-0800-00003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4" name="Text Box 170">
          <a:extLst>
            <a:ext uri="{FF2B5EF4-FFF2-40B4-BE49-F238E27FC236}">
              <a16:creationId xmlns:a16="http://schemas.microsoft.com/office/drawing/2014/main" id="{00000000-0008-0000-0800-00003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5" name="Text Box 171">
          <a:extLst>
            <a:ext uri="{FF2B5EF4-FFF2-40B4-BE49-F238E27FC236}">
              <a16:creationId xmlns:a16="http://schemas.microsoft.com/office/drawing/2014/main" id="{00000000-0008-0000-0800-00003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6" name="Text Box 172">
          <a:extLst>
            <a:ext uri="{FF2B5EF4-FFF2-40B4-BE49-F238E27FC236}">
              <a16:creationId xmlns:a16="http://schemas.microsoft.com/office/drawing/2014/main" id="{00000000-0008-0000-0800-00003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7" name="Text Box 173">
          <a:extLst>
            <a:ext uri="{FF2B5EF4-FFF2-40B4-BE49-F238E27FC236}">
              <a16:creationId xmlns:a16="http://schemas.microsoft.com/office/drawing/2014/main" id="{00000000-0008-0000-0800-00003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8" name="Text Box 174">
          <a:extLst>
            <a:ext uri="{FF2B5EF4-FFF2-40B4-BE49-F238E27FC236}">
              <a16:creationId xmlns:a16="http://schemas.microsoft.com/office/drawing/2014/main" id="{00000000-0008-0000-0800-00003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9" name="Text Box 175">
          <a:extLst>
            <a:ext uri="{FF2B5EF4-FFF2-40B4-BE49-F238E27FC236}">
              <a16:creationId xmlns:a16="http://schemas.microsoft.com/office/drawing/2014/main" id="{00000000-0008-0000-0800-00003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0" name="Text Box 176">
          <a:extLst>
            <a:ext uri="{FF2B5EF4-FFF2-40B4-BE49-F238E27FC236}">
              <a16:creationId xmlns:a16="http://schemas.microsoft.com/office/drawing/2014/main" id="{00000000-0008-0000-0800-00003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1" name="Text Box 177">
          <a:extLst>
            <a:ext uri="{FF2B5EF4-FFF2-40B4-BE49-F238E27FC236}">
              <a16:creationId xmlns:a16="http://schemas.microsoft.com/office/drawing/2014/main" id="{00000000-0008-0000-0800-00003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2" name="Text Box 178">
          <a:extLst>
            <a:ext uri="{FF2B5EF4-FFF2-40B4-BE49-F238E27FC236}">
              <a16:creationId xmlns:a16="http://schemas.microsoft.com/office/drawing/2014/main" id="{00000000-0008-0000-0800-00003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3" name="Text Box 179">
          <a:extLst>
            <a:ext uri="{FF2B5EF4-FFF2-40B4-BE49-F238E27FC236}">
              <a16:creationId xmlns:a16="http://schemas.microsoft.com/office/drawing/2014/main" id="{00000000-0008-0000-0800-00003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4" name="Text Box 180">
          <a:extLst>
            <a:ext uri="{FF2B5EF4-FFF2-40B4-BE49-F238E27FC236}">
              <a16:creationId xmlns:a16="http://schemas.microsoft.com/office/drawing/2014/main" id="{00000000-0008-0000-0800-00004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5" name="Text Box 181">
          <a:extLst>
            <a:ext uri="{FF2B5EF4-FFF2-40B4-BE49-F238E27FC236}">
              <a16:creationId xmlns:a16="http://schemas.microsoft.com/office/drawing/2014/main" id="{00000000-0008-0000-0800-00004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6" name="Text Box 182">
          <a:extLst>
            <a:ext uri="{FF2B5EF4-FFF2-40B4-BE49-F238E27FC236}">
              <a16:creationId xmlns:a16="http://schemas.microsoft.com/office/drawing/2014/main" id="{00000000-0008-0000-0800-00004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7" name="Text Box 183">
          <a:extLst>
            <a:ext uri="{FF2B5EF4-FFF2-40B4-BE49-F238E27FC236}">
              <a16:creationId xmlns:a16="http://schemas.microsoft.com/office/drawing/2014/main" id="{00000000-0008-0000-0800-00004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8" name="Text Box 184">
          <a:extLst>
            <a:ext uri="{FF2B5EF4-FFF2-40B4-BE49-F238E27FC236}">
              <a16:creationId xmlns:a16="http://schemas.microsoft.com/office/drawing/2014/main" id="{00000000-0008-0000-0800-00004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9" name="Text Box 185">
          <a:extLst>
            <a:ext uri="{FF2B5EF4-FFF2-40B4-BE49-F238E27FC236}">
              <a16:creationId xmlns:a16="http://schemas.microsoft.com/office/drawing/2014/main" id="{00000000-0008-0000-0800-00004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0" name="Text Box 186">
          <a:extLst>
            <a:ext uri="{FF2B5EF4-FFF2-40B4-BE49-F238E27FC236}">
              <a16:creationId xmlns:a16="http://schemas.microsoft.com/office/drawing/2014/main" id="{00000000-0008-0000-0800-00004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1" name="Text Box 187">
          <a:extLst>
            <a:ext uri="{FF2B5EF4-FFF2-40B4-BE49-F238E27FC236}">
              <a16:creationId xmlns:a16="http://schemas.microsoft.com/office/drawing/2014/main" id="{00000000-0008-0000-0800-00004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2" name="Text Box 188">
          <a:extLst>
            <a:ext uri="{FF2B5EF4-FFF2-40B4-BE49-F238E27FC236}">
              <a16:creationId xmlns:a16="http://schemas.microsoft.com/office/drawing/2014/main" id="{00000000-0008-0000-0800-00004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3" name="Text Box 189">
          <a:extLst>
            <a:ext uri="{FF2B5EF4-FFF2-40B4-BE49-F238E27FC236}">
              <a16:creationId xmlns:a16="http://schemas.microsoft.com/office/drawing/2014/main" id="{00000000-0008-0000-0800-00004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4" name="Text Box 190">
          <a:extLst>
            <a:ext uri="{FF2B5EF4-FFF2-40B4-BE49-F238E27FC236}">
              <a16:creationId xmlns:a16="http://schemas.microsoft.com/office/drawing/2014/main" id="{00000000-0008-0000-0800-00004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5" name="Text Box 191">
          <a:extLst>
            <a:ext uri="{FF2B5EF4-FFF2-40B4-BE49-F238E27FC236}">
              <a16:creationId xmlns:a16="http://schemas.microsoft.com/office/drawing/2014/main" id="{00000000-0008-0000-0800-00004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6" name="Text Box 192">
          <a:extLst>
            <a:ext uri="{FF2B5EF4-FFF2-40B4-BE49-F238E27FC236}">
              <a16:creationId xmlns:a16="http://schemas.microsoft.com/office/drawing/2014/main" id="{00000000-0008-0000-0800-00004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7" name="Text Box 193">
          <a:extLst>
            <a:ext uri="{FF2B5EF4-FFF2-40B4-BE49-F238E27FC236}">
              <a16:creationId xmlns:a16="http://schemas.microsoft.com/office/drawing/2014/main" id="{00000000-0008-0000-0800-00004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8" name="Text Box 194">
          <a:extLst>
            <a:ext uri="{FF2B5EF4-FFF2-40B4-BE49-F238E27FC236}">
              <a16:creationId xmlns:a16="http://schemas.microsoft.com/office/drawing/2014/main" id="{00000000-0008-0000-0800-00004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9" name="Text Box 195">
          <a:extLst>
            <a:ext uri="{FF2B5EF4-FFF2-40B4-BE49-F238E27FC236}">
              <a16:creationId xmlns:a16="http://schemas.microsoft.com/office/drawing/2014/main" id="{00000000-0008-0000-0800-00004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0" name="Text Box 196">
          <a:extLst>
            <a:ext uri="{FF2B5EF4-FFF2-40B4-BE49-F238E27FC236}">
              <a16:creationId xmlns:a16="http://schemas.microsoft.com/office/drawing/2014/main" id="{00000000-0008-0000-0800-00005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1" name="Text Box 197">
          <a:extLst>
            <a:ext uri="{FF2B5EF4-FFF2-40B4-BE49-F238E27FC236}">
              <a16:creationId xmlns:a16="http://schemas.microsoft.com/office/drawing/2014/main" id="{00000000-0008-0000-0800-00005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2" name="Text Box 198">
          <a:extLst>
            <a:ext uri="{FF2B5EF4-FFF2-40B4-BE49-F238E27FC236}">
              <a16:creationId xmlns:a16="http://schemas.microsoft.com/office/drawing/2014/main" id="{00000000-0008-0000-0800-00005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3" name="Text Box 199">
          <a:extLst>
            <a:ext uri="{FF2B5EF4-FFF2-40B4-BE49-F238E27FC236}">
              <a16:creationId xmlns:a16="http://schemas.microsoft.com/office/drawing/2014/main" id="{00000000-0008-0000-0800-00005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4" name="Text Box 200">
          <a:extLst>
            <a:ext uri="{FF2B5EF4-FFF2-40B4-BE49-F238E27FC236}">
              <a16:creationId xmlns:a16="http://schemas.microsoft.com/office/drawing/2014/main" id="{00000000-0008-0000-0800-00005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5" name="Text Box 201">
          <a:extLst>
            <a:ext uri="{FF2B5EF4-FFF2-40B4-BE49-F238E27FC236}">
              <a16:creationId xmlns:a16="http://schemas.microsoft.com/office/drawing/2014/main" id="{00000000-0008-0000-0800-00005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6" name="Text Box 202">
          <a:extLst>
            <a:ext uri="{FF2B5EF4-FFF2-40B4-BE49-F238E27FC236}">
              <a16:creationId xmlns:a16="http://schemas.microsoft.com/office/drawing/2014/main" id="{00000000-0008-0000-0800-00005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7" name="Text Box 203">
          <a:extLst>
            <a:ext uri="{FF2B5EF4-FFF2-40B4-BE49-F238E27FC236}">
              <a16:creationId xmlns:a16="http://schemas.microsoft.com/office/drawing/2014/main" id="{00000000-0008-0000-0800-00005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8" name="Text Box 204">
          <a:extLst>
            <a:ext uri="{FF2B5EF4-FFF2-40B4-BE49-F238E27FC236}">
              <a16:creationId xmlns:a16="http://schemas.microsoft.com/office/drawing/2014/main" id="{00000000-0008-0000-0800-00005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9" name="Text Box 205">
          <a:extLst>
            <a:ext uri="{FF2B5EF4-FFF2-40B4-BE49-F238E27FC236}">
              <a16:creationId xmlns:a16="http://schemas.microsoft.com/office/drawing/2014/main" id="{00000000-0008-0000-0800-00005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0" name="Text Box 206">
          <a:extLst>
            <a:ext uri="{FF2B5EF4-FFF2-40B4-BE49-F238E27FC236}">
              <a16:creationId xmlns:a16="http://schemas.microsoft.com/office/drawing/2014/main" id="{00000000-0008-0000-0800-00005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1" name="Text Box 207">
          <a:extLst>
            <a:ext uri="{FF2B5EF4-FFF2-40B4-BE49-F238E27FC236}">
              <a16:creationId xmlns:a16="http://schemas.microsoft.com/office/drawing/2014/main" id="{00000000-0008-0000-0800-00005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2" name="Text Box 208">
          <a:extLst>
            <a:ext uri="{FF2B5EF4-FFF2-40B4-BE49-F238E27FC236}">
              <a16:creationId xmlns:a16="http://schemas.microsoft.com/office/drawing/2014/main" id="{00000000-0008-0000-0800-00005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3" name="Text Box 209">
          <a:extLst>
            <a:ext uri="{FF2B5EF4-FFF2-40B4-BE49-F238E27FC236}">
              <a16:creationId xmlns:a16="http://schemas.microsoft.com/office/drawing/2014/main" id="{00000000-0008-0000-0800-00005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4" name="Text Box 210">
          <a:extLst>
            <a:ext uri="{FF2B5EF4-FFF2-40B4-BE49-F238E27FC236}">
              <a16:creationId xmlns:a16="http://schemas.microsoft.com/office/drawing/2014/main" id="{00000000-0008-0000-0800-00005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5" name="Text Box 211">
          <a:extLst>
            <a:ext uri="{FF2B5EF4-FFF2-40B4-BE49-F238E27FC236}">
              <a16:creationId xmlns:a16="http://schemas.microsoft.com/office/drawing/2014/main" id="{00000000-0008-0000-0800-00005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6" name="Text Box 212">
          <a:extLst>
            <a:ext uri="{FF2B5EF4-FFF2-40B4-BE49-F238E27FC236}">
              <a16:creationId xmlns:a16="http://schemas.microsoft.com/office/drawing/2014/main" id="{00000000-0008-0000-0800-00006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7" name="Text Box 213">
          <a:extLst>
            <a:ext uri="{FF2B5EF4-FFF2-40B4-BE49-F238E27FC236}">
              <a16:creationId xmlns:a16="http://schemas.microsoft.com/office/drawing/2014/main" id="{00000000-0008-0000-0800-00006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8" name="Text Box 214">
          <a:extLst>
            <a:ext uri="{FF2B5EF4-FFF2-40B4-BE49-F238E27FC236}">
              <a16:creationId xmlns:a16="http://schemas.microsoft.com/office/drawing/2014/main" id="{00000000-0008-0000-0800-00006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9" name="Text Box 215">
          <a:extLst>
            <a:ext uri="{FF2B5EF4-FFF2-40B4-BE49-F238E27FC236}">
              <a16:creationId xmlns:a16="http://schemas.microsoft.com/office/drawing/2014/main" id="{00000000-0008-0000-0800-00006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0" name="Text Box 216">
          <a:extLst>
            <a:ext uri="{FF2B5EF4-FFF2-40B4-BE49-F238E27FC236}">
              <a16:creationId xmlns:a16="http://schemas.microsoft.com/office/drawing/2014/main" id="{00000000-0008-0000-0800-00006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1" name="Text Box 217">
          <a:extLst>
            <a:ext uri="{FF2B5EF4-FFF2-40B4-BE49-F238E27FC236}">
              <a16:creationId xmlns:a16="http://schemas.microsoft.com/office/drawing/2014/main" id="{00000000-0008-0000-0800-00006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2" name="Text Box 218">
          <a:extLst>
            <a:ext uri="{FF2B5EF4-FFF2-40B4-BE49-F238E27FC236}">
              <a16:creationId xmlns:a16="http://schemas.microsoft.com/office/drawing/2014/main" id="{00000000-0008-0000-0800-00006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3" name="Text Box 219">
          <a:extLst>
            <a:ext uri="{FF2B5EF4-FFF2-40B4-BE49-F238E27FC236}">
              <a16:creationId xmlns:a16="http://schemas.microsoft.com/office/drawing/2014/main" id="{00000000-0008-0000-0800-00006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4" name="Text Box 220">
          <a:extLst>
            <a:ext uri="{FF2B5EF4-FFF2-40B4-BE49-F238E27FC236}">
              <a16:creationId xmlns:a16="http://schemas.microsoft.com/office/drawing/2014/main" id="{00000000-0008-0000-0800-00006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5" name="Text Box 221">
          <a:extLst>
            <a:ext uri="{FF2B5EF4-FFF2-40B4-BE49-F238E27FC236}">
              <a16:creationId xmlns:a16="http://schemas.microsoft.com/office/drawing/2014/main" id="{00000000-0008-0000-0800-00006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6" name="Text Box 222">
          <a:extLst>
            <a:ext uri="{FF2B5EF4-FFF2-40B4-BE49-F238E27FC236}">
              <a16:creationId xmlns:a16="http://schemas.microsoft.com/office/drawing/2014/main" id="{00000000-0008-0000-0800-00006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7" name="Text Box 223">
          <a:extLst>
            <a:ext uri="{FF2B5EF4-FFF2-40B4-BE49-F238E27FC236}">
              <a16:creationId xmlns:a16="http://schemas.microsoft.com/office/drawing/2014/main" id="{00000000-0008-0000-0800-00006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8" name="Text Box 224">
          <a:extLst>
            <a:ext uri="{FF2B5EF4-FFF2-40B4-BE49-F238E27FC236}">
              <a16:creationId xmlns:a16="http://schemas.microsoft.com/office/drawing/2014/main" id="{00000000-0008-0000-0800-00006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9" name="Text Box 225">
          <a:extLst>
            <a:ext uri="{FF2B5EF4-FFF2-40B4-BE49-F238E27FC236}">
              <a16:creationId xmlns:a16="http://schemas.microsoft.com/office/drawing/2014/main" id="{00000000-0008-0000-0800-00006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90" name="Text Box 226">
          <a:extLst>
            <a:ext uri="{FF2B5EF4-FFF2-40B4-BE49-F238E27FC236}">
              <a16:creationId xmlns:a16="http://schemas.microsoft.com/office/drawing/2014/main" id="{00000000-0008-0000-0800-00006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1" name="Text Box 227">
          <a:extLst>
            <a:ext uri="{FF2B5EF4-FFF2-40B4-BE49-F238E27FC236}">
              <a16:creationId xmlns:a16="http://schemas.microsoft.com/office/drawing/2014/main" id="{00000000-0008-0000-0800-00006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2" name="Text Box 228">
          <a:extLst>
            <a:ext uri="{FF2B5EF4-FFF2-40B4-BE49-F238E27FC236}">
              <a16:creationId xmlns:a16="http://schemas.microsoft.com/office/drawing/2014/main" id="{00000000-0008-0000-0800-00007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3" name="Text Box 229">
          <a:extLst>
            <a:ext uri="{FF2B5EF4-FFF2-40B4-BE49-F238E27FC236}">
              <a16:creationId xmlns:a16="http://schemas.microsoft.com/office/drawing/2014/main" id="{00000000-0008-0000-0800-00007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4" name="Text Box 230">
          <a:extLst>
            <a:ext uri="{FF2B5EF4-FFF2-40B4-BE49-F238E27FC236}">
              <a16:creationId xmlns:a16="http://schemas.microsoft.com/office/drawing/2014/main" id="{00000000-0008-0000-0800-00007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5" name="Text Box 231">
          <a:extLst>
            <a:ext uri="{FF2B5EF4-FFF2-40B4-BE49-F238E27FC236}">
              <a16:creationId xmlns:a16="http://schemas.microsoft.com/office/drawing/2014/main" id="{00000000-0008-0000-0800-00007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6" name="Text Box 232">
          <a:extLst>
            <a:ext uri="{FF2B5EF4-FFF2-40B4-BE49-F238E27FC236}">
              <a16:creationId xmlns:a16="http://schemas.microsoft.com/office/drawing/2014/main" id="{00000000-0008-0000-0800-00007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7" name="Text Box 233">
          <a:extLst>
            <a:ext uri="{FF2B5EF4-FFF2-40B4-BE49-F238E27FC236}">
              <a16:creationId xmlns:a16="http://schemas.microsoft.com/office/drawing/2014/main" id="{00000000-0008-0000-0800-00007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8" name="Text Box 234">
          <a:extLst>
            <a:ext uri="{FF2B5EF4-FFF2-40B4-BE49-F238E27FC236}">
              <a16:creationId xmlns:a16="http://schemas.microsoft.com/office/drawing/2014/main" id="{00000000-0008-0000-0800-00007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9" name="Text Box 235">
          <a:extLst>
            <a:ext uri="{FF2B5EF4-FFF2-40B4-BE49-F238E27FC236}">
              <a16:creationId xmlns:a16="http://schemas.microsoft.com/office/drawing/2014/main" id="{00000000-0008-0000-0800-00007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0" name="Text Box 236">
          <a:extLst>
            <a:ext uri="{FF2B5EF4-FFF2-40B4-BE49-F238E27FC236}">
              <a16:creationId xmlns:a16="http://schemas.microsoft.com/office/drawing/2014/main" id="{00000000-0008-0000-0800-00007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1" name="Text Box 237">
          <a:extLst>
            <a:ext uri="{FF2B5EF4-FFF2-40B4-BE49-F238E27FC236}">
              <a16:creationId xmlns:a16="http://schemas.microsoft.com/office/drawing/2014/main" id="{00000000-0008-0000-0800-00007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2" name="Text Box 238">
          <a:extLst>
            <a:ext uri="{FF2B5EF4-FFF2-40B4-BE49-F238E27FC236}">
              <a16:creationId xmlns:a16="http://schemas.microsoft.com/office/drawing/2014/main" id="{00000000-0008-0000-0800-00007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3" name="Text Box 239">
          <a:extLst>
            <a:ext uri="{FF2B5EF4-FFF2-40B4-BE49-F238E27FC236}">
              <a16:creationId xmlns:a16="http://schemas.microsoft.com/office/drawing/2014/main" id="{00000000-0008-0000-0800-00007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4" name="Text Box 240">
          <a:extLst>
            <a:ext uri="{FF2B5EF4-FFF2-40B4-BE49-F238E27FC236}">
              <a16:creationId xmlns:a16="http://schemas.microsoft.com/office/drawing/2014/main" id="{00000000-0008-0000-0800-00007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5" name="Text Box 241">
          <a:extLst>
            <a:ext uri="{FF2B5EF4-FFF2-40B4-BE49-F238E27FC236}">
              <a16:creationId xmlns:a16="http://schemas.microsoft.com/office/drawing/2014/main" id="{00000000-0008-0000-0800-00007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6" name="Text Box 242">
          <a:extLst>
            <a:ext uri="{FF2B5EF4-FFF2-40B4-BE49-F238E27FC236}">
              <a16:creationId xmlns:a16="http://schemas.microsoft.com/office/drawing/2014/main" id="{00000000-0008-0000-0800-00007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7" name="Text Box 243">
          <a:extLst>
            <a:ext uri="{FF2B5EF4-FFF2-40B4-BE49-F238E27FC236}">
              <a16:creationId xmlns:a16="http://schemas.microsoft.com/office/drawing/2014/main" id="{00000000-0008-0000-0800-00007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8" name="Text Box 244">
          <a:extLst>
            <a:ext uri="{FF2B5EF4-FFF2-40B4-BE49-F238E27FC236}">
              <a16:creationId xmlns:a16="http://schemas.microsoft.com/office/drawing/2014/main" id="{00000000-0008-0000-0800-00008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9" name="Text Box 245">
          <a:extLst>
            <a:ext uri="{FF2B5EF4-FFF2-40B4-BE49-F238E27FC236}">
              <a16:creationId xmlns:a16="http://schemas.microsoft.com/office/drawing/2014/main" id="{00000000-0008-0000-0800-00008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0" name="Text Box 246">
          <a:extLst>
            <a:ext uri="{FF2B5EF4-FFF2-40B4-BE49-F238E27FC236}">
              <a16:creationId xmlns:a16="http://schemas.microsoft.com/office/drawing/2014/main" id="{00000000-0008-0000-0800-00008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1" name="Text Box 247">
          <a:extLst>
            <a:ext uri="{FF2B5EF4-FFF2-40B4-BE49-F238E27FC236}">
              <a16:creationId xmlns:a16="http://schemas.microsoft.com/office/drawing/2014/main" id="{00000000-0008-0000-0800-00008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2" name="Text Box 248">
          <a:extLst>
            <a:ext uri="{FF2B5EF4-FFF2-40B4-BE49-F238E27FC236}">
              <a16:creationId xmlns:a16="http://schemas.microsoft.com/office/drawing/2014/main" id="{00000000-0008-0000-0800-00008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3" name="Text Box 249">
          <a:extLst>
            <a:ext uri="{FF2B5EF4-FFF2-40B4-BE49-F238E27FC236}">
              <a16:creationId xmlns:a16="http://schemas.microsoft.com/office/drawing/2014/main" id="{00000000-0008-0000-0800-00008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4" name="Text Box 250">
          <a:extLst>
            <a:ext uri="{FF2B5EF4-FFF2-40B4-BE49-F238E27FC236}">
              <a16:creationId xmlns:a16="http://schemas.microsoft.com/office/drawing/2014/main" id="{00000000-0008-0000-0800-00008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5" name="Text Box 251">
          <a:extLst>
            <a:ext uri="{FF2B5EF4-FFF2-40B4-BE49-F238E27FC236}">
              <a16:creationId xmlns:a16="http://schemas.microsoft.com/office/drawing/2014/main" id="{00000000-0008-0000-0800-00008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6" name="Text Box 252">
          <a:extLst>
            <a:ext uri="{FF2B5EF4-FFF2-40B4-BE49-F238E27FC236}">
              <a16:creationId xmlns:a16="http://schemas.microsoft.com/office/drawing/2014/main" id="{00000000-0008-0000-0800-00008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7" name="Text Box 253">
          <a:extLst>
            <a:ext uri="{FF2B5EF4-FFF2-40B4-BE49-F238E27FC236}">
              <a16:creationId xmlns:a16="http://schemas.microsoft.com/office/drawing/2014/main" id="{00000000-0008-0000-0800-00008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8" name="Text Box 254">
          <a:extLst>
            <a:ext uri="{FF2B5EF4-FFF2-40B4-BE49-F238E27FC236}">
              <a16:creationId xmlns:a16="http://schemas.microsoft.com/office/drawing/2014/main" id="{00000000-0008-0000-0800-00008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9" name="Text Box 255">
          <a:extLst>
            <a:ext uri="{FF2B5EF4-FFF2-40B4-BE49-F238E27FC236}">
              <a16:creationId xmlns:a16="http://schemas.microsoft.com/office/drawing/2014/main" id="{00000000-0008-0000-0800-00008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0" name="Text Box 256">
          <a:extLst>
            <a:ext uri="{FF2B5EF4-FFF2-40B4-BE49-F238E27FC236}">
              <a16:creationId xmlns:a16="http://schemas.microsoft.com/office/drawing/2014/main" id="{00000000-0008-0000-0800-00008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1" name="Text Box 257">
          <a:extLst>
            <a:ext uri="{FF2B5EF4-FFF2-40B4-BE49-F238E27FC236}">
              <a16:creationId xmlns:a16="http://schemas.microsoft.com/office/drawing/2014/main" id="{00000000-0008-0000-0800-00008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2" name="Text Box 258">
          <a:extLst>
            <a:ext uri="{FF2B5EF4-FFF2-40B4-BE49-F238E27FC236}">
              <a16:creationId xmlns:a16="http://schemas.microsoft.com/office/drawing/2014/main" id="{00000000-0008-0000-0800-00008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3" name="Text Box 259">
          <a:extLst>
            <a:ext uri="{FF2B5EF4-FFF2-40B4-BE49-F238E27FC236}">
              <a16:creationId xmlns:a16="http://schemas.microsoft.com/office/drawing/2014/main" id="{00000000-0008-0000-0800-00008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4" name="Text Box 260">
          <a:extLst>
            <a:ext uri="{FF2B5EF4-FFF2-40B4-BE49-F238E27FC236}">
              <a16:creationId xmlns:a16="http://schemas.microsoft.com/office/drawing/2014/main" id="{00000000-0008-0000-0800-00009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5" name="Text Box 261">
          <a:extLst>
            <a:ext uri="{FF2B5EF4-FFF2-40B4-BE49-F238E27FC236}">
              <a16:creationId xmlns:a16="http://schemas.microsoft.com/office/drawing/2014/main" id="{00000000-0008-0000-0800-00009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6" name="Text Box 262">
          <a:extLst>
            <a:ext uri="{FF2B5EF4-FFF2-40B4-BE49-F238E27FC236}">
              <a16:creationId xmlns:a16="http://schemas.microsoft.com/office/drawing/2014/main" id="{00000000-0008-0000-0800-00009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7" name="Text Box 263">
          <a:extLst>
            <a:ext uri="{FF2B5EF4-FFF2-40B4-BE49-F238E27FC236}">
              <a16:creationId xmlns:a16="http://schemas.microsoft.com/office/drawing/2014/main" id="{00000000-0008-0000-0800-00009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8" name="Text Box 264">
          <a:extLst>
            <a:ext uri="{FF2B5EF4-FFF2-40B4-BE49-F238E27FC236}">
              <a16:creationId xmlns:a16="http://schemas.microsoft.com/office/drawing/2014/main" id="{00000000-0008-0000-0800-00009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9" name="Text Box 265">
          <a:extLst>
            <a:ext uri="{FF2B5EF4-FFF2-40B4-BE49-F238E27FC236}">
              <a16:creationId xmlns:a16="http://schemas.microsoft.com/office/drawing/2014/main" id="{00000000-0008-0000-0800-00009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0" name="Text Box 266">
          <a:extLst>
            <a:ext uri="{FF2B5EF4-FFF2-40B4-BE49-F238E27FC236}">
              <a16:creationId xmlns:a16="http://schemas.microsoft.com/office/drawing/2014/main" id="{00000000-0008-0000-0800-00009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1" name="Text Box 267">
          <a:extLst>
            <a:ext uri="{FF2B5EF4-FFF2-40B4-BE49-F238E27FC236}">
              <a16:creationId xmlns:a16="http://schemas.microsoft.com/office/drawing/2014/main" id="{00000000-0008-0000-0800-00009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2" name="Text Box 268">
          <a:extLst>
            <a:ext uri="{FF2B5EF4-FFF2-40B4-BE49-F238E27FC236}">
              <a16:creationId xmlns:a16="http://schemas.microsoft.com/office/drawing/2014/main" id="{00000000-0008-0000-0800-00009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3" name="Text Box 269">
          <a:extLst>
            <a:ext uri="{FF2B5EF4-FFF2-40B4-BE49-F238E27FC236}">
              <a16:creationId xmlns:a16="http://schemas.microsoft.com/office/drawing/2014/main" id="{00000000-0008-0000-0800-00009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4" name="Text Box 270">
          <a:extLst>
            <a:ext uri="{FF2B5EF4-FFF2-40B4-BE49-F238E27FC236}">
              <a16:creationId xmlns:a16="http://schemas.microsoft.com/office/drawing/2014/main" id="{00000000-0008-0000-0800-00009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5" name="Text Box 271">
          <a:extLst>
            <a:ext uri="{FF2B5EF4-FFF2-40B4-BE49-F238E27FC236}">
              <a16:creationId xmlns:a16="http://schemas.microsoft.com/office/drawing/2014/main" id="{00000000-0008-0000-0800-00009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6" name="Text Box 272">
          <a:extLst>
            <a:ext uri="{FF2B5EF4-FFF2-40B4-BE49-F238E27FC236}">
              <a16:creationId xmlns:a16="http://schemas.microsoft.com/office/drawing/2014/main" id="{00000000-0008-0000-0800-00009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7" name="Text Box 273">
          <a:extLst>
            <a:ext uri="{FF2B5EF4-FFF2-40B4-BE49-F238E27FC236}">
              <a16:creationId xmlns:a16="http://schemas.microsoft.com/office/drawing/2014/main" id="{00000000-0008-0000-0800-00009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8" name="Text Box 274">
          <a:extLst>
            <a:ext uri="{FF2B5EF4-FFF2-40B4-BE49-F238E27FC236}">
              <a16:creationId xmlns:a16="http://schemas.microsoft.com/office/drawing/2014/main" id="{00000000-0008-0000-0800-00009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9" name="Text Box 275">
          <a:extLst>
            <a:ext uri="{FF2B5EF4-FFF2-40B4-BE49-F238E27FC236}">
              <a16:creationId xmlns:a16="http://schemas.microsoft.com/office/drawing/2014/main" id="{00000000-0008-0000-0800-00009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0" name="Text Box 276">
          <a:extLst>
            <a:ext uri="{FF2B5EF4-FFF2-40B4-BE49-F238E27FC236}">
              <a16:creationId xmlns:a16="http://schemas.microsoft.com/office/drawing/2014/main" id="{00000000-0008-0000-0800-0000A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1" name="Text Box 277">
          <a:extLst>
            <a:ext uri="{FF2B5EF4-FFF2-40B4-BE49-F238E27FC236}">
              <a16:creationId xmlns:a16="http://schemas.microsoft.com/office/drawing/2014/main" id="{00000000-0008-0000-0800-0000A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2" name="Text Box 278">
          <a:extLst>
            <a:ext uri="{FF2B5EF4-FFF2-40B4-BE49-F238E27FC236}">
              <a16:creationId xmlns:a16="http://schemas.microsoft.com/office/drawing/2014/main" id="{00000000-0008-0000-0800-0000A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3" name="Text Box 279">
          <a:extLst>
            <a:ext uri="{FF2B5EF4-FFF2-40B4-BE49-F238E27FC236}">
              <a16:creationId xmlns:a16="http://schemas.microsoft.com/office/drawing/2014/main" id="{00000000-0008-0000-0800-0000A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4" name="Text Box 280">
          <a:extLst>
            <a:ext uri="{FF2B5EF4-FFF2-40B4-BE49-F238E27FC236}">
              <a16:creationId xmlns:a16="http://schemas.microsoft.com/office/drawing/2014/main" id="{00000000-0008-0000-0800-0000A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5" name="Text Box 281">
          <a:extLst>
            <a:ext uri="{FF2B5EF4-FFF2-40B4-BE49-F238E27FC236}">
              <a16:creationId xmlns:a16="http://schemas.microsoft.com/office/drawing/2014/main" id="{00000000-0008-0000-0800-0000A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6" name="Text Box 282">
          <a:extLst>
            <a:ext uri="{FF2B5EF4-FFF2-40B4-BE49-F238E27FC236}">
              <a16:creationId xmlns:a16="http://schemas.microsoft.com/office/drawing/2014/main" id="{00000000-0008-0000-0800-0000A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7" name="Text Box 283">
          <a:extLst>
            <a:ext uri="{FF2B5EF4-FFF2-40B4-BE49-F238E27FC236}">
              <a16:creationId xmlns:a16="http://schemas.microsoft.com/office/drawing/2014/main" id="{00000000-0008-0000-0800-0000A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8" name="Text Box 284">
          <a:extLst>
            <a:ext uri="{FF2B5EF4-FFF2-40B4-BE49-F238E27FC236}">
              <a16:creationId xmlns:a16="http://schemas.microsoft.com/office/drawing/2014/main" id="{00000000-0008-0000-0800-0000A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9" name="Text Box 285">
          <a:extLst>
            <a:ext uri="{FF2B5EF4-FFF2-40B4-BE49-F238E27FC236}">
              <a16:creationId xmlns:a16="http://schemas.microsoft.com/office/drawing/2014/main" id="{00000000-0008-0000-0800-0000A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0" name="Text Box 286">
          <a:extLst>
            <a:ext uri="{FF2B5EF4-FFF2-40B4-BE49-F238E27FC236}">
              <a16:creationId xmlns:a16="http://schemas.microsoft.com/office/drawing/2014/main" id="{00000000-0008-0000-0800-0000A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1" name="Text Box 287">
          <a:extLst>
            <a:ext uri="{FF2B5EF4-FFF2-40B4-BE49-F238E27FC236}">
              <a16:creationId xmlns:a16="http://schemas.microsoft.com/office/drawing/2014/main" id="{00000000-0008-0000-0800-0000A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2" name="Text Box 288">
          <a:extLst>
            <a:ext uri="{FF2B5EF4-FFF2-40B4-BE49-F238E27FC236}">
              <a16:creationId xmlns:a16="http://schemas.microsoft.com/office/drawing/2014/main" id="{00000000-0008-0000-0800-0000A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3" name="Text Box 289">
          <a:extLst>
            <a:ext uri="{FF2B5EF4-FFF2-40B4-BE49-F238E27FC236}">
              <a16:creationId xmlns:a16="http://schemas.microsoft.com/office/drawing/2014/main" id="{00000000-0008-0000-0800-0000A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4" name="Text Box 290">
          <a:extLst>
            <a:ext uri="{FF2B5EF4-FFF2-40B4-BE49-F238E27FC236}">
              <a16:creationId xmlns:a16="http://schemas.microsoft.com/office/drawing/2014/main" id="{00000000-0008-0000-0800-0000A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5" name="Text Box 291">
          <a:extLst>
            <a:ext uri="{FF2B5EF4-FFF2-40B4-BE49-F238E27FC236}">
              <a16:creationId xmlns:a16="http://schemas.microsoft.com/office/drawing/2014/main" id="{00000000-0008-0000-0800-0000A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6" name="Text Box 292">
          <a:extLst>
            <a:ext uri="{FF2B5EF4-FFF2-40B4-BE49-F238E27FC236}">
              <a16:creationId xmlns:a16="http://schemas.microsoft.com/office/drawing/2014/main" id="{00000000-0008-0000-0800-0000B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7" name="Text Box 293">
          <a:extLst>
            <a:ext uri="{FF2B5EF4-FFF2-40B4-BE49-F238E27FC236}">
              <a16:creationId xmlns:a16="http://schemas.microsoft.com/office/drawing/2014/main" id="{00000000-0008-0000-0800-0000B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8" name="Text Box 294">
          <a:extLst>
            <a:ext uri="{FF2B5EF4-FFF2-40B4-BE49-F238E27FC236}">
              <a16:creationId xmlns:a16="http://schemas.microsoft.com/office/drawing/2014/main" id="{00000000-0008-0000-0800-0000B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9" name="Text Box 295">
          <a:extLst>
            <a:ext uri="{FF2B5EF4-FFF2-40B4-BE49-F238E27FC236}">
              <a16:creationId xmlns:a16="http://schemas.microsoft.com/office/drawing/2014/main" id="{00000000-0008-0000-0800-0000B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60" name="Text Box 296">
          <a:extLst>
            <a:ext uri="{FF2B5EF4-FFF2-40B4-BE49-F238E27FC236}">
              <a16:creationId xmlns:a16="http://schemas.microsoft.com/office/drawing/2014/main" id="{00000000-0008-0000-0800-0000B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1" name="Text Box 297">
          <a:extLst>
            <a:ext uri="{FF2B5EF4-FFF2-40B4-BE49-F238E27FC236}">
              <a16:creationId xmlns:a16="http://schemas.microsoft.com/office/drawing/2014/main" id="{00000000-0008-0000-0800-0000B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2" name="Text Box 298">
          <a:extLst>
            <a:ext uri="{FF2B5EF4-FFF2-40B4-BE49-F238E27FC236}">
              <a16:creationId xmlns:a16="http://schemas.microsoft.com/office/drawing/2014/main" id="{00000000-0008-0000-0800-0000B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3" name="Text Box 299">
          <a:extLst>
            <a:ext uri="{FF2B5EF4-FFF2-40B4-BE49-F238E27FC236}">
              <a16:creationId xmlns:a16="http://schemas.microsoft.com/office/drawing/2014/main" id="{00000000-0008-0000-0800-0000B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4" name="Text Box 300">
          <a:extLst>
            <a:ext uri="{FF2B5EF4-FFF2-40B4-BE49-F238E27FC236}">
              <a16:creationId xmlns:a16="http://schemas.microsoft.com/office/drawing/2014/main" id="{00000000-0008-0000-0800-0000B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5" name="Text Box 301">
          <a:extLst>
            <a:ext uri="{FF2B5EF4-FFF2-40B4-BE49-F238E27FC236}">
              <a16:creationId xmlns:a16="http://schemas.microsoft.com/office/drawing/2014/main" id="{00000000-0008-0000-0800-0000B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6" name="Text Box 302">
          <a:extLst>
            <a:ext uri="{FF2B5EF4-FFF2-40B4-BE49-F238E27FC236}">
              <a16:creationId xmlns:a16="http://schemas.microsoft.com/office/drawing/2014/main" id="{00000000-0008-0000-0800-0000B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7" name="Text Box 303">
          <a:extLst>
            <a:ext uri="{FF2B5EF4-FFF2-40B4-BE49-F238E27FC236}">
              <a16:creationId xmlns:a16="http://schemas.microsoft.com/office/drawing/2014/main" id="{00000000-0008-0000-0800-0000B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8" name="Text Box 304">
          <a:extLst>
            <a:ext uri="{FF2B5EF4-FFF2-40B4-BE49-F238E27FC236}">
              <a16:creationId xmlns:a16="http://schemas.microsoft.com/office/drawing/2014/main" id="{00000000-0008-0000-0800-0000B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9" name="Text Box 305">
          <a:extLst>
            <a:ext uri="{FF2B5EF4-FFF2-40B4-BE49-F238E27FC236}">
              <a16:creationId xmlns:a16="http://schemas.microsoft.com/office/drawing/2014/main" id="{00000000-0008-0000-0800-0000B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0" name="Text Box 306">
          <a:extLst>
            <a:ext uri="{FF2B5EF4-FFF2-40B4-BE49-F238E27FC236}">
              <a16:creationId xmlns:a16="http://schemas.microsoft.com/office/drawing/2014/main" id="{00000000-0008-0000-0800-0000B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1" name="Text Box 307">
          <a:extLst>
            <a:ext uri="{FF2B5EF4-FFF2-40B4-BE49-F238E27FC236}">
              <a16:creationId xmlns:a16="http://schemas.microsoft.com/office/drawing/2014/main" id="{00000000-0008-0000-0800-0000B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2" name="Text Box 308">
          <a:extLst>
            <a:ext uri="{FF2B5EF4-FFF2-40B4-BE49-F238E27FC236}">
              <a16:creationId xmlns:a16="http://schemas.microsoft.com/office/drawing/2014/main" id="{00000000-0008-0000-0800-0000C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3" name="Text Box 309">
          <a:extLst>
            <a:ext uri="{FF2B5EF4-FFF2-40B4-BE49-F238E27FC236}">
              <a16:creationId xmlns:a16="http://schemas.microsoft.com/office/drawing/2014/main" id="{00000000-0008-0000-0800-0000C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4" name="Text Box 310">
          <a:extLst>
            <a:ext uri="{FF2B5EF4-FFF2-40B4-BE49-F238E27FC236}">
              <a16:creationId xmlns:a16="http://schemas.microsoft.com/office/drawing/2014/main" id="{00000000-0008-0000-0800-0000C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5" name="Text Box 311">
          <a:extLst>
            <a:ext uri="{FF2B5EF4-FFF2-40B4-BE49-F238E27FC236}">
              <a16:creationId xmlns:a16="http://schemas.microsoft.com/office/drawing/2014/main" id="{00000000-0008-0000-0800-0000C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6" name="Text Box 312">
          <a:extLst>
            <a:ext uri="{FF2B5EF4-FFF2-40B4-BE49-F238E27FC236}">
              <a16:creationId xmlns:a16="http://schemas.microsoft.com/office/drawing/2014/main" id="{00000000-0008-0000-0800-0000C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7" name="Text Box 313">
          <a:extLst>
            <a:ext uri="{FF2B5EF4-FFF2-40B4-BE49-F238E27FC236}">
              <a16:creationId xmlns:a16="http://schemas.microsoft.com/office/drawing/2014/main" id="{00000000-0008-0000-0800-0000C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8" name="Text Box 314">
          <a:extLst>
            <a:ext uri="{FF2B5EF4-FFF2-40B4-BE49-F238E27FC236}">
              <a16:creationId xmlns:a16="http://schemas.microsoft.com/office/drawing/2014/main" id="{00000000-0008-0000-0800-0000C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9" name="Text Box 315">
          <a:extLst>
            <a:ext uri="{FF2B5EF4-FFF2-40B4-BE49-F238E27FC236}">
              <a16:creationId xmlns:a16="http://schemas.microsoft.com/office/drawing/2014/main" id="{00000000-0008-0000-0800-0000C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0" name="Text Box 316">
          <a:extLst>
            <a:ext uri="{FF2B5EF4-FFF2-40B4-BE49-F238E27FC236}">
              <a16:creationId xmlns:a16="http://schemas.microsoft.com/office/drawing/2014/main" id="{00000000-0008-0000-0800-0000C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1" name="Text Box 317">
          <a:extLst>
            <a:ext uri="{FF2B5EF4-FFF2-40B4-BE49-F238E27FC236}">
              <a16:creationId xmlns:a16="http://schemas.microsoft.com/office/drawing/2014/main" id="{00000000-0008-0000-0800-0000C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2" name="Text Box 318">
          <a:extLst>
            <a:ext uri="{FF2B5EF4-FFF2-40B4-BE49-F238E27FC236}">
              <a16:creationId xmlns:a16="http://schemas.microsoft.com/office/drawing/2014/main" id="{00000000-0008-0000-0800-0000C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3" name="Text Box 319">
          <a:extLst>
            <a:ext uri="{FF2B5EF4-FFF2-40B4-BE49-F238E27FC236}">
              <a16:creationId xmlns:a16="http://schemas.microsoft.com/office/drawing/2014/main" id="{00000000-0008-0000-0800-0000C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4" name="Text Box 320">
          <a:extLst>
            <a:ext uri="{FF2B5EF4-FFF2-40B4-BE49-F238E27FC236}">
              <a16:creationId xmlns:a16="http://schemas.microsoft.com/office/drawing/2014/main" id="{00000000-0008-0000-0800-0000C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5" name="Text Box 28">
          <a:extLst>
            <a:ext uri="{FF2B5EF4-FFF2-40B4-BE49-F238E27FC236}">
              <a16:creationId xmlns:a16="http://schemas.microsoft.com/office/drawing/2014/main" id="{00000000-0008-0000-0800-0000C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6" name="Text Box 29">
          <a:extLst>
            <a:ext uri="{FF2B5EF4-FFF2-40B4-BE49-F238E27FC236}">
              <a16:creationId xmlns:a16="http://schemas.microsoft.com/office/drawing/2014/main" id="{00000000-0008-0000-0800-0000C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7" name="Text Box 30">
          <a:extLst>
            <a:ext uri="{FF2B5EF4-FFF2-40B4-BE49-F238E27FC236}">
              <a16:creationId xmlns:a16="http://schemas.microsoft.com/office/drawing/2014/main" id="{00000000-0008-0000-0800-0000C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8" name="Text Box 31">
          <a:extLst>
            <a:ext uri="{FF2B5EF4-FFF2-40B4-BE49-F238E27FC236}">
              <a16:creationId xmlns:a16="http://schemas.microsoft.com/office/drawing/2014/main" id="{00000000-0008-0000-0800-0000D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9" name="Text Box 32">
          <a:extLst>
            <a:ext uri="{FF2B5EF4-FFF2-40B4-BE49-F238E27FC236}">
              <a16:creationId xmlns:a16="http://schemas.microsoft.com/office/drawing/2014/main" id="{00000000-0008-0000-0800-0000D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0" name="Text Box 33">
          <a:extLst>
            <a:ext uri="{FF2B5EF4-FFF2-40B4-BE49-F238E27FC236}">
              <a16:creationId xmlns:a16="http://schemas.microsoft.com/office/drawing/2014/main" id="{00000000-0008-0000-0800-0000D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1" name="Text Box 34">
          <a:extLst>
            <a:ext uri="{FF2B5EF4-FFF2-40B4-BE49-F238E27FC236}">
              <a16:creationId xmlns:a16="http://schemas.microsoft.com/office/drawing/2014/main" id="{00000000-0008-0000-0800-0000D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2" name="Text Box 35">
          <a:extLst>
            <a:ext uri="{FF2B5EF4-FFF2-40B4-BE49-F238E27FC236}">
              <a16:creationId xmlns:a16="http://schemas.microsoft.com/office/drawing/2014/main" id="{00000000-0008-0000-0800-0000D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3" name="Text Box 36">
          <a:extLst>
            <a:ext uri="{FF2B5EF4-FFF2-40B4-BE49-F238E27FC236}">
              <a16:creationId xmlns:a16="http://schemas.microsoft.com/office/drawing/2014/main" id="{00000000-0008-0000-0800-0000D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4" name="Text Box 37">
          <a:extLst>
            <a:ext uri="{FF2B5EF4-FFF2-40B4-BE49-F238E27FC236}">
              <a16:creationId xmlns:a16="http://schemas.microsoft.com/office/drawing/2014/main" id="{00000000-0008-0000-0800-0000D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5" name="Text Box 38">
          <a:extLst>
            <a:ext uri="{FF2B5EF4-FFF2-40B4-BE49-F238E27FC236}">
              <a16:creationId xmlns:a16="http://schemas.microsoft.com/office/drawing/2014/main" id="{00000000-0008-0000-0800-0000D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6" name="Text Box 39">
          <a:extLst>
            <a:ext uri="{FF2B5EF4-FFF2-40B4-BE49-F238E27FC236}">
              <a16:creationId xmlns:a16="http://schemas.microsoft.com/office/drawing/2014/main" id="{00000000-0008-0000-0800-0000D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7" name="Text Box 40">
          <a:extLst>
            <a:ext uri="{FF2B5EF4-FFF2-40B4-BE49-F238E27FC236}">
              <a16:creationId xmlns:a16="http://schemas.microsoft.com/office/drawing/2014/main" id="{00000000-0008-0000-0800-0000D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8" name="Text Box 41">
          <a:extLst>
            <a:ext uri="{FF2B5EF4-FFF2-40B4-BE49-F238E27FC236}">
              <a16:creationId xmlns:a16="http://schemas.microsoft.com/office/drawing/2014/main" id="{00000000-0008-0000-0800-0000D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9" name="Text Box 42">
          <a:extLst>
            <a:ext uri="{FF2B5EF4-FFF2-40B4-BE49-F238E27FC236}">
              <a16:creationId xmlns:a16="http://schemas.microsoft.com/office/drawing/2014/main" id="{00000000-0008-0000-0800-0000D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0" name="Text Box 43">
          <a:extLst>
            <a:ext uri="{FF2B5EF4-FFF2-40B4-BE49-F238E27FC236}">
              <a16:creationId xmlns:a16="http://schemas.microsoft.com/office/drawing/2014/main" id="{00000000-0008-0000-0800-0000D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1" name="Text Box 44">
          <a:extLst>
            <a:ext uri="{FF2B5EF4-FFF2-40B4-BE49-F238E27FC236}">
              <a16:creationId xmlns:a16="http://schemas.microsoft.com/office/drawing/2014/main" id="{00000000-0008-0000-0800-0000D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2" name="Text Box 45">
          <a:extLst>
            <a:ext uri="{FF2B5EF4-FFF2-40B4-BE49-F238E27FC236}">
              <a16:creationId xmlns:a16="http://schemas.microsoft.com/office/drawing/2014/main" id="{00000000-0008-0000-0800-0000D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3" name="Text Box 46">
          <a:extLst>
            <a:ext uri="{FF2B5EF4-FFF2-40B4-BE49-F238E27FC236}">
              <a16:creationId xmlns:a16="http://schemas.microsoft.com/office/drawing/2014/main" id="{00000000-0008-0000-0800-0000D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4" name="Text Box 47">
          <a:extLst>
            <a:ext uri="{FF2B5EF4-FFF2-40B4-BE49-F238E27FC236}">
              <a16:creationId xmlns:a16="http://schemas.microsoft.com/office/drawing/2014/main" id="{00000000-0008-0000-0800-0000E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5" name="Text Box 48">
          <a:extLst>
            <a:ext uri="{FF2B5EF4-FFF2-40B4-BE49-F238E27FC236}">
              <a16:creationId xmlns:a16="http://schemas.microsoft.com/office/drawing/2014/main" id="{00000000-0008-0000-0800-0000E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6" name="Text Box 49">
          <a:extLst>
            <a:ext uri="{FF2B5EF4-FFF2-40B4-BE49-F238E27FC236}">
              <a16:creationId xmlns:a16="http://schemas.microsoft.com/office/drawing/2014/main" id="{00000000-0008-0000-0800-0000E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7" name="Text Box 50">
          <a:extLst>
            <a:ext uri="{FF2B5EF4-FFF2-40B4-BE49-F238E27FC236}">
              <a16:creationId xmlns:a16="http://schemas.microsoft.com/office/drawing/2014/main" id="{00000000-0008-0000-0800-0000E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8" name="Text Box 51">
          <a:extLst>
            <a:ext uri="{FF2B5EF4-FFF2-40B4-BE49-F238E27FC236}">
              <a16:creationId xmlns:a16="http://schemas.microsoft.com/office/drawing/2014/main" id="{00000000-0008-0000-0800-0000E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9" name="Text Box 52">
          <a:extLst>
            <a:ext uri="{FF2B5EF4-FFF2-40B4-BE49-F238E27FC236}">
              <a16:creationId xmlns:a16="http://schemas.microsoft.com/office/drawing/2014/main" id="{00000000-0008-0000-0800-0000E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0" name="Text Box 53">
          <a:extLst>
            <a:ext uri="{FF2B5EF4-FFF2-40B4-BE49-F238E27FC236}">
              <a16:creationId xmlns:a16="http://schemas.microsoft.com/office/drawing/2014/main" id="{00000000-0008-0000-0800-0000E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1" name="Text Box 54">
          <a:extLst>
            <a:ext uri="{FF2B5EF4-FFF2-40B4-BE49-F238E27FC236}">
              <a16:creationId xmlns:a16="http://schemas.microsoft.com/office/drawing/2014/main" id="{00000000-0008-0000-0800-0000E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2" name="Text Box 55">
          <a:extLst>
            <a:ext uri="{FF2B5EF4-FFF2-40B4-BE49-F238E27FC236}">
              <a16:creationId xmlns:a16="http://schemas.microsoft.com/office/drawing/2014/main" id="{00000000-0008-0000-0800-0000E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3" name="Text Box 56">
          <a:extLst>
            <a:ext uri="{FF2B5EF4-FFF2-40B4-BE49-F238E27FC236}">
              <a16:creationId xmlns:a16="http://schemas.microsoft.com/office/drawing/2014/main" id="{00000000-0008-0000-0800-0000E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4" name="Text Box 57">
          <a:extLst>
            <a:ext uri="{FF2B5EF4-FFF2-40B4-BE49-F238E27FC236}">
              <a16:creationId xmlns:a16="http://schemas.microsoft.com/office/drawing/2014/main" id="{00000000-0008-0000-0800-0000E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5" name="Text Box 58">
          <a:extLst>
            <a:ext uri="{FF2B5EF4-FFF2-40B4-BE49-F238E27FC236}">
              <a16:creationId xmlns:a16="http://schemas.microsoft.com/office/drawing/2014/main" id="{00000000-0008-0000-0800-0000E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6" name="Text Box 59">
          <a:extLst>
            <a:ext uri="{FF2B5EF4-FFF2-40B4-BE49-F238E27FC236}">
              <a16:creationId xmlns:a16="http://schemas.microsoft.com/office/drawing/2014/main" id="{00000000-0008-0000-0800-0000E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7" name="Text Box 60">
          <a:extLst>
            <a:ext uri="{FF2B5EF4-FFF2-40B4-BE49-F238E27FC236}">
              <a16:creationId xmlns:a16="http://schemas.microsoft.com/office/drawing/2014/main" id="{00000000-0008-0000-0800-0000E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8" name="Text Box 61">
          <a:extLst>
            <a:ext uri="{FF2B5EF4-FFF2-40B4-BE49-F238E27FC236}">
              <a16:creationId xmlns:a16="http://schemas.microsoft.com/office/drawing/2014/main" id="{00000000-0008-0000-0800-0000E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9" name="Text Box 62">
          <a:extLst>
            <a:ext uri="{FF2B5EF4-FFF2-40B4-BE49-F238E27FC236}">
              <a16:creationId xmlns:a16="http://schemas.microsoft.com/office/drawing/2014/main" id="{00000000-0008-0000-0800-0000E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0" name="Text Box 63">
          <a:extLst>
            <a:ext uri="{FF2B5EF4-FFF2-40B4-BE49-F238E27FC236}">
              <a16:creationId xmlns:a16="http://schemas.microsoft.com/office/drawing/2014/main" id="{00000000-0008-0000-0800-0000F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1" name="Text Box 64">
          <a:extLst>
            <a:ext uri="{FF2B5EF4-FFF2-40B4-BE49-F238E27FC236}">
              <a16:creationId xmlns:a16="http://schemas.microsoft.com/office/drawing/2014/main" id="{00000000-0008-0000-0800-0000F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2" name="Text Box 65">
          <a:extLst>
            <a:ext uri="{FF2B5EF4-FFF2-40B4-BE49-F238E27FC236}">
              <a16:creationId xmlns:a16="http://schemas.microsoft.com/office/drawing/2014/main" id="{00000000-0008-0000-0800-0000F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3" name="Text Box 66">
          <a:extLst>
            <a:ext uri="{FF2B5EF4-FFF2-40B4-BE49-F238E27FC236}">
              <a16:creationId xmlns:a16="http://schemas.microsoft.com/office/drawing/2014/main" id="{00000000-0008-0000-0800-0000F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4" name="Text Box 67">
          <a:extLst>
            <a:ext uri="{FF2B5EF4-FFF2-40B4-BE49-F238E27FC236}">
              <a16:creationId xmlns:a16="http://schemas.microsoft.com/office/drawing/2014/main" id="{00000000-0008-0000-0800-0000F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5" name="Text Box 68">
          <a:extLst>
            <a:ext uri="{FF2B5EF4-FFF2-40B4-BE49-F238E27FC236}">
              <a16:creationId xmlns:a16="http://schemas.microsoft.com/office/drawing/2014/main" id="{00000000-0008-0000-0800-0000F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6" name="Text Box 69">
          <a:extLst>
            <a:ext uri="{FF2B5EF4-FFF2-40B4-BE49-F238E27FC236}">
              <a16:creationId xmlns:a16="http://schemas.microsoft.com/office/drawing/2014/main" id="{00000000-0008-0000-0800-0000F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7" name="Text Box 70">
          <a:extLst>
            <a:ext uri="{FF2B5EF4-FFF2-40B4-BE49-F238E27FC236}">
              <a16:creationId xmlns:a16="http://schemas.microsoft.com/office/drawing/2014/main" id="{00000000-0008-0000-0800-0000F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8" name="Text Box 71">
          <a:extLst>
            <a:ext uri="{FF2B5EF4-FFF2-40B4-BE49-F238E27FC236}">
              <a16:creationId xmlns:a16="http://schemas.microsoft.com/office/drawing/2014/main" id="{00000000-0008-0000-0800-0000F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9" name="Text Box 72">
          <a:extLst>
            <a:ext uri="{FF2B5EF4-FFF2-40B4-BE49-F238E27FC236}">
              <a16:creationId xmlns:a16="http://schemas.microsoft.com/office/drawing/2014/main" id="{00000000-0008-0000-0800-0000F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0" name="Text Box 73">
          <a:extLst>
            <a:ext uri="{FF2B5EF4-FFF2-40B4-BE49-F238E27FC236}">
              <a16:creationId xmlns:a16="http://schemas.microsoft.com/office/drawing/2014/main" id="{00000000-0008-0000-0800-0000F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1" name="Text Box 74">
          <a:extLst>
            <a:ext uri="{FF2B5EF4-FFF2-40B4-BE49-F238E27FC236}">
              <a16:creationId xmlns:a16="http://schemas.microsoft.com/office/drawing/2014/main" id="{00000000-0008-0000-0800-0000F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2" name="Text Box 75">
          <a:extLst>
            <a:ext uri="{FF2B5EF4-FFF2-40B4-BE49-F238E27FC236}">
              <a16:creationId xmlns:a16="http://schemas.microsoft.com/office/drawing/2014/main" id="{00000000-0008-0000-0800-0000F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3" name="Text Box 76">
          <a:extLst>
            <a:ext uri="{FF2B5EF4-FFF2-40B4-BE49-F238E27FC236}">
              <a16:creationId xmlns:a16="http://schemas.microsoft.com/office/drawing/2014/main" id="{00000000-0008-0000-0800-0000F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4" name="Text Box 77">
          <a:extLst>
            <a:ext uri="{FF2B5EF4-FFF2-40B4-BE49-F238E27FC236}">
              <a16:creationId xmlns:a16="http://schemas.microsoft.com/office/drawing/2014/main" id="{00000000-0008-0000-0800-0000F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5" name="Text Box 78">
          <a:extLst>
            <a:ext uri="{FF2B5EF4-FFF2-40B4-BE49-F238E27FC236}">
              <a16:creationId xmlns:a16="http://schemas.microsoft.com/office/drawing/2014/main" id="{00000000-0008-0000-0800-0000F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6" name="Text Box 79">
          <a:extLst>
            <a:ext uri="{FF2B5EF4-FFF2-40B4-BE49-F238E27FC236}">
              <a16:creationId xmlns:a16="http://schemas.microsoft.com/office/drawing/2014/main" id="{00000000-0008-0000-0800-00000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7" name="Text Box 80">
          <a:extLst>
            <a:ext uri="{FF2B5EF4-FFF2-40B4-BE49-F238E27FC236}">
              <a16:creationId xmlns:a16="http://schemas.microsoft.com/office/drawing/2014/main" id="{00000000-0008-0000-0800-00000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8" name="Text Box 81">
          <a:extLst>
            <a:ext uri="{FF2B5EF4-FFF2-40B4-BE49-F238E27FC236}">
              <a16:creationId xmlns:a16="http://schemas.microsoft.com/office/drawing/2014/main" id="{00000000-0008-0000-0800-00000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9" name="Text Box 82">
          <a:extLst>
            <a:ext uri="{FF2B5EF4-FFF2-40B4-BE49-F238E27FC236}">
              <a16:creationId xmlns:a16="http://schemas.microsoft.com/office/drawing/2014/main" id="{00000000-0008-0000-0800-00000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0" name="Text Box 83">
          <a:extLst>
            <a:ext uri="{FF2B5EF4-FFF2-40B4-BE49-F238E27FC236}">
              <a16:creationId xmlns:a16="http://schemas.microsoft.com/office/drawing/2014/main" id="{00000000-0008-0000-0800-00000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1" name="Text Box 84">
          <a:extLst>
            <a:ext uri="{FF2B5EF4-FFF2-40B4-BE49-F238E27FC236}">
              <a16:creationId xmlns:a16="http://schemas.microsoft.com/office/drawing/2014/main" id="{00000000-0008-0000-0800-00000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2" name="Text Box 85">
          <a:extLst>
            <a:ext uri="{FF2B5EF4-FFF2-40B4-BE49-F238E27FC236}">
              <a16:creationId xmlns:a16="http://schemas.microsoft.com/office/drawing/2014/main" id="{00000000-0008-0000-0800-00000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3" name="Text Box 86">
          <a:extLst>
            <a:ext uri="{FF2B5EF4-FFF2-40B4-BE49-F238E27FC236}">
              <a16:creationId xmlns:a16="http://schemas.microsoft.com/office/drawing/2014/main" id="{00000000-0008-0000-0800-00000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4" name="Text Box 87">
          <a:extLst>
            <a:ext uri="{FF2B5EF4-FFF2-40B4-BE49-F238E27FC236}">
              <a16:creationId xmlns:a16="http://schemas.microsoft.com/office/drawing/2014/main" id="{00000000-0008-0000-0800-00000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5" name="Text Box 88">
          <a:extLst>
            <a:ext uri="{FF2B5EF4-FFF2-40B4-BE49-F238E27FC236}">
              <a16:creationId xmlns:a16="http://schemas.microsoft.com/office/drawing/2014/main" id="{00000000-0008-0000-0800-00000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6" name="Text Box 89">
          <a:extLst>
            <a:ext uri="{FF2B5EF4-FFF2-40B4-BE49-F238E27FC236}">
              <a16:creationId xmlns:a16="http://schemas.microsoft.com/office/drawing/2014/main" id="{00000000-0008-0000-0800-00000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7" name="Text Box 90">
          <a:extLst>
            <a:ext uri="{FF2B5EF4-FFF2-40B4-BE49-F238E27FC236}">
              <a16:creationId xmlns:a16="http://schemas.microsoft.com/office/drawing/2014/main" id="{00000000-0008-0000-0800-00000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8" name="Text Box 91">
          <a:extLst>
            <a:ext uri="{FF2B5EF4-FFF2-40B4-BE49-F238E27FC236}">
              <a16:creationId xmlns:a16="http://schemas.microsoft.com/office/drawing/2014/main" id="{00000000-0008-0000-0800-00000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9" name="Text Box 92">
          <a:extLst>
            <a:ext uri="{FF2B5EF4-FFF2-40B4-BE49-F238E27FC236}">
              <a16:creationId xmlns:a16="http://schemas.microsoft.com/office/drawing/2014/main" id="{00000000-0008-0000-0800-00000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0" name="Text Box 93">
          <a:extLst>
            <a:ext uri="{FF2B5EF4-FFF2-40B4-BE49-F238E27FC236}">
              <a16:creationId xmlns:a16="http://schemas.microsoft.com/office/drawing/2014/main" id="{00000000-0008-0000-0800-00000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1" name="Text Box 94">
          <a:extLst>
            <a:ext uri="{FF2B5EF4-FFF2-40B4-BE49-F238E27FC236}">
              <a16:creationId xmlns:a16="http://schemas.microsoft.com/office/drawing/2014/main" id="{00000000-0008-0000-0800-00000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2" name="Text Box 95">
          <a:extLst>
            <a:ext uri="{FF2B5EF4-FFF2-40B4-BE49-F238E27FC236}">
              <a16:creationId xmlns:a16="http://schemas.microsoft.com/office/drawing/2014/main" id="{00000000-0008-0000-0800-00001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3" name="Text Box 96">
          <a:extLst>
            <a:ext uri="{FF2B5EF4-FFF2-40B4-BE49-F238E27FC236}">
              <a16:creationId xmlns:a16="http://schemas.microsoft.com/office/drawing/2014/main" id="{00000000-0008-0000-0800-00001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4" name="Text Box 97">
          <a:extLst>
            <a:ext uri="{FF2B5EF4-FFF2-40B4-BE49-F238E27FC236}">
              <a16:creationId xmlns:a16="http://schemas.microsoft.com/office/drawing/2014/main" id="{00000000-0008-0000-0800-00001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5" name="Text Box 100">
          <a:extLst>
            <a:ext uri="{FF2B5EF4-FFF2-40B4-BE49-F238E27FC236}">
              <a16:creationId xmlns:a16="http://schemas.microsoft.com/office/drawing/2014/main" id="{00000000-0008-0000-0800-00001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6" name="Text Box 101">
          <a:extLst>
            <a:ext uri="{FF2B5EF4-FFF2-40B4-BE49-F238E27FC236}">
              <a16:creationId xmlns:a16="http://schemas.microsoft.com/office/drawing/2014/main" id="{00000000-0008-0000-0800-00001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7" name="Text Box 102">
          <a:extLst>
            <a:ext uri="{FF2B5EF4-FFF2-40B4-BE49-F238E27FC236}">
              <a16:creationId xmlns:a16="http://schemas.microsoft.com/office/drawing/2014/main" id="{00000000-0008-0000-0800-00001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8" name="Text Box 103">
          <a:extLst>
            <a:ext uri="{FF2B5EF4-FFF2-40B4-BE49-F238E27FC236}">
              <a16:creationId xmlns:a16="http://schemas.microsoft.com/office/drawing/2014/main" id="{00000000-0008-0000-0800-00001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9" name="Text Box 104">
          <a:extLst>
            <a:ext uri="{FF2B5EF4-FFF2-40B4-BE49-F238E27FC236}">
              <a16:creationId xmlns:a16="http://schemas.microsoft.com/office/drawing/2014/main" id="{00000000-0008-0000-0800-00001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0" name="Text Box 105">
          <a:extLst>
            <a:ext uri="{FF2B5EF4-FFF2-40B4-BE49-F238E27FC236}">
              <a16:creationId xmlns:a16="http://schemas.microsoft.com/office/drawing/2014/main" id="{00000000-0008-0000-0800-00001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1" name="Text Box 106">
          <a:extLst>
            <a:ext uri="{FF2B5EF4-FFF2-40B4-BE49-F238E27FC236}">
              <a16:creationId xmlns:a16="http://schemas.microsoft.com/office/drawing/2014/main" id="{00000000-0008-0000-0800-00001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2" name="Text Box 107">
          <a:extLst>
            <a:ext uri="{FF2B5EF4-FFF2-40B4-BE49-F238E27FC236}">
              <a16:creationId xmlns:a16="http://schemas.microsoft.com/office/drawing/2014/main" id="{00000000-0008-0000-0800-00001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3" name="Text Box 108">
          <a:extLst>
            <a:ext uri="{FF2B5EF4-FFF2-40B4-BE49-F238E27FC236}">
              <a16:creationId xmlns:a16="http://schemas.microsoft.com/office/drawing/2014/main" id="{00000000-0008-0000-0800-00001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4" name="Text Box 109">
          <a:extLst>
            <a:ext uri="{FF2B5EF4-FFF2-40B4-BE49-F238E27FC236}">
              <a16:creationId xmlns:a16="http://schemas.microsoft.com/office/drawing/2014/main" id="{00000000-0008-0000-0800-00001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5" name="Text Box 110">
          <a:extLst>
            <a:ext uri="{FF2B5EF4-FFF2-40B4-BE49-F238E27FC236}">
              <a16:creationId xmlns:a16="http://schemas.microsoft.com/office/drawing/2014/main" id="{00000000-0008-0000-0800-00001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6" name="Text Box 111">
          <a:extLst>
            <a:ext uri="{FF2B5EF4-FFF2-40B4-BE49-F238E27FC236}">
              <a16:creationId xmlns:a16="http://schemas.microsoft.com/office/drawing/2014/main" id="{00000000-0008-0000-0800-00001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7" name="Text Box 119">
          <a:extLst>
            <a:ext uri="{FF2B5EF4-FFF2-40B4-BE49-F238E27FC236}">
              <a16:creationId xmlns:a16="http://schemas.microsoft.com/office/drawing/2014/main" id="{00000000-0008-0000-0800-00001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8" name="Text Box 120">
          <a:extLst>
            <a:ext uri="{FF2B5EF4-FFF2-40B4-BE49-F238E27FC236}">
              <a16:creationId xmlns:a16="http://schemas.microsoft.com/office/drawing/2014/main" id="{00000000-0008-0000-0800-00002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9" name="Text Box 121">
          <a:extLst>
            <a:ext uri="{FF2B5EF4-FFF2-40B4-BE49-F238E27FC236}">
              <a16:creationId xmlns:a16="http://schemas.microsoft.com/office/drawing/2014/main" id="{00000000-0008-0000-0800-00002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0" name="Text Box 122">
          <a:extLst>
            <a:ext uri="{FF2B5EF4-FFF2-40B4-BE49-F238E27FC236}">
              <a16:creationId xmlns:a16="http://schemas.microsoft.com/office/drawing/2014/main" id="{00000000-0008-0000-0800-00002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1" name="Text Box 123">
          <a:extLst>
            <a:ext uri="{FF2B5EF4-FFF2-40B4-BE49-F238E27FC236}">
              <a16:creationId xmlns:a16="http://schemas.microsoft.com/office/drawing/2014/main" id="{00000000-0008-0000-0800-00002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2" name="Text Box 124">
          <a:extLst>
            <a:ext uri="{FF2B5EF4-FFF2-40B4-BE49-F238E27FC236}">
              <a16:creationId xmlns:a16="http://schemas.microsoft.com/office/drawing/2014/main" id="{00000000-0008-0000-0800-00002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3" name="Text Box 125">
          <a:extLst>
            <a:ext uri="{FF2B5EF4-FFF2-40B4-BE49-F238E27FC236}">
              <a16:creationId xmlns:a16="http://schemas.microsoft.com/office/drawing/2014/main" id="{00000000-0008-0000-0800-00002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4" name="Text Box 126">
          <a:extLst>
            <a:ext uri="{FF2B5EF4-FFF2-40B4-BE49-F238E27FC236}">
              <a16:creationId xmlns:a16="http://schemas.microsoft.com/office/drawing/2014/main" id="{00000000-0008-0000-0800-00002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5" name="Text Box 127">
          <a:extLst>
            <a:ext uri="{FF2B5EF4-FFF2-40B4-BE49-F238E27FC236}">
              <a16:creationId xmlns:a16="http://schemas.microsoft.com/office/drawing/2014/main" id="{00000000-0008-0000-0800-00002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6" name="Text Box 128">
          <a:extLst>
            <a:ext uri="{FF2B5EF4-FFF2-40B4-BE49-F238E27FC236}">
              <a16:creationId xmlns:a16="http://schemas.microsoft.com/office/drawing/2014/main" id="{00000000-0008-0000-0800-00002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7" name="Text Box 129">
          <a:extLst>
            <a:ext uri="{FF2B5EF4-FFF2-40B4-BE49-F238E27FC236}">
              <a16:creationId xmlns:a16="http://schemas.microsoft.com/office/drawing/2014/main" id="{00000000-0008-0000-0800-00002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8" name="Text Box 130">
          <a:extLst>
            <a:ext uri="{FF2B5EF4-FFF2-40B4-BE49-F238E27FC236}">
              <a16:creationId xmlns:a16="http://schemas.microsoft.com/office/drawing/2014/main" id="{00000000-0008-0000-0800-00002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79" name="Text Box 133">
          <a:extLst>
            <a:ext uri="{FF2B5EF4-FFF2-40B4-BE49-F238E27FC236}">
              <a16:creationId xmlns:a16="http://schemas.microsoft.com/office/drawing/2014/main" id="{00000000-0008-0000-0800-00002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0" name="Text Box 134">
          <a:extLst>
            <a:ext uri="{FF2B5EF4-FFF2-40B4-BE49-F238E27FC236}">
              <a16:creationId xmlns:a16="http://schemas.microsoft.com/office/drawing/2014/main" id="{00000000-0008-0000-0800-00002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1" name="Text Box 135">
          <a:extLst>
            <a:ext uri="{FF2B5EF4-FFF2-40B4-BE49-F238E27FC236}">
              <a16:creationId xmlns:a16="http://schemas.microsoft.com/office/drawing/2014/main" id="{00000000-0008-0000-0800-00002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2" name="Text Box 136">
          <a:extLst>
            <a:ext uri="{FF2B5EF4-FFF2-40B4-BE49-F238E27FC236}">
              <a16:creationId xmlns:a16="http://schemas.microsoft.com/office/drawing/2014/main" id="{00000000-0008-0000-0800-00002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3" name="Text Box 137">
          <a:extLst>
            <a:ext uri="{FF2B5EF4-FFF2-40B4-BE49-F238E27FC236}">
              <a16:creationId xmlns:a16="http://schemas.microsoft.com/office/drawing/2014/main" id="{00000000-0008-0000-0800-00002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4" name="Text Box 138">
          <a:extLst>
            <a:ext uri="{FF2B5EF4-FFF2-40B4-BE49-F238E27FC236}">
              <a16:creationId xmlns:a16="http://schemas.microsoft.com/office/drawing/2014/main" id="{00000000-0008-0000-0800-00003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5" name="Text Box 139">
          <a:extLst>
            <a:ext uri="{FF2B5EF4-FFF2-40B4-BE49-F238E27FC236}">
              <a16:creationId xmlns:a16="http://schemas.microsoft.com/office/drawing/2014/main" id="{00000000-0008-0000-0800-00003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6" name="Text Box 140">
          <a:extLst>
            <a:ext uri="{FF2B5EF4-FFF2-40B4-BE49-F238E27FC236}">
              <a16:creationId xmlns:a16="http://schemas.microsoft.com/office/drawing/2014/main" id="{00000000-0008-0000-0800-00003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7" name="Text Box 141">
          <a:extLst>
            <a:ext uri="{FF2B5EF4-FFF2-40B4-BE49-F238E27FC236}">
              <a16:creationId xmlns:a16="http://schemas.microsoft.com/office/drawing/2014/main" id="{00000000-0008-0000-0800-00003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8" name="Text Box 142">
          <a:extLst>
            <a:ext uri="{FF2B5EF4-FFF2-40B4-BE49-F238E27FC236}">
              <a16:creationId xmlns:a16="http://schemas.microsoft.com/office/drawing/2014/main" id="{00000000-0008-0000-0800-00003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9" name="Text Box 143">
          <a:extLst>
            <a:ext uri="{FF2B5EF4-FFF2-40B4-BE49-F238E27FC236}">
              <a16:creationId xmlns:a16="http://schemas.microsoft.com/office/drawing/2014/main" id="{00000000-0008-0000-0800-00003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0" name="Text Box 144">
          <a:extLst>
            <a:ext uri="{FF2B5EF4-FFF2-40B4-BE49-F238E27FC236}">
              <a16:creationId xmlns:a16="http://schemas.microsoft.com/office/drawing/2014/main" id="{00000000-0008-0000-0800-00003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1" name="Text Box 145">
          <a:extLst>
            <a:ext uri="{FF2B5EF4-FFF2-40B4-BE49-F238E27FC236}">
              <a16:creationId xmlns:a16="http://schemas.microsoft.com/office/drawing/2014/main" id="{00000000-0008-0000-0800-00003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2" name="Text Box 146">
          <a:extLst>
            <a:ext uri="{FF2B5EF4-FFF2-40B4-BE49-F238E27FC236}">
              <a16:creationId xmlns:a16="http://schemas.microsoft.com/office/drawing/2014/main" id="{00000000-0008-0000-0800-00003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3" name="Text Box 147">
          <a:extLst>
            <a:ext uri="{FF2B5EF4-FFF2-40B4-BE49-F238E27FC236}">
              <a16:creationId xmlns:a16="http://schemas.microsoft.com/office/drawing/2014/main" id="{00000000-0008-0000-0800-00003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4" name="Text Box 148">
          <a:extLst>
            <a:ext uri="{FF2B5EF4-FFF2-40B4-BE49-F238E27FC236}">
              <a16:creationId xmlns:a16="http://schemas.microsoft.com/office/drawing/2014/main" id="{00000000-0008-0000-0800-00003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5" name="Text Box 149">
          <a:extLst>
            <a:ext uri="{FF2B5EF4-FFF2-40B4-BE49-F238E27FC236}">
              <a16:creationId xmlns:a16="http://schemas.microsoft.com/office/drawing/2014/main" id="{00000000-0008-0000-0800-00003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6" name="Text Box 150">
          <a:extLst>
            <a:ext uri="{FF2B5EF4-FFF2-40B4-BE49-F238E27FC236}">
              <a16:creationId xmlns:a16="http://schemas.microsoft.com/office/drawing/2014/main" id="{00000000-0008-0000-0800-00003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7" name="Text Box 151">
          <a:extLst>
            <a:ext uri="{FF2B5EF4-FFF2-40B4-BE49-F238E27FC236}">
              <a16:creationId xmlns:a16="http://schemas.microsoft.com/office/drawing/2014/main" id="{00000000-0008-0000-0800-00003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8" name="Text Box 152">
          <a:extLst>
            <a:ext uri="{FF2B5EF4-FFF2-40B4-BE49-F238E27FC236}">
              <a16:creationId xmlns:a16="http://schemas.microsoft.com/office/drawing/2014/main" id="{00000000-0008-0000-0800-00003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9" name="Text Box 153">
          <a:extLst>
            <a:ext uri="{FF2B5EF4-FFF2-40B4-BE49-F238E27FC236}">
              <a16:creationId xmlns:a16="http://schemas.microsoft.com/office/drawing/2014/main" id="{00000000-0008-0000-0800-00003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0" name="Text Box 154">
          <a:extLst>
            <a:ext uri="{FF2B5EF4-FFF2-40B4-BE49-F238E27FC236}">
              <a16:creationId xmlns:a16="http://schemas.microsoft.com/office/drawing/2014/main" id="{00000000-0008-0000-0800-00004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1" name="Text Box 155">
          <a:extLst>
            <a:ext uri="{FF2B5EF4-FFF2-40B4-BE49-F238E27FC236}">
              <a16:creationId xmlns:a16="http://schemas.microsoft.com/office/drawing/2014/main" id="{00000000-0008-0000-0800-00004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2" name="Text Box 156">
          <a:extLst>
            <a:ext uri="{FF2B5EF4-FFF2-40B4-BE49-F238E27FC236}">
              <a16:creationId xmlns:a16="http://schemas.microsoft.com/office/drawing/2014/main" id="{00000000-0008-0000-0800-00004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3" name="Text Box 157">
          <a:extLst>
            <a:ext uri="{FF2B5EF4-FFF2-40B4-BE49-F238E27FC236}">
              <a16:creationId xmlns:a16="http://schemas.microsoft.com/office/drawing/2014/main" id="{00000000-0008-0000-0800-00004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4" name="Text Box 158">
          <a:extLst>
            <a:ext uri="{FF2B5EF4-FFF2-40B4-BE49-F238E27FC236}">
              <a16:creationId xmlns:a16="http://schemas.microsoft.com/office/drawing/2014/main" id="{00000000-0008-0000-0800-00004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5" name="Text Box 159">
          <a:extLst>
            <a:ext uri="{FF2B5EF4-FFF2-40B4-BE49-F238E27FC236}">
              <a16:creationId xmlns:a16="http://schemas.microsoft.com/office/drawing/2014/main" id="{00000000-0008-0000-0800-00004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6" name="Text Box 160">
          <a:extLst>
            <a:ext uri="{FF2B5EF4-FFF2-40B4-BE49-F238E27FC236}">
              <a16:creationId xmlns:a16="http://schemas.microsoft.com/office/drawing/2014/main" id="{00000000-0008-0000-0800-00004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7" name="Text Box 161">
          <a:extLst>
            <a:ext uri="{FF2B5EF4-FFF2-40B4-BE49-F238E27FC236}">
              <a16:creationId xmlns:a16="http://schemas.microsoft.com/office/drawing/2014/main" id="{00000000-0008-0000-0800-00004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8" name="Text Box 162">
          <a:extLst>
            <a:ext uri="{FF2B5EF4-FFF2-40B4-BE49-F238E27FC236}">
              <a16:creationId xmlns:a16="http://schemas.microsoft.com/office/drawing/2014/main" id="{00000000-0008-0000-0800-00004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9" name="Text Box 163">
          <a:extLst>
            <a:ext uri="{FF2B5EF4-FFF2-40B4-BE49-F238E27FC236}">
              <a16:creationId xmlns:a16="http://schemas.microsoft.com/office/drawing/2014/main" id="{00000000-0008-0000-0800-00004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0" name="Text Box 164">
          <a:extLst>
            <a:ext uri="{FF2B5EF4-FFF2-40B4-BE49-F238E27FC236}">
              <a16:creationId xmlns:a16="http://schemas.microsoft.com/office/drawing/2014/main" id="{00000000-0008-0000-0800-00004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1" name="Text Box 165">
          <a:extLst>
            <a:ext uri="{FF2B5EF4-FFF2-40B4-BE49-F238E27FC236}">
              <a16:creationId xmlns:a16="http://schemas.microsoft.com/office/drawing/2014/main" id="{00000000-0008-0000-0800-00004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2" name="Text Box 166">
          <a:extLst>
            <a:ext uri="{FF2B5EF4-FFF2-40B4-BE49-F238E27FC236}">
              <a16:creationId xmlns:a16="http://schemas.microsoft.com/office/drawing/2014/main" id="{00000000-0008-0000-0800-00004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3" name="Text Box 167">
          <a:extLst>
            <a:ext uri="{FF2B5EF4-FFF2-40B4-BE49-F238E27FC236}">
              <a16:creationId xmlns:a16="http://schemas.microsoft.com/office/drawing/2014/main" id="{00000000-0008-0000-0800-00004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4" name="Text Box 168">
          <a:extLst>
            <a:ext uri="{FF2B5EF4-FFF2-40B4-BE49-F238E27FC236}">
              <a16:creationId xmlns:a16="http://schemas.microsoft.com/office/drawing/2014/main" id="{00000000-0008-0000-0800-00004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5" name="Text Box 169">
          <a:extLst>
            <a:ext uri="{FF2B5EF4-FFF2-40B4-BE49-F238E27FC236}">
              <a16:creationId xmlns:a16="http://schemas.microsoft.com/office/drawing/2014/main" id="{00000000-0008-0000-0800-00004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6" name="Text Box 170">
          <a:extLst>
            <a:ext uri="{FF2B5EF4-FFF2-40B4-BE49-F238E27FC236}">
              <a16:creationId xmlns:a16="http://schemas.microsoft.com/office/drawing/2014/main" id="{00000000-0008-0000-0800-00005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7" name="Text Box 171">
          <a:extLst>
            <a:ext uri="{FF2B5EF4-FFF2-40B4-BE49-F238E27FC236}">
              <a16:creationId xmlns:a16="http://schemas.microsoft.com/office/drawing/2014/main" id="{00000000-0008-0000-0800-00005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8" name="Text Box 172">
          <a:extLst>
            <a:ext uri="{FF2B5EF4-FFF2-40B4-BE49-F238E27FC236}">
              <a16:creationId xmlns:a16="http://schemas.microsoft.com/office/drawing/2014/main" id="{00000000-0008-0000-0800-00005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9" name="Text Box 173">
          <a:extLst>
            <a:ext uri="{FF2B5EF4-FFF2-40B4-BE49-F238E27FC236}">
              <a16:creationId xmlns:a16="http://schemas.microsoft.com/office/drawing/2014/main" id="{00000000-0008-0000-0800-00005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0" name="Text Box 174">
          <a:extLst>
            <a:ext uri="{FF2B5EF4-FFF2-40B4-BE49-F238E27FC236}">
              <a16:creationId xmlns:a16="http://schemas.microsoft.com/office/drawing/2014/main" id="{00000000-0008-0000-0800-00005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1" name="Text Box 175">
          <a:extLst>
            <a:ext uri="{FF2B5EF4-FFF2-40B4-BE49-F238E27FC236}">
              <a16:creationId xmlns:a16="http://schemas.microsoft.com/office/drawing/2014/main" id="{00000000-0008-0000-0800-00005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2" name="Text Box 176">
          <a:extLst>
            <a:ext uri="{FF2B5EF4-FFF2-40B4-BE49-F238E27FC236}">
              <a16:creationId xmlns:a16="http://schemas.microsoft.com/office/drawing/2014/main" id="{00000000-0008-0000-0800-00005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3" name="Text Box 177">
          <a:extLst>
            <a:ext uri="{FF2B5EF4-FFF2-40B4-BE49-F238E27FC236}">
              <a16:creationId xmlns:a16="http://schemas.microsoft.com/office/drawing/2014/main" id="{00000000-0008-0000-0800-00005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4" name="Text Box 178">
          <a:extLst>
            <a:ext uri="{FF2B5EF4-FFF2-40B4-BE49-F238E27FC236}">
              <a16:creationId xmlns:a16="http://schemas.microsoft.com/office/drawing/2014/main" id="{00000000-0008-0000-0800-00005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5" name="Text Box 179">
          <a:extLst>
            <a:ext uri="{FF2B5EF4-FFF2-40B4-BE49-F238E27FC236}">
              <a16:creationId xmlns:a16="http://schemas.microsoft.com/office/drawing/2014/main" id="{00000000-0008-0000-0800-00005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6" name="Text Box 180">
          <a:extLst>
            <a:ext uri="{FF2B5EF4-FFF2-40B4-BE49-F238E27FC236}">
              <a16:creationId xmlns:a16="http://schemas.microsoft.com/office/drawing/2014/main" id="{00000000-0008-0000-0800-00005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7" name="Text Box 181">
          <a:extLst>
            <a:ext uri="{FF2B5EF4-FFF2-40B4-BE49-F238E27FC236}">
              <a16:creationId xmlns:a16="http://schemas.microsoft.com/office/drawing/2014/main" id="{00000000-0008-0000-0800-00005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8" name="Text Box 182">
          <a:extLst>
            <a:ext uri="{FF2B5EF4-FFF2-40B4-BE49-F238E27FC236}">
              <a16:creationId xmlns:a16="http://schemas.microsoft.com/office/drawing/2014/main" id="{00000000-0008-0000-0800-00005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9" name="Text Box 183">
          <a:extLst>
            <a:ext uri="{FF2B5EF4-FFF2-40B4-BE49-F238E27FC236}">
              <a16:creationId xmlns:a16="http://schemas.microsoft.com/office/drawing/2014/main" id="{00000000-0008-0000-0800-00005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0" name="Text Box 184">
          <a:extLst>
            <a:ext uri="{FF2B5EF4-FFF2-40B4-BE49-F238E27FC236}">
              <a16:creationId xmlns:a16="http://schemas.microsoft.com/office/drawing/2014/main" id="{00000000-0008-0000-0800-00005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1" name="Text Box 185">
          <a:extLst>
            <a:ext uri="{FF2B5EF4-FFF2-40B4-BE49-F238E27FC236}">
              <a16:creationId xmlns:a16="http://schemas.microsoft.com/office/drawing/2014/main" id="{00000000-0008-0000-0800-00005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2" name="Text Box 186">
          <a:extLst>
            <a:ext uri="{FF2B5EF4-FFF2-40B4-BE49-F238E27FC236}">
              <a16:creationId xmlns:a16="http://schemas.microsoft.com/office/drawing/2014/main" id="{00000000-0008-0000-0800-00006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3" name="Text Box 187">
          <a:extLst>
            <a:ext uri="{FF2B5EF4-FFF2-40B4-BE49-F238E27FC236}">
              <a16:creationId xmlns:a16="http://schemas.microsoft.com/office/drawing/2014/main" id="{00000000-0008-0000-0800-00006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4" name="Text Box 188">
          <a:extLst>
            <a:ext uri="{FF2B5EF4-FFF2-40B4-BE49-F238E27FC236}">
              <a16:creationId xmlns:a16="http://schemas.microsoft.com/office/drawing/2014/main" id="{00000000-0008-0000-0800-00006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5" name="Text Box 189">
          <a:extLst>
            <a:ext uri="{FF2B5EF4-FFF2-40B4-BE49-F238E27FC236}">
              <a16:creationId xmlns:a16="http://schemas.microsoft.com/office/drawing/2014/main" id="{00000000-0008-0000-0800-00006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6" name="Text Box 190">
          <a:extLst>
            <a:ext uri="{FF2B5EF4-FFF2-40B4-BE49-F238E27FC236}">
              <a16:creationId xmlns:a16="http://schemas.microsoft.com/office/drawing/2014/main" id="{00000000-0008-0000-0800-00006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7" name="Text Box 191">
          <a:extLst>
            <a:ext uri="{FF2B5EF4-FFF2-40B4-BE49-F238E27FC236}">
              <a16:creationId xmlns:a16="http://schemas.microsoft.com/office/drawing/2014/main" id="{00000000-0008-0000-0800-00006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8" name="Text Box 192">
          <a:extLst>
            <a:ext uri="{FF2B5EF4-FFF2-40B4-BE49-F238E27FC236}">
              <a16:creationId xmlns:a16="http://schemas.microsoft.com/office/drawing/2014/main" id="{00000000-0008-0000-0800-00006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9" name="Text Box 193">
          <a:extLst>
            <a:ext uri="{FF2B5EF4-FFF2-40B4-BE49-F238E27FC236}">
              <a16:creationId xmlns:a16="http://schemas.microsoft.com/office/drawing/2014/main" id="{00000000-0008-0000-0800-00006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0" name="Text Box 194">
          <a:extLst>
            <a:ext uri="{FF2B5EF4-FFF2-40B4-BE49-F238E27FC236}">
              <a16:creationId xmlns:a16="http://schemas.microsoft.com/office/drawing/2014/main" id="{00000000-0008-0000-0800-00006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1" name="Text Box 195">
          <a:extLst>
            <a:ext uri="{FF2B5EF4-FFF2-40B4-BE49-F238E27FC236}">
              <a16:creationId xmlns:a16="http://schemas.microsoft.com/office/drawing/2014/main" id="{00000000-0008-0000-0800-00006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2" name="Text Box 196">
          <a:extLst>
            <a:ext uri="{FF2B5EF4-FFF2-40B4-BE49-F238E27FC236}">
              <a16:creationId xmlns:a16="http://schemas.microsoft.com/office/drawing/2014/main" id="{00000000-0008-0000-0800-00006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3" name="Text Box 197">
          <a:extLst>
            <a:ext uri="{FF2B5EF4-FFF2-40B4-BE49-F238E27FC236}">
              <a16:creationId xmlns:a16="http://schemas.microsoft.com/office/drawing/2014/main" id="{00000000-0008-0000-0800-00006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4" name="Text Box 198">
          <a:extLst>
            <a:ext uri="{FF2B5EF4-FFF2-40B4-BE49-F238E27FC236}">
              <a16:creationId xmlns:a16="http://schemas.microsoft.com/office/drawing/2014/main" id="{00000000-0008-0000-0800-00006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5" name="Text Box 199">
          <a:extLst>
            <a:ext uri="{FF2B5EF4-FFF2-40B4-BE49-F238E27FC236}">
              <a16:creationId xmlns:a16="http://schemas.microsoft.com/office/drawing/2014/main" id="{00000000-0008-0000-0800-00006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6" name="Text Box 200">
          <a:extLst>
            <a:ext uri="{FF2B5EF4-FFF2-40B4-BE49-F238E27FC236}">
              <a16:creationId xmlns:a16="http://schemas.microsoft.com/office/drawing/2014/main" id="{00000000-0008-0000-0800-00006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7" name="Text Box 201">
          <a:extLst>
            <a:ext uri="{FF2B5EF4-FFF2-40B4-BE49-F238E27FC236}">
              <a16:creationId xmlns:a16="http://schemas.microsoft.com/office/drawing/2014/main" id="{00000000-0008-0000-0800-00006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8" name="Text Box 202">
          <a:extLst>
            <a:ext uri="{FF2B5EF4-FFF2-40B4-BE49-F238E27FC236}">
              <a16:creationId xmlns:a16="http://schemas.microsoft.com/office/drawing/2014/main" id="{00000000-0008-0000-0800-00007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49" name="Text Box 203">
          <a:extLst>
            <a:ext uri="{FF2B5EF4-FFF2-40B4-BE49-F238E27FC236}">
              <a16:creationId xmlns:a16="http://schemas.microsoft.com/office/drawing/2014/main" id="{00000000-0008-0000-0800-00007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0" name="Text Box 204">
          <a:extLst>
            <a:ext uri="{FF2B5EF4-FFF2-40B4-BE49-F238E27FC236}">
              <a16:creationId xmlns:a16="http://schemas.microsoft.com/office/drawing/2014/main" id="{00000000-0008-0000-0800-00007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1" name="Text Box 205">
          <a:extLst>
            <a:ext uri="{FF2B5EF4-FFF2-40B4-BE49-F238E27FC236}">
              <a16:creationId xmlns:a16="http://schemas.microsoft.com/office/drawing/2014/main" id="{00000000-0008-0000-0800-00007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2" name="Text Box 206">
          <a:extLst>
            <a:ext uri="{FF2B5EF4-FFF2-40B4-BE49-F238E27FC236}">
              <a16:creationId xmlns:a16="http://schemas.microsoft.com/office/drawing/2014/main" id="{00000000-0008-0000-0800-00007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3" name="Text Box 207">
          <a:extLst>
            <a:ext uri="{FF2B5EF4-FFF2-40B4-BE49-F238E27FC236}">
              <a16:creationId xmlns:a16="http://schemas.microsoft.com/office/drawing/2014/main" id="{00000000-0008-0000-0800-00007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4" name="Text Box 208">
          <a:extLst>
            <a:ext uri="{FF2B5EF4-FFF2-40B4-BE49-F238E27FC236}">
              <a16:creationId xmlns:a16="http://schemas.microsoft.com/office/drawing/2014/main" id="{00000000-0008-0000-0800-00007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5" name="Text Box 209">
          <a:extLst>
            <a:ext uri="{FF2B5EF4-FFF2-40B4-BE49-F238E27FC236}">
              <a16:creationId xmlns:a16="http://schemas.microsoft.com/office/drawing/2014/main" id="{00000000-0008-0000-0800-00007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6" name="Text Box 210">
          <a:extLst>
            <a:ext uri="{FF2B5EF4-FFF2-40B4-BE49-F238E27FC236}">
              <a16:creationId xmlns:a16="http://schemas.microsoft.com/office/drawing/2014/main" id="{00000000-0008-0000-0800-00007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7" name="Text Box 211">
          <a:extLst>
            <a:ext uri="{FF2B5EF4-FFF2-40B4-BE49-F238E27FC236}">
              <a16:creationId xmlns:a16="http://schemas.microsoft.com/office/drawing/2014/main" id="{00000000-0008-0000-0800-00007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8" name="Text Box 212">
          <a:extLst>
            <a:ext uri="{FF2B5EF4-FFF2-40B4-BE49-F238E27FC236}">
              <a16:creationId xmlns:a16="http://schemas.microsoft.com/office/drawing/2014/main" id="{00000000-0008-0000-0800-00007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9" name="Text Box 213">
          <a:extLst>
            <a:ext uri="{FF2B5EF4-FFF2-40B4-BE49-F238E27FC236}">
              <a16:creationId xmlns:a16="http://schemas.microsoft.com/office/drawing/2014/main" id="{00000000-0008-0000-0800-00007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0" name="Text Box 214">
          <a:extLst>
            <a:ext uri="{FF2B5EF4-FFF2-40B4-BE49-F238E27FC236}">
              <a16:creationId xmlns:a16="http://schemas.microsoft.com/office/drawing/2014/main" id="{00000000-0008-0000-0800-00007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1" name="Text Box 215">
          <a:extLst>
            <a:ext uri="{FF2B5EF4-FFF2-40B4-BE49-F238E27FC236}">
              <a16:creationId xmlns:a16="http://schemas.microsoft.com/office/drawing/2014/main" id="{00000000-0008-0000-0800-00007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2" name="Text Box 216">
          <a:extLst>
            <a:ext uri="{FF2B5EF4-FFF2-40B4-BE49-F238E27FC236}">
              <a16:creationId xmlns:a16="http://schemas.microsoft.com/office/drawing/2014/main" id="{00000000-0008-0000-0800-00007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3" name="Text Box 217">
          <a:extLst>
            <a:ext uri="{FF2B5EF4-FFF2-40B4-BE49-F238E27FC236}">
              <a16:creationId xmlns:a16="http://schemas.microsoft.com/office/drawing/2014/main" id="{00000000-0008-0000-0800-00007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4" name="Text Box 218">
          <a:extLst>
            <a:ext uri="{FF2B5EF4-FFF2-40B4-BE49-F238E27FC236}">
              <a16:creationId xmlns:a16="http://schemas.microsoft.com/office/drawing/2014/main" id="{00000000-0008-0000-0800-00008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5" name="Text Box 219">
          <a:extLst>
            <a:ext uri="{FF2B5EF4-FFF2-40B4-BE49-F238E27FC236}">
              <a16:creationId xmlns:a16="http://schemas.microsoft.com/office/drawing/2014/main" id="{00000000-0008-0000-0800-00008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6" name="Text Box 220">
          <a:extLst>
            <a:ext uri="{FF2B5EF4-FFF2-40B4-BE49-F238E27FC236}">
              <a16:creationId xmlns:a16="http://schemas.microsoft.com/office/drawing/2014/main" id="{00000000-0008-0000-0800-00008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7" name="Text Box 221">
          <a:extLst>
            <a:ext uri="{FF2B5EF4-FFF2-40B4-BE49-F238E27FC236}">
              <a16:creationId xmlns:a16="http://schemas.microsoft.com/office/drawing/2014/main" id="{00000000-0008-0000-0800-00008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8" name="Text Box 222">
          <a:extLst>
            <a:ext uri="{FF2B5EF4-FFF2-40B4-BE49-F238E27FC236}">
              <a16:creationId xmlns:a16="http://schemas.microsoft.com/office/drawing/2014/main" id="{00000000-0008-0000-0800-00008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9" name="Text Box 223">
          <a:extLst>
            <a:ext uri="{FF2B5EF4-FFF2-40B4-BE49-F238E27FC236}">
              <a16:creationId xmlns:a16="http://schemas.microsoft.com/office/drawing/2014/main" id="{00000000-0008-0000-0800-00008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0" name="Text Box 224">
          <a:extLst>
            <a:ext uri="{FF2B5EF4-FFF2-40B4-BE49-F238E27FC236}">
              <a16:creationId xmlns:a16="http://schemas.microsoft.com/office/drawing/2014/main" id="{00000000-0008-0000-0800-00008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1" name="Text Box 225">
          <a:extLst>
            <a:ext uri="{FF2B5EF4-FFF2-40B4-BE49-F238E27FC236}">
              <a16:creationId xmlns:a16="http://schemas.microsoft.com/office/drawing/2014/main" id="{00000000-0008-0000-0800-00008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2" name="Text Box 226">
          <a:extLst>
            <a:ext uri="{FF2B5EF4-FFF2-40B4-BE49-F238E27FC236}">
              <a16:creationId xmlns:a16="http://schemas.microsoft.com/office/drawing/2014/main" id="{00000000-0008-0000-0800-00008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3" name="Text Box 227">
          <a:extLst>
            <a:ext uri="{FF2B5EF4-FFF2-40B4-BE49-F238E27FC236}">
              <a16:creationId xmlns:a16="http://schemas.microsoft.com/office/drawing/2014/main" id="{00000000-0008-0000-0800-00008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4" name="Text Box 228">
          <a:extLst>
            <a:ext uri="{FF2B5EF4-FFF2-40B4-BE49-F238E27FC236}">
              <a16:creationId xmlns:a16="http://schemas.microsoft.com/office/drawing/2014/main" id="{00000000-0008-0000-0800-00008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5" name="Text Box 229">
          <a:extLst>
            <a:ext uri="{FF2B5EF4-FFF2-40B4-BE49-F238E27FC236}">
              <a16:creationId xmlns:a16="http://schemas.microsoft.com/office/drawing/2014/main" id="{00000000-0008-0000-0800-00008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6" name="Text Box 230">
          <a:extLst>
            <a:ext uri="{FF2B5EF4-FFF2-40B4-BE49-F238E27FC236}">
              <a16:creationId xmlns:a16="http://schemas.microsoft.com/office/drawing/2014/main" id="{00000000-0008-0000-0800-00008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7" name="Text Box 231">
          <a:extLst>
            <a:ext uri="{FF2B5EF4-FFF2-40B4-BE49-F238E27FC236}">
              <a16:creationId xmlns:a16="http://schemas.microsoft.com/office/drawing/2014/main" id="{00000000-0008-0000-0800-00008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8" name="Text Box 232">
          <a:extLst>
            <a:ext uri="{FF2B5EF4-FFF2-40B4-BE49-F238E27FC236}">
              <a16:creationId xmlns:a16="http://schemas.microsoft.com/office/drawing/2014/main" id="{00000000-0008-0000-0800-00008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9" name="Text Box 233">
          <a:extLst>
            <a:ext uri="{FF2B5EF4-FFF2-40B4-BE49-F238E27FC236}">
              <a16:creationId xmlns:a16="http://schemas.microsoft.com/office/drawing/2014/main" id="{00000000-0008-0000-0800-00008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0" name="Text Box 234">
          <a:extLst>
            <a:ext uri="{FF2B5EF4-FFF2-40B4-BE49-F238E27FC236}">
              <a16:creationId xmlns:a16="http://schemas.microsoft.com/office/drawing/2014/main" id="{00000000-0008-0000-0800-00009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1" name="Text Box 235">
          <a:extLst>
            <a:ext uri="{FF2B5EF4-FFF2-40B4-BE49-F238E27FC236}">
              <a16:creationId xmlns:a16="http://schemas.microsoft.com/office/drawing/2014/main" id="{00000000-0008-0000-0800-00009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2" name="Text Box 236">
          <a:extLst>
            <a:ext uri="{FF2B5EF4-FFF2-40B4-BE49-F238E27FC236}">
              <a16:creationId xmlns:a16="http://schemas.microsoft.com/office/drawing/2014/main" id="{00000000-0008-0000-0800-00009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3" name="Text Box 237">
          <a:extLst>
            <a:ext uri="{FF2B5EF4-FFF2-40B4-BE49-F238E27FC236}">
              <a16:creationId xmlns:a16="http://schemas.microsoft.com/office/drawing/2014/main" id="{00000000-0008-0000-0800-00009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4" name="Text Box 238">
          <a:extLst>
            <a:ext uri="{FF2B5EF4-FFF2-40B4-BE49-F238E27FC236}">
              <a16:creationId xmlns:a16="http://schemas.microsoft.com/office/drawing/2014/main" id="{00000000-0008-0000-0800-00009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5" name="Text Box 239">
          <a:extLst>
            <a:ext uri="{FF2B5EF4-FFF2-40B4-BE49-F238E27FC236}">
              <a16:creationId xmlns:a16="http://schemas.microsoft.com/office/drawing/2014/main" id="{00000000-0008-0000-0800-00009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6" name="Text Box 240">
          <a:extLst>
            <a:ext uri="{FF2B5EF4-FFF2-40B4-BE49-F238E27FC236}">
              <a16:creationId xmlns:a16="http://schemas.microsoft.com/office/drawing/2014/main" id="{00000000-0008-0000-0800-00009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7" name="Text Box 241">
          <a:extLst>
            <a:ext uri="{FF2B5EF4-FFF2-40B4-BE49-F238E27FC236}">
              <a16:creationId xmlns:a16="http://schemas.microsoft.com/office/drawing/2014/main" id="{00000000-0008-0000-0800-00009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8" name="Text Box 242">
          <a:extLst>
            <a:ext uri="{FF2B5EF4-FFF2-40B4-BE49-F238E27FC236}">
              <a16:creationId xmlns:a16="http://schemas.microsoft.com/office/drawing/2014/main" id="{00000000-0008-0000-0800-00009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9" name="Text Box 243">
          <a:extLst>
            <a:ext uri="{FF2B5EF4-FFF2-40B4-BE49-F238E27FC236}">
              <a16:creationId xmlns:a16="http://schemas.microsoft.com/office/drawing/2014/main" id="{00000000-0008-0000-0800-00009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0" name="Text Box 244">
          <a:extLst>
            <a:ext uri="{FF2B5EF4-FFF2-40B4-BE49-F238E27FC236}">
              <a16:creationId xmlns:a16="http://schemas.microsoft.com/office/drawing/2014/main" id="{00000000-0008-0000-0800-00009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1" name="Text Box 245">
          <a:extLst>
            <a:ext uri="{FF2B5EF4-FFF2-40B4-BE49-F238E27FC236}">
              <a16:creationId xmlns:a16="http://schemas.microsoft.com/office/drawing/2014/main" id="{00000000-0008-0000-0800-00009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2" name="Text Box 246">
          <a:extLst>
            <a:ext uri="{FF2B5EF4-FFF2-40B4-BE49-F238E27FC236}">
              <a16:creationId xmlns:a16="http://schemas.microsoft.com/office/drawing/2014/main" id="{00000000-0008-0000-0800-00009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3" name="Text Box 247">
          <a:extLst>
            <a:ext uri="{FF2B5EF4-FFF2-40B4-BE49-F238E27FC236}">
              <a16:creationId xmlns:a16="http://schemas.microsoft.com/office/drawing/2014/main" id="{00000000-0008-0000-0800-00009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4" name="Text Box 248">
          <a:extLst>
            <a:ext uri="{FF2B5EF4-FFF2-40B4-BE49-F238E27FC236}">
              <a16:creationId xmlns:a16="http://schemas.microsoft.com/office/drawing/2014/main" id="{00000000-0008-0000-0800-00009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5" name="Text Box 249">
          <a:extLst>
            <a:ext uri="{FF2B5EF4-FFF2-40B4-BE49-F238E27FC236}">
              <a16:creationId xmlns:a16="http://schemas.microsoft.com/office/drawing/2014/main" id="{00000000-0008-0000-0800-00009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6" name="Text Box 250">
          <a:extLst>
            <a:ext uri="{FF2B5EF4-FFF2-40B4-BE49-F238E27FC236}">
              <a16:creationId xmlns:a16="http://schemas.microsoft.com/office/drawing/2014/main" id="{00000000-0008-0000-0800-0000A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7" name="Text Box 251">
          <a:extLst>
            <a:ext uri="{FF2B5EF4-FFF2-40B4-BE49-F238E27FC236}">
              <a16:creationId xmlns:a16="http://schemas.microsoft.com/office/drawing/2014/main" id="{00000000-0008-0000-0800-0000A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8" name="Text Box 252">
          <a:extLst>
            <a:ext uri="{FF2B5EF4-FFF2-40B4-BE49-F238E27FC236}">
              <a16:creationId xmlns:a16="http://schemas.microsoft.com/office/drawing/2014/main" id="{00000000-0008-0000-0800-0000A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9" name="Text Box 253">
          <a:extLst>
            <a:ext uri="{FF2B5EF4-FFF2-40B4-BE49-F238E27FC236}">
              <a16:creationId xmlns:a16="http://schemas.microsoft.com/office/drawing/2014/main" id="{00000000-0008-0000-0800-0000A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0" name="Text Box 254">
          <a:extLst>
            <a:ext uri="{FF2B5EF4-FFF2-40B4-BE49-F238E27FC236}">
              <a16:creationId xmlns:a16="http://schemas.microsoft.com/office/drawing/2014/main" id="{00000000-0008-0000-0800-0000A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1" name="Text Box 255">
          <a:extLst>
            <a:ext uri="{FF2B5EF4-FFF2-40B4-BE49-F238E27FC236}">
              <a16:creationId xmlns:a16="http://schemas.microsoft.com/office/drawing/2014/main" id="{00000000-0008-0000-0800-0000A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2" name="Text Box 256">
          <a:extLst>
            <a:ext uri="{FF2B5EF4-FFF2-40B4-BE49-F238E27FC236}">
              <a16:creationId xmlns:a16="http://schemas.microsoft.com/office/drawing/2014/main" id="{00000000-0008-0000-0800-0000A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3" name="Text Box 257">
          <a:extLst>
            <a:ext uri="{FF2B5EF4-FFF2-40B4-BE49-F238E27FC236}">
              <a16:creationId xmlns:a16="http://schemas.microsoft.com/office/drawing/2014/main" id="{00000000-0008-0000-0800-0000A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4" name="Text Box 258">
          <a:extLst>
            <a:ext uri="{FF2B5EF4-FFF2-40B4-BE49-F238E27FC236}">
              <a16:creationId xmlns:a16="http://schemas.microsoft.com/office/drawing/2014/main" id="{00000000-0008-0000-0800-0000A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5" name="Text Box 259">
          <a:extLst>
            <a:ext uri="{FF2B5EF4-FFF2-40B4-BE49-F238E27FC236}">
              <a16:creationId xmlns:a16="http://schemas.microsoft.com/office/drawing/2014/main" id="{00000000-0008-0000-0800-0000A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6" name="Text Box 260">
          <a:extLst>
            <a:ext uri="{FF2B5EF4-FFF2-40B4-BE49-F238E27FC236}">
              <a16:creationId xmlns:a16="http://schemas.microsoft.com/office/drawing/2014/main" id="{00000000-0008-0000-0800-0000A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7" name="Text Box 261">
          <a:extLst>
            <a:ext uri="{FF2B5EF4-FFF2-40B4-BE49-F238E27FC236}">
              <a16:creationId xmlns:a16="http://schemas.microsoft.com/office/drawing/2014/main" id="{00000000-0008-0000-0800-0000A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8" name="Text Box 262">
          <a:extLst>
            <a:ext uri="{FF2B5EF4-FFF2-40B4-BE49-F238E27FC236}">
              <a16:creationId xmlns:a16="http://schemas.microsoft.com/office/drawing/2014/main" id="{00000000-0008-0000-0800-0000A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9" name="Text Box 263">
          <a:extLst>
            <a:ext uri="{FF2B5EF4-FFF2-40B4-BE49-F238E27FC236}">
              <a16:creationId xmlns:a16="http://schemas.microsoft.com/office/drawing/2014/main" id="{00000000-0008-0000-0800-0000A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0" name="Text Box 264">
          <a:extLst>
            <a:ext uri="{FF2B5EF4-FFF2-40B4-BE49-F238E27FC236}">
              <a16:creationId xmlns:a16="http://schemas.microsoft.com/office/drawing/2014/main" id="{00000000-0008-0000-0800-0000A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1" name="Text Box 265">
          <a:extLst>
            <a:ext uri="{FF2B5EF4-FFF2-40B4-BE49-F238E27FC236}">
              <a16:creationId xmlns:a16="http://schemas.microsoft.com/office/drawing/2014/main" id="{00000000-0008-0000-0800-0000A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2" name="Text Box 266">
          <a:extLst>
            <a:ext uri="{FF2B5EF4-FFF2-40B4-BE49-F238E27FC236}">
              <a16:creationId xmlns:a16="http://schemas.microsoft.com/office/drawing/2014/main" id="{00000000-0008-0000-0800-0000B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3" name="Text Box 267">
          <a:extLst>
            <a:ext uri="{FF2B5EF4-FFF2-40B4-BE49-F238E27FC236}">
              <a16:creationId xmlns:a16="http://schemas.microsoft.com/office/drawing/2014/main" id="{00000000-0008-0000-0800-0000B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4" name="Text Box 268">
          <a:extLst>
            <a:ext uri="{FF2B5EF4-FFF2-40B4-BE49-F238E27FC236}">
              <a16:creationId xmlns:a16="http://schemas.microsoft.com/office/drawing/2014/main" id="{00000000-0008-0000-0800-0000B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5" name="Text Box 269">
          <a:extLst>
            <a:ext uri="{FF2B5EF4-FFF2-40B4-BE49-F238E27FC236}">
              <a16:creationId xmlns:a16="http://schemas.microsoft.com/office/drawing/2014/main" id="{00000000-0008-0000-0800-0000B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6" name="Text Box 270">
          <a:extLst>
            <a:ext uri="{FF2B5EF4-FFF2-40B4-BE49-F238E27FC236}">
              <a16:creationId xmlns:a16="http://schemas.microsoft.com/office/drawing/2014/main" id="{00000000-0008-0000-0800-0000B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7" name="Text Box 271">
          <a:extLst>
            <a:ext uri="{FF2B5EF4-FFF2-40B4-BE49-F238E27FC236}">
              <a16:creationId xmlns:a16="http://schemas.microsoft.com/office/drawing/2014/main" id="{00000000-0008-0000-0800-0000B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8" name="Text Box 272">
          <a:extLst>
            <a:ext uri="{FF2B5EF4-FFF2-40B4-BE49-F238E27FC236}">
              <a16:creationId xmlns:a16="http://schemas.microsoft.com/office/drawing/2014/main" id="{00000000-0008-0000-0800-0000B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9" name="Text Box 273">
          <a:extLst>
            <a:ext uri="{FF2B5EF4-FFF2-40B4-BE49-F238E27FC236}">
              <a16:creationId xmlns:a16="http://schemas.microsoft.com/office/drawing/2014/main" id="{00000000-0008-0000-0800-0000B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0" name="Text Box 274">
          <a:extLst>
            <a:ext uri="{FF2B5EF4-FFF2-40B4-BE49-F238E27FC236}">
              <a16:creationId xmlns:a16="http://schemas.microsoft.com/office/drawing/2014/main" id="{00000000-0008-0000-0800-0000B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1" name="Text Box 275">
          <a:extLst>
            <a:ext uri="{FF2B5EF4-FFF2-40B4-BE49-F238E27FC236}">
              <a16:creationId xmlns:a16="http://schemas.microsoft.com/office/drawing/2014/main" id="{00000000-0008-0000-0800-0000B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2" name="Text Box 276">
          <a:extLst>
            <a:ext uri="{FF2B5EF4-FFF2-40B4-BE49-F238E27FC236}">
              <a16:creationId xmlns:a16="http://schemas.microsoft.com/office/drawing/2014/main" id="{00000000-0008-0000-0800-0000B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3" name="Text Box 277">
          <a:extLst>
            <a:ext uri="{FF2B5EF4-FFF2-40B4-BE49-F238E27FC236}">
              <a16:creationId xmlns:a16="http://schemas.microsoft.com/office/drawing/2014/main" id="{00000000-0008-0000-0800-0000B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4" name="Text Box 278">
          <a:extLst>
            <a:ext uri="{FF2B5EF4-FFF2-40B4-BE49-F238E27FC236}">
              <a16:creationId xmlns:a16="http://schemas.microsoft.com/office/drawing/2014/main" id="{00000000-0008-0000-0800-0000B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5" name="Text Box 279">
          <a:extLst>
            <a:ext uri="{FF2B5EF4-FFF2-40B4-BE49-F238E27FC236}">
              <a16:creationId xmlns:a16="http://schemas.microsoft.com/office/drawing/2014/main" id="{00000000-0008-0000-0800-0000B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6" name="Text Box 280">
          <a:extLst>
            <a:ext uri="{FF2B5EF4-FFF2-40B4-BE49-F238E27FC236}">
              <a16:creationId xmlns:a16="http://schemas.microsoft.com/office/drawing/2014/main" id="{00000000-0008-0000-0800-0000B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7" name="Text Box 281">
          <a:extLst>
            <a:ext uri="{FF2B5EF4-FFF2-40B4-BE49-F238E27FC236}">
              <a16:creationId xmlns:a16="http://schemas.microsoft.com/office/drawing/2014/main" id="{00000000-0008-0000-0800-0000B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8" name="Text Box 282">
          <a:extLst>
            <a:ext uri="{FF2B5EF4-FFF2-40B4-BE49-F238E27FC236}">
              <a16:creationId xmlns:a16="http://schemas.microsoft.com/office/drawing/2014/main" id="{00000000-0008-0000-0800-0000C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9" name="Text Box 283">
          <a:extLst>
            <a:ext uri="{FF2B5EF4-FFF2-40B4-BE49-F238E27FC236}">
              <a16:creationId xmlns:a16="http://schemas.microsoft.com/office/drawing/2014/main" id="{00000000-0008-0000-0800-0000C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0" name="Text Box 284">
          <a:extLst>
            <a:ext uri="{FF2B5EF4-FFF2-40B4-BE49-F238E27FC236}">
              <a16:creationId xmlns:a16="http://schemas.microsoft.com/office/drawing/2014/main" id="{00000000-0008-0000-0800-0000C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1" name="Text Box 285">
          <a:extLst>
            <a:ext uri="{FF2B5EF4-FFF2-40B4-BE49-F238E27FC236}">
              <a16:creationId xmlns:a16="http://schemas.microsoft.com/office/drawing/2014/main" id="{00000000-0008-0000-0800-0000C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2" name="Text Box 286">
          <a:extLst>
            <a:ext uri="{FF2B5EF4-FFF2-40B4-BE49-F238E27FC236}">
              <a16:creationId xmlns:a16="http://schemas.microsoft.com/office/drawing/2014/main" id="{00000000-0008-0000-0800-0000C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3" name="Text Box 287">
          <a:extLst>
            <a:ext uri="{FF2B5EF4-FFF2-40B4-BE49-F238E27FC236}">
              <a16:creationId xmlns:a16="http://schemas.microsoft.com/office/drawing/2014/main" id="{00000000-0008-0000-0800-0000C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4" name="Text Box 288">
          <a:extLst>
            <a:ext uri="{FF2B5EF4-FFF2-40B4-BE49-F238E27FC236}">
              <a16:creationId xmlns:a16="http://schemas.microsoft.com/office/drawing/2014/main" id="{00000000-0008-0000-0800-0000C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5" name="Text Box 289">
          <a:extLst>
            <a:ext uri="{FF2B5EF4-FFF2-40B4-BE49-F238E27FC236}">
              <a16:creationId xmlns:a16="http://schemas.microsoft.com/office/drawing/2014/main" id="{00000000-0008-0000-0800-0000C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6" name="Text Box 290">
          <a:extLst>
            <a:ext uri="{FF2B5EF4-FFF2-40B4-BE49-F238E27FC236}">
              <a16:creationId xmlns:a16="http://schemas.microsoft.com/office/drawing/2014/main" id="{00000000-0008-0000-0800-0000C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7" name="Text Box 291">
          <a:extLst>
            <a:ext uri="{FF2B5EF4-FFF2-40B4-BE49-F238E27FC236}">
              <a16:creationId xmlns:a16="http://schemas.microsoft.com/office/drawing/2014/main" id="{00000000-0008-0000-0800-0000C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8" name="Text Box 292">
          <a:extLst>
            <a:ext uri="{FF2B5EF4-FFF2-40B4-BE49-F238E27FC236}">
              <a16:creationId xmlns:a16="http://schemas.microsoft.com/office/drawing/2014/main" id="{00000000-0008-0000-0800-0000C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9" name="Text Box 293">
          <a:extLst>
            <a:ext uri="{FF2B5EF4-FFF2-40B4-BE49-F238E27FC236}">
              <a16:creationId xmlns:a16="http://schemas.microsoft.com/office/drawing/2014/main" id="{00000000-0008-0000-0800-0000C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0" name="Text Box 294">
          <a:extLst>
            <a:ext uri="{FF2B5EF4-FFF2-40B4-BE49-F238E27FC236}">
              <a16:creationId xmlns:a16="http://schemas.microsoft.com/office/drawing/2014/main" id="{00000000-0008-0000-0800-0000C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1" name="Text Box 295">
          <a:extLst>
            <a:ext uri="{FF2B5EF4-FFF2-40B4-BE49-F238E27FC236}">
              <a16:creationId xmlns:a16="http://schemas.microsoft.com/office/drawing/2014/main" id="{00000000-0008-0000-0800-0000C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2" name="Text Box 296">
          <a:extLst>
            <a:ext uri="{FF2B5EF4-FFF2-40B4-BE49-F238E27FC236}">
              <a16:creationId xmlns:a16="http://schemas.microsoft.com/office/drawing/2014/main" id="{00000000-0008-0000-0800-0000C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3" name="Text Box 297">
          <a:extLst>
            <a:ext uri="{FF2B5EF4-FFF2-40B4-BE49-F238E27FC236}">
              <a16:creationId xmlns:a16="http://schemas.microsoft.com/office/drawing/2014/main" id="{00000000-0008-0000-0800-0000C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4" name="Text Box 298">
          <a:extLst>
            <a:ext uri="{FF2B5EF4-FFF2-40B4-BE49-F238E27FC236}">
              <a16:creationId xmlns:a16="http://schemas.microsoft.com/office/drawing/2014/main" id="{00000000-0008-0000-0800-0000D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5" name="Text Box 299">
          <a:extLst>
            <a:ext uri="{FF2B5EF4-FFF2-40B4-BE49-F238E27FC236}">
              <a16:creationId xmlns:a16="http://schemas.microsoft.com/office/drawing/2014/main" id="{00000000-0008-0000-0800-0000D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6" name="Text Box 300">
          <a:extLst>
            <a:ext uri="{FF2B5EF4-FFF2-40B4-BE49-F238E27FC236}">
              <a16:creationId xmlns:a16="http://schemas.microsoft.com/office/drawing/2014/main" id="{00000000-0008-0000-0800-0000D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7" name="Text Box 301">
          <a:extLst>
            <a:ext uri="{FF2B5EF4-FFF2-40B4-BE49-F238E27FC236}">
              <a16:creationId xmlns:a16="http://schemas.microsoft.com/office/drawing/2014/main" id="{00000000-0008-0000-0800-0000D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8" name="Text Box 302">
          <a:extLst>
            <a:ext uri="{FF2B5EF4-FFF2-40B4-BE49-F238E27FC236}">
              <a16:creationId xmlns:a16="http://schemas.microsoft.com/office/drawing/2014/main" id="{00000000-0008-0000-0800-0000D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9" name="Text Box 303">
          <a:extLst>
            <a:ext uri="{FF2B5EF4-FFF2-40B4-BE49-F238E27FC236}">
              <a16:creationId xmlns:a16="http://schemas.microsoft.com/office/drawing/2014/main" id="{00000000-0008-0000-0800-0000D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0" name="Text Box 304">
          <a:extLst>
            <a:ext uri="{FF2B5EF4-FFF2-40B4-BE49-F238E27FC236}">
              <a16:creationId xmlns:a16="http://schemas.microsoft.com/office/drawing/2014/main" id="{00000000-0008-0000-0800-0000D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1" name="Text Box 305">
          <a:extLst>
            <a:ext uri="{FF2B5EF4-FFF2-40B4-BE49-F238E27FC236}">
              <a16:creationId xmlns:a16="http://schemas.microsoft.com/office/drawing/2014/main" id="{00000000-0008-0000-0800-0000D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2" name="Text Box 306">
          <a:extLst>
            <a:ext uri="{FF2B5EF4-FFF2-40B4-BE49-F238E27FC236}">
              <a16:creationId xmlns:a16="http://schemas.microsoft.com/office/drawing/2014/main" id="{00000000-0008-0000-0800-0000D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3" name="Text Box 307">
          <a:extLst>
            <a:ext uri="{FF2B5EF4-FFF2-40B4-BE49-F238E27FC236}">
              <a16:creationId xmlns:a16="http://schemas.microsoft.com/office/drawing/2014/main" id="{00000000-0008-0000-0800-0000D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4" name="Text Box 308">
          <a:extLst>
            <a:ext uri="{FF2B5EF4-FFF2-40B4-BE49-F238E27FC236}">
              <a16:creationId xmlns:a16="http://schemas.microsoft.com/office/drawing/2014/main" id="{00000000-0008-0000-0800-0000D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5" name="Text Box 309">
          <a:extLst>
            <a:ext uri="{FF2B5EF4-FFF2-40B4-BE49-F238E27FC236}">
              <a16:creationId xmlns:a16="http://schemas.microsoft.com/office/drawing/2014/main" id="{00000000-0008-0000-0800-0000D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6" name="Text Box 310">
          <a:extLst>
            <a:ext uri="{FF2B5EF4-FFF2-40B4-BE49-F238E27FC236}">
              <a16:creationId xmlns:a16="http://schemas.microsoft.com/office/drawing/2014/main" id="{00000000-0008-0000-0800-0000D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7" name="Text Box 311">
          <a:extLst>
            <a:ext uri="{FF2B5EF4-FFF2-40B4-BE49-F238E27FC236}">
              <a16:creationId xmlns:a16="http://schemas.microsoft.com/office/drawing/2014/main" id="{00000000-0008-0000-0800-0000D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8" name="Text Box 312">
          <a:extLst>
            <a:ext uri="{FF2B5EF4-FFF2-40B4-BE49-F238E27FC236}">
              <a16:creationId xmlns:a16="http://schemas.microsoft.com/office/drawing/2014/main" id="{00000000-0008-0000-0800-0000D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9" name="Text Box 313">
          <a:extLst>
            <a:ext uri="{FF2B5EF4-FFF2-40B4-BE49-F238E27FC236}">
              <a16:creationId xmlns:a16="http://schemas.microsoft.com/office/drawing/2014/main" id="{00000000-0008-0000-0800-0000D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0" name="Text Box 314">
          <a:extLst>
            <a:ext uri="{FF2B5EF4-FFF2-40B4-BE49-F238E27FC236}">
              <a16:creationId xmlns:a16="http://schemas.microsoft.com/office/drawing/2014/main" id="{00000000-0008-0000-0800-0000E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1" name="Text Box 315">
          <a:extLst>
            <a:ext uri="{FF2B5EF4-FFF2-40B4-BE49-F238E27FC236}">
              <a16:creationId xmlns:a16="http://schemas.microsoft.com/office/drawing/2014/main" id="{00000000-0008-0000-0800-0000E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2" name="Text Box 316">
          <a:extLst>
            <a:ext uri="{FF2B5EF4-FFF2-40B4-BE49-F238E27FC236}">
              <a16:creationId xmlns:a16="http://schemas.microsoft.com/office/drawing/2014/main" id="{00000000-0008-0000-0800-0000E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3" name="Text Box 317">
          <a:extLst>
            <a:ext uri="{FF2B5EF4-FFF2-40B4-BE49-F238E27FC236}">
              <a16:creationId xmlns:a16="http://schemas.microsoft.com/office/drawing/2014/main" id="{00000000-0008-0000-0800-0000E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4" name="Text Box 318">
          <a:extLst>
            <a:ext uri="{FF2B5EF4-FFF2-40B4-BE49-F238E27FC236}">
              <a16:creationId xmlns:a16="http://schemas.microsoft.com/office/drawing/2014/main" id="{00000000-0008-0000-0800-0000E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5" name="Text Box 319">
          <a:extLst>
            <a:ext uri="{FF2B5EF4-FFF2-40B4-BE49-F238E27FC236}">
              <a16:creationId xmlns:a16="http://schemas.microsoft.com/office/drawing/2014/main" id="{00000000-0008-0000-0800-0000E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6" name="Text Box 320">
          <a:extLst>
            <a:ext uri="{FF2B5EF4-FFF2-40B4-BE49-F238E27FC236}">
              <a16:creationId xmlns:a16="http://schemas.microsoft.com/office/drawing/2014/main" id="{00000000-0008-0000-0800-0000E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7" name="Text Box 28">
          <a:extLst>
            <a:ext uri="{FF2B5EF4-FFF2-40B4-BE49-F238E27FC236}">
              <a16:creationId xmlns:a16="http://schemas.microsoft.com/office/drawing/2014/main" id="{00000000-0008-0000-0800-0000E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8" name="Text Box 29">
          <a:extLst>
            <a:ext uri="{FF2B5EF4-FFF2-40B4-BE49-F238E27FC236}">
              <a16:creationId xmlns:a16="http://schemas.microsoft.com/office/drawing/2014/main" id="{00000000-0008-0000-0800-0000E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9" name="Text Box 30">
          <a:extLst>
            <a:ext uri="{FF2B5EF4-FFF2-40B4-BE49-F238E27FC236}">
              <a16:creationId xmlns:a16="http://schemas.microsoft.com/office/drawing/2014/main" id="{00000000-0008-0000-0800-0000E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0" name="Text Box 31">
          <a:extLst>
            <a:ext uri="{FF2B5EF4-FFF2-40B4-BE49-F238E27FC236}">
              <a16:creationId xmlns:a16="http://schemas.microsoft.com/office/drawing/2014/main" id="{00000000-0008-0000-0800-0000E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1" name="Text Box 32">
          <a:extLst>
            <a:ext uri="{FF2B5EF4-FFF2-40B4-BE49-F238E27FC236}">
              <a16:creationId xmlns:a16="http://schemas.microsoft.com/office/drawing/2014/main" id="{00000000-0008-0000-0800-0000E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2" name="Text Box 33">
          <a:extLst>
            <a:ext uri="{FF2B5EF4-FFF2-40B4-BE49-F238E27FC236}">
              <a16:creationId xmlns:a16="http://schemas.microsoft.com/office/drawing/2014/main" id="{00000000-0008-0000-0800-0000E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3" name="Text Box 34">
          <a:extLst>
            <a:ext uri="{FF2B5EF4-FFF2-40B4-BE49-F238E27FC236}">
              <a16:creationId xmlns:a16="http://schemas.microsoft.com/office/drawing/2014/main" id="{00000000-0008-0000-0800-0000E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4" name="Text Box 35">
          <a:extLst>
            <a:ext uri="{FF2B5EF4-FFF2-40B4-BE49-F238E27FC236}">
              <a16:creationId xmlns:a16="http://schemas.microsoft.com/office/drawing/2014/main" id="{00000000-0008-0000-0800-0000E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5" name="Text Box 36">
          <a:extLst>
            <a:ext uri="{FF2B5EF4-FFF2-40B4-BE49-F238E27FC236}">
              <a16:creationId xmlns:a16="http://schemas.microsoft.com/office/drawing/2014/main" id="{00000000-0008-0000-0800-0000E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6" name="Text Box 37">
          <a:extLst>
            <a:ext uri="{FF2B5EF4-FFF2-40B4-BE49-F238E27FC236}">
              <a16:creationId xmlns:a16="http://schemas.microsoft.com/office/drawing/2014/main" id="{00000000-0008-0000-0800-0000F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7" name="Text Box 38">
          <a:extLst>
            <a:ext uri="{FF2B5EF4-FFF2-40B4-BE49-F238E27FC236}">
              <a16:creationId xmlns:a16="http://schemas.microsoft.com/office/drawing/2014/main" id="{00000000-0008-0000-0800-0000F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8" name="Text Box 39">
          <a:extLst>
            <a:ext uri="{FF2B5EF4-FFF2-40B4-BE49-F238E27FC236}">
              <a16:creationId xmlns:a16="http://schemas.microsoft.com/office/drawing/2014/main" id="{00000000-0008-0000-0800-0000F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9" name="Text Box 40">
          <a:extLst>
            <a:ext uri="{FF2B5EF4-FFF2-40B4-BE49-F238E27FC236}">
              <a16:creationId xmlns:a16="http://schemas.microsoft.com/office/drawing/2014/main" id="{00000000-0008-0000-0800-0000F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0" name="Text Box 41">
          <a:extLst>
            <a:ext uri="{FF2B5EF4-FFF2-40B4-BE49-F238E27FC236}">
              <a16:creationId xmlns:a16="http://schemas.microsoft.com/office/drawing/2014/main" id="{00000000-0008-0000-0800-0000F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1" name="Text Box 42">
          <a:extLst>
            <a:ext uri="{FF2B5EF4-FFF2-40B4-BE49-F238E27FC236}">
              <a16:creationId xmlns:a16="http://schemas.microsoft.com/office/drawing/2014/main" id="{00000000-0008-0000-0800-0000F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2" name="Text Box 43">
          <a:extLst>
            <a:ext uri="{FF2B5EF4-FFF2-40B4-BE49-F238E27FC236}">
              <a16:creationId xmlns:a16="http://schemas.microsoft.com/office/drawing/2014/main" id="{00000000-0008-0000-0800-0000F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3" name="Text Box 44">
          <a:extLst>
            <a:ext uri="{FF2B5EF4-FFF2-40B4-BE49-F238E27FC236}">
              <a16:creationId xmlns:a16="http://schemas.microsoft.com/office/drawing/2014/main" id="{00000000-0008-0000-0800-0000F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4" name="Text Box 45">
          <a:extLst>
            <a:ext uri="{FF2B5EF4-FFF2-40B4-BE49-F238E27FC236}">
              <a16:creationId xmlns:a16="http://schemas.microsoft.com/office/drawing/2014/main" id="{00000000-0008-0000-0800-0000F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5" name="Text Box 46">
          <a:extLst>
            <a:ext uri="{FF2B5EF4-FFF2-40B4-BE49-F238E27FC236}">
              <a16:creationId xmlns:a16="http://schemas.microsoft.com/office/drawing/2014/main" id="{00000000-0008-0000-0800-0000F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6" name="Text Box 47">
          <a:extLst>
            <a:ext uri="{FF2B5EF4-FFF2-40B4-BE49-F238E27FC236}">
              <a16:creationId xmlns:a16="http://schemas.microsoft.com/office/drawing/2014/main" id="{00000000-0008-0000-0800-0000F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7" name="Text Box 48">
          <a:extLst>
            <a:ext uri="{FF2B5EF4-FFF2-40B4-BE49-F238E27FC236}">
              <a16:creationId xmlns:a16="http://schemas.microsoft.com/office/drawing/2014/main" id="{00000000-0008-0000-0800-0000F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8" name="Text Box 49">
          <a:extLst>
            <a:ext uri="{FF2B5EF4-FFF2-40B4-BE49-F238E27FC236}">
              <a16:creationId xmlns:a16="http://schemas.microsoft.com/office/drawing/2014/main" id="{00000000-0008-0000-0800-0000F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9" name="Text Box 50">
          <a:extLst>
            <a:ext uri="{FF2B5EF4-FFF2-40B4-BE49-F238E27FC236}">
              <a16:creationId xmlns:a16="http://schemas.microsoft.com/office/drawing/2014/main" id="{00000000-0008-0000-0800-0000F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0" name="Text Box 51">
          <a:extLst>
            <a:ext uri="{FF2B5EF4-FFF2-40B4-BE49-F238E27FC236}">
              <a16:creationId xmlns:a16="http://schemas.microsoft.com/office/drawing/2014/main" id="{00000000-0008-0000-0800-0000F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1" name="Text Box 52">
          <a:extLst>
            <a:ext uri="{FF2B5EF4-FFF2-40B4-BE49-F238E27FC236}">
              <a16:creationId xmlns:a16="http://schemas.microsoft.com/office/drawing/2014/main" id="{00000000-0008-0000-0800-0000F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2" name="Text Box 53">
          <a:extLst>
            <a:ext uri="{FF2B5EF4-FFF2-40B4-BE49-F238E27FC236}">
              <a16:creationId xmlns:a16="http://schemas.microsoft.com/office/drawing/2014/main" id="{00000000-0008-0000-0800-00000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3" name="Text Box 54">
          <a:extLst>
            <a:ext uri="{FF2B5EF4-FFF2-40B4-BE49-F238E27FC236}">
              <a16:creationId xmlns:a16="http://schemas.microsoft.com/office/drawing/2014/main" id="{00000000-0008-0000-0800-00000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4" name="Text Box 55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5" name="Text Box 56">
          <a:extLst>
            <a:ext uri="{FF2B5EF4-FFF2-40B4-BE49-F238E27FC236}">
              <a16:creationId xmlns:a16="http://schemas.microsoft.com/office/drawing/2014/main" id="{00000000-0008-0000-0800-00000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6" name="Text Box 57">
          <a:extLst>
            <a:ext uri="{FF2B5EF4-FFF2-40B4-BE49-F238E27FC236}">
              <a16:creationId xmlns:a16="http://schemas.microsoft.com/office/drawing/2014/main" id="{00000000-0008-0000-0800-00000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7" name="Text Box 58">
          <a:extLst>
            <a:ext uri="{FF2B5EF4-FFF2-40B4-BE49-F238E27FC236}">
              <a16:creationId xmlns:a16="http://schemas.microsoft.com/office/drawing/2014/main" id="{00000000-0008-0000-0800-00000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8" name="Text Box 59">
          <a:extLst>
            <a:ext uri="{FF2B5EF4-FFF2-40B4-BE49-F238E27FC236}">
              <a16:creationId xmlns:a16="http://schemas.microsoft.com/office/drawing/2014/main" id="{00000000-0008-0000-0800-00000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9" name="Text Box 60">
          <a:extLst>
            <a:ext uri="{FF2B5EF4-FFF2-40B4-BE49-F238E27FC236}">
              <a16:creationId xmlns:a16="http://schemas.microsoft.com/office/drawing/2014/main" id="{00000000-0008-0000-0800-00000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0" name="Text Box 61">
          <a:extLst>
            <a:ext uri="{FF2B5EF4-FFF2-40B4-BE49-F238E27FC236}">
              <a16:creationId xmlns:a16="http://schemas.microsoft.com/office/drawing/2014/main" id="{00000000-0008-0000-0800-00000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1" name="Text Box 62">
          <a:extLst>
            <a:ext uri="{FF2B5EF4-FFF2-40B4-BE49-F238E27FC236}">
              <a16:creationId xmlns:a16="http://schemas.microsoft.com/office/drawing/2014/main" id="{00000000-0008-0000-0800-00000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2" name="Text Box 63">
          <a:extLst>
            <a:ext uri="{FF2B5EF4-FFF2-40B4-BE49-F238E27FC236}">
              <a16:creationId xmlns:a16="http://schemas.microsoft.com/office/drawing/2014/main" id="{00000000-0008-0000-0800-00000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3" name="Text Box 64">
          <a:extLst>
            <a:ext uri="{FF2B5EF4-FFF2-40B4-BE49-F238E27FC236}">
              <a16:creationId xmlns:a16="http://schemas.microsoft.com/office/drawing/2014/main" id="{00000000-0008-0000-0800-00000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4" name="Text Box 65">
          <a:extLst>
            <a:ext uri="{FF2B5EF4-FFF2-40B4-BE49-F238E27FC236}">
              <a16:creationId xmlns:a16="http://schemas.microsoft.com/office/drawing/2014/main" id="{00000000-0008-0000-0800-00000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5" name="Text Box 66">
          <a:extLst>
            <a:ext uri="{FF2B5EF4-FFF2-40B4-BE49-F238E27FC236}">
              <a16:creationId xmlns:a16="http://schemas.microsoft.com/office/drawing/2014/main" id="{00000000-0008-0000-0800-00000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6" name="Text Box 67">
          <a:extLst>
            <a:ext uri="{FF2B5EF4-FFF2-40B4-BE49-F238E27FC236}">
              <a16:creationId xmlns:a16="http://schemas.microsoft.com/office/drawing/2014/main" id="{00000000-0008-0000-0800-00000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7" name="Text Box 68">
          <a:extLst>
            <a:ext uri="{FF2B5EF4-FFF2-40B4-BE49-F238E27FC236}">
              <a16:creationId xmlns:a16="http://schemas.microsoft.com/office/drawing/2014/main" id="{00000000-0008-0000-0800-00000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8" name="Text Box 69">
          <a:extLst>
            <a:ext uri="{FF2B5EF4-FFF2-40B4-BE49-F238E27FC236}">
              <a16:creationId xmlns:a16="http://schemas.microsoft.com/office/drawing/2014/main" id="{00000000-0008-0000-0800-00001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9" name="Text Box 70">
          <a:extLst>
            <a:ext uri="{FF2B5EF4-FFF2-40B4-BE49-F238E27FC236}">
              <a16:creationId xmlns:a16="http://schemas.microsoft.com/office/drawing/2014/main" id="{00000000-0008-0000-0800-00001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0" name="Text Box 71">
          <a:extLst>
            <a:ext uri="{FF2B5EF4-FFF2-40B4-BE49-F238E27FC236}">
              <a16:creationId xmlns:a16="http://schemas.microsoft.com/office/drawing/2014/main" id="{00000000-0008-0000-0800-00001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1" name="Text Box 72">
          <a:extLst>
            <a:ext uri="{FF2B5EF4-FFF2-40B4-BE49-F238E27FC236}">
              <a16:creationId xmlns:a16="http://schemas.microsoft.com/office/drawing/2014/main" id="{00000000-0008-0000-0800-00001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2" name="Text Box 73">
          <a:extLst>
            <a:ext uri="{FF2B5EF4-FFF2-40B4-BE49-F238E27FC236}">
              <a16:creationId xmlns:a16="http://schemas.microsoft.com/office/drawing/2014/main" id="{00000000-0008-0000-0800-00001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3" name="Text Box 74">
          <a:extLst>
            <a:ext uri="{FF2B5EF4-FFF2-40B4-BE49-F238E27FC236}">
              <a16:creationId xmlns:a16="http://schemas.microsoft.com/office/drawing/2014/main" id="{00000000-0008-0000-0800-00001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4" name="Text Box 75">
          <a:extLst>
            <a:ext uri="{FF2B5EF4-FFF2-40B4-BE49-F238E27FC236}">
              <a16:creationId xmlns:a16="http://schemas.microsoft.com/office/drawing/2014/main" id="{00000000-0008-0000-0800-00001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5" name="Text Box 76">
          <a:extLst>
            <a:ext uri="{FF2B5EF4-FFF2-40B4-BE49-F238E27FC236}">
              <a16:creationId xmlns:a16="http://schemas.microsoft.com/office/drawing/2014/main" id="{00000000-0008-0000-0800-00001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6" name="Text Box 77">
          <a:extLst>
            <a:ext uri="{FF2B5EF4-FFF2-40B4-BE49-F238E27FC236}">
              <a16:creationId xmlns:a16="http://schemas.microsoft.com/office/drawing/2014/main" id="{00000000-0008-0000-0800-00001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7" name="Text Box 78">
          <a:extLst>
            <a:ext uri="{FF2B5EF4-FFF2-40B4-BE49-F238E27FC236}">
              <a16:creationId xmlns:a16="http://schemas.microsoft.com/office/drawing/2014/main" id="{00000000-0008-0000-0800-00001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8" name="Text Box 79">
          <a:extLst>
            <a:ext uri="{FF2B5EF4-FFF2-40B4-BE49-F238E27FC236}">
              <a16:creationId xmlns:a16="http://schemas.microsoft.com/office/drawing/2014/main" id="{00000000-0008-0000-0800-00001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9" name="Text Box 80">
          <a:extLst>
            <a:ext uri="{FF2B5EF4-FFF2-40B4-BE49-F238E27FC236}">
              <a16:creationId xmlns:a16="http://schemas.microsoft.com/office/drawing/2014/main" id="{00000000-0008-0000-0800-00001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0" name="Text Box 81">
          <a:extLst>
            <a:ext uri="{FF2B5EF4-FFF2-40B4-BE49-F238E27FC236}">
              <a16:creationId xmlns:a16="http://schemas.microsoft.com/office/drawing/2014/main" id="{00000000-0008-0000-0800-00001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1" name="Text Box 82">
          <a:extLst>
            <a:ext uri="{FF2B5EF4-FFF2-40B4-BE49-F238E27FC236}">
              <a16:creationId xmlns:a16="http://schemas.microsoft.com/office/drawing/2014/main" id="{00000000-0008-0000-0800-00001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2" name="Text Box 83">
          <a:extLst>
            <a:ext uri="{FF2B5EF4-FFF2-40B4-BE49-F238E27FC236}">
              <a16:creationId xmlns:a16="http://schemas.microsoft.com/office/drawing/2014/main" id="{00000000-0008-0000-0800-00001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3" name="Text Box 84">
          <a:extLst>
            <a:ext uri="{FF2B5EF4-FFF2-40B4-BE49-F238E27FC236}">
              <a16:creationId xmlns:a16="http://schemas.microsoft.com/office/drawing/2014/main" id="{00000000-0008-0000-0800-00001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4" name="Text Box 85">
          <a:extLst>
            <a:ext uri="{FF2B5EF4-FFF2-40B4-BE49-F238E27FC236}">
              <a16:creationId xmlns:a16="http://schemas.microsoft.com/office/drawing/2014/main" id="{00000000-0008-0000-0800-00002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5" name="Text Box 86">
          <a:extLst>
            <a:ext uri="{FF2B5EF4-FFF2-40B4-BE49-F238E27FC236}">
              <a16:creationId xmlns:a16="http://schemas.microsoft.com/office/drawing/2014/main" id="{00000000-0008-0000-0800-00002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6" name="Text Box 87">
          <a:extLst>
            <a:ext uri="{FF2B5EF4-FFF2-40B4-BE49-F238E27FC236}">
              <a16:creationId xmlns:a16="http://schemas.microsoft.com/office/drawing/2014/main" id="{00000000-0008-0000-0800-00002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7" name="Text Box 88">
          <a:extLst>
            <a:ext uri="{FF2B5EF4-FFF2-40B4-BE49-F238E27FC236}">
              <a16:creationId xmlns:a16="http://schemas.microsoft.com/office/drawing/2014/main" id="{00000000-0008-0000-0800-00002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8" name="Text Box 89">
          <a:extLst>
            <a:ext uri="{FF2B5EF4-FFF2-40B4-BE49-F238E27FC236}">
              <a16:creationId xmlns:a16="http://schemas.microsoft.com/office/drawing/2014/main" id="{00000000-0008-0000-0800-00002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9" name="Text Box 90">
          <a:extLst>
            <a:ext uri="{FF2B5EF4-FFF2-40B4-BE49-F238E27FC236}">
              <a16:creationId xmlns:a16="http://schemas.microsoft.com/office/drawing/2014/main" id="{00000000-0008-0000-0800-00002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0" name="Text Box 91">
          <a:extLst>
            <a:ext uri="{FF2B5EF4-FFF2-40B4-BE49-F238E27FC236}">
              <a16:creationId xmlns:a16="http://schemas.microsoft.com/office/drawing/2014/main" id="{00000000-0008-0000-0800-00002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1" name="Text Box 92">
          <a:extLst>
            <a:ext uri="{FF2B5EF4-FFF2-40B4-BE49-F238E27FC236}">
              <a16:creationId xmlns:a16="http://schemas.microsoft.com/office/drawing/2014/main" id="{00000000-0008-0000-0800-00002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2" name="Text Box 93">
          <a:extLst>
            <a:ext uri="{FF2B5EF4-FFF2-40B4-BE49-F238E27FC236}">
              <a16:creationId xmlns:a16="http://schemas.microsoft.com/office/drawing/2014/main" id="{00000000-0008-0000-0800-00002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3" name="Text Box 94">
          <a:extLst>
            <a:ext uri="{FF2B5EF4-FFF2-40B4-BE49-F238E27FC236}">
              <a16:creationId xmlns:a16="http://schemas.microsoft.com/office/drawing/2014/main" id="{00000000-0008-0000-0800-00002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4" name="Text Box 95">
          <a:extLst>
            <a:ext uri="{FF2B5EF4-FFF2-40B4-BE49-F238E27FC236}">
              <a16:creationId xmlns:a16="http://schemas.microsoft.com/office/drawing/2014/main" id="{00000000-0008-0000-0800-00002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5" name="Text Box 96">
          <a:extLst>
            <a:ext uri="{FF2B5EF4-FFF2-40B4-BE49-F238E27FC236}">
              <a16:creationId xmlns:a16="http://schemas.microsoft.com/office/drawing/2014/main" id="{00000000-0008-0000-0800-00002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6" name="Text Box 97">
          <a:extLst>
            <a:ext uri="{FF2B5EF4-FFF2-40B4-BE49-F238E27FC236}">
              <a16:creationId xmlns:a16="http://schemas.microsoft.com/office/drawing/2014/main" id="{00000000-0008-0000-0800-00002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7" name="Text Box 100">
          <a:extLst>
            <a:ext uri="{FF2B5EF4-FFF2-40B4-BE49-F238E27FC236}">
              <a16:creationId xmlns:a16="http://schemas.microsoft.com/office/drawing/2014/main" id="{00000000-0008-0000-0800-00002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8" name="Text Box 101">
          <a:extLst>
            <a:ext uri="{FF2B5EF4-FFF2-40B4-BE49-F238E27FC236}">
              <a16:creationId xmlns:a16="http://schemas.microsoft.com/office/drawing/2014/main" id="{00000000-0008-0000-0800-00002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9" name="Text Box 102">
          <a:extLst>
            <a:ext uri="{FF2B5EF4-FFF2-40B4-BE49-F238E27FC236}">
              <a16:creationId xmlns:a16="http://schemas.microsoft.com/office/drawing/2014/main" id="{00000000-0008-0000-0800-00002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0" name="Text Box 103">
          <a:extLst>
            <a:ext uri="{FF2B5EF4-FFF2-40B4-BE49-F238E27FC236}">
              <a16:creationId xmlns:a16="http://schemas.microsoft.com/office/drawing/2014/main" id="{00000000-0008-0000-0800-00003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1" name="Text Box 104">
          <a:extLst>
            <a:ext uri="{FF2B5EF4-FFF2-40B4-BE49-F238E27FC236}">
              <a16:creationId xmlns:a16="http://schemas.microsoft.com/office/drawing/2014/main" id="{00000000-0008-0000-0800-00003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2" name="Text Box 105">
          <a:extLst>
            <a:ext uri="{FF2B5EF4-FFF2-40B4-BE49-F238E27FC236}">
              <a16:creationId xmlns:a16="http://schemas.microsoft.com/office/drawing/2014/main" id="{00000000-0008-0000-0800-00003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3" name="Text Box 106">
          <a:extLst>
            <a:ext uri="{FF2B5EF4-FFF2-40B4-BE49-F238E27FC236}">
              <a16:creationId xmlns:a16="http://schemas.microsoft.com/office/drawing/2014/main" id="{00000000-0008-0000-0800-00003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4" name="Text Box 107">
          <a:extLst>
            <a:ext uri="{FF2B5EF4-FFF2-40B4-BE49-F238E27FC236}">
              <a16:creationId xmlns:a16="http://schemas.microsoft.com/office/drawing/2014/main" id="{00000000-0008-0000-0800-00003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5" name="Text Box 108">
          <a:extLst>
            <a:ext uri="{FF2B5EF4-FFF2-40B4-BE49-F238E27FC236}">
              <a16:creationId xmlns:a16="http://schemas.microsoft.com/office/drawing/2014/main" id="{00000000-0008-0000-0800-00003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6" name="Text Box 109">
          <a:extLst>
            <a:ext uri="{FF2B5EF4-FFF2-40B4-BE49-F238E27FC236}">
              <a16:creationId xmlns:a16="http://schemas.microsoft.com/office/drawing/2014/main" id="{00000000-0008-0000-0800-00003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7" name="Text Box 110">
          <a:extLst>
            <a:ext uri="{FF2B5EF4-FFF2-40B4-BE49-F238E27FC236}">
              <a16:creationId xmlns:a16="http://schemas.microsoft.com/office/drawing/2014/main" id="{00000000-0008-0000-0800-00003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8" name="Text Box 111">
          <a:extLst>
            <a:ext uri="{FF2B5EF4-FFF2-40B4-BE49-F238E27FC236}">
              <a16:creationId xmlns:a16="http://schemas.microsoft.com/office/drawing/2014/main" id="{00000000-0008-0000-0800-00003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9" name="Text Box 119">
          <a:extLst>
            <a:ext uri="{FF2B5EF4-FFF2-40B4-BE49-F238E27FC236}">
              <a16:creationId xmlns:a16="http://schemas.microsoft.com/office/drawing/2014/main" id="{00000000-0008-0000-0800-00003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0" name="Text Box 120">
          <a:extLst>
            <a:ext uri="{FF2B5EF4-FFF2-40B4-BE49-F238E27FC236}">
              <a16:creationId xmlns:a16="http://schemas.microsoft.com/office/drawing/2014/main" id="{00000000-0008-0000-0800-00003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1" name="Text Box 121">
          <a:extLst>
            <a:ext uri="{FF2B5EF4-FFF2-40B4-BE49-F238E27FC236}">
              <a16:creationId xmlns:a16="http://schemas.microsoft.com/office/drawing/2014/main" id="{00000000-0008-0000-0800-00003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2" name="Text Box 122">
          <a:extLst>
            <a:ext uri="{FF2B5EF4-FFF2-40B4-BE49-F238E27FC236}">
              <a16:creationId xmlns:a16="http://schemas.microsoft.com/office/drawing/2014/main" id="{00000000-0008-0000-0800-00003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3" name="Text Box 123">
          <a:extLst>
            <a:ext uri="{FF2B5EF4-FFF2-40B4-BE49-F238E27FC236}">
              <a16:creationId xmlns:a16="http://schemas.microsoft.com/office/drawing/2014/main" id="{00000000-0008-0000-0800-00003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4" name="Text Box 124">
          <a:extLst>
            <a:ext uri="{FF2B5EF4-FFF2-40B4-BE49-F238E27FC236}">
              <a16:creationId xmlns:a16="http://schemas.microsoft.com/office/drawing/2014/main" id="{00000000-0008-0000-0800-00003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5" name="Text Box 125">
          <a:extLst>
            <a:ext uri="{FF2B5EF4-FFF2-40B4-BE49-F238E27FC236}">
              <a16:creationId xmlns:a16="http://schemas.microsoft.com/office/drawing/2014/main" id="{00000000-0008-0000-0800-00003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6" name="Text Box 126">
          <a:extLst>
            <a:ext uri="{FF2B5EF4-FFF2-40B4-BE49-F238E27FC236}">
              <a16:creationId xmlns:a16="http://schemas.microsoft.com/office/drawing/2014/main" id="{00000000-0008-0000-0800-00004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7" name="Text Box 127">
          <a:extLst>
            <a:ext uri="{FF2B5EF4-FFF2-40B4-BE49-F238E27FC236}">
              <a16:creationId xmlns:a16="http://schemas.microsoft.com/office/drawing/2014/main" id="{00000000-0008-0000-0800-00004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8" name="Text Box 128">
          <a:extLst>
            <a:ext uri="{FF2B5EF4-FFF2-40B4-BE49-F238E27FC236}">
              <a16:creationId xmlns:a16="http://schemas.microsoft.com/office/drawing/2014/main" id="{00000000-0008-0000-0800-00004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9" name="Text Box 129">
          <a:extLst>
            <a:ext uri="{FF2B5EF4-FFF2-40B4-BE49-F238E27FC236}">
              <a16:creationId xmlns:a16="http://schemas.microsoft.com/office/drawing/2014/main" id="{00000000-0008-0000-0800-00004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60" name="Text Box 130">
          <a:extLst>
            <a:ext uri="{FF2B5EF4-FFF2-40B4-BE49-F238E27FC236}">
              <a16:creationId xmlns:a16="http://schemas.microsoft.com/office/drawing/2014/main" id="{00000000-0008-0000-0800-00004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1" name="Text Box 133">
          <a:extLst>
            <a:ext uri="{FF2B5EF4-FFF2-40B4-BE49-F238E27FC236}">
              <a16:creationId xmlns:a16="http://schemas.microsoft.com/office/drawing/2014/main" id="{00000000-0008-0000-0800-00004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2" name="Text Box 134">
          <a:extLst>
            <a:ext uri="{FF2B5EF4-FFF2-40B4-BE49-F238E27FC236}">
              <a16:creationId xmlns:a16="http://schemas.microsoft.com/office/drawing/2014/main" id="{00000000-0008-0000-0800-00004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3" name="Text Box 135">
          <a:extLst>
            <a:ext uri="{FF2B5EF4-FFF2-40B4-BE49-F238E27FC236}">
              <a16:creationId xmlns:a16="http://schemas.microsoft.com/office/drawing/2014/main" id="{00000000-0008-0000-0800-00004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4" name="Text Box 136">
          <a:extLst>
            <a:ext uri="{FF2B5EF4-FFF2-40B4-BE49-F238E27FC236}">
              <a16:creationId xmlns:a16="http://schemas.microsoft.com/office/drawing/2014/main" id="{00000000-0008-0000-0800-00004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5" name="Text Box 137">
          <a:extLst>
            <a:ext uri="{FF2B5EF4-FFF2-40B4-BE49-F238E27FC236}">
              <a16:creationId xmlns:a16="http://schemas.microsoft.com/office/drawing/2014/main" id="{00000000-0008-0000-0800-00004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6" name="Text Box 138">
          <a:extLst>
            <a:ext uri="{FF2B5EF4-FFF2-40B4-BE49-F238E27FC236}">
              <a16:creationId xmlns:a16="http://schemas.microsoft.com/office/drawing/2014/main" id="{00000000-0008-0000-0800-00004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7" name="Text Box 139">
          <a:extLst>
            <a:ext uri="{FF2B5EF4-FFF2-40B4-BE49-F238E27FC236}">
              <a16:creationId xmlns:a16="http://schemas.microsoft.com/office/drawing/2014/main" id="{00000000-0008-0000-0800-00004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8" name="Text Box 140">
          <a:extLst>
            <a:ext uri="{FF2B5EF4-FFF2-40B4-BE49-F238E27FC236}">
              <a16:creationId xmlns:a16="http://schemas.microsoft.com/office/drawing/2014/main" id="{00000000-0008-0000-0800-00004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9" name="Text Box 141">
          <a:extLst>
            <a:ext uri="{FF2B5EF4-FFF2-40B4-BE49-F238E27FC236}">
              <a16:creationId xmlns:a16="http://schemas.microsoft.com/office/drawing/2014/main" id="{00000000-0008-0000-0800-00004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0" name="Text Box 142">
          <a:extLst>
            <a:ext uri="{FF2B5EF4-FFF2-40B4-BE49-F238E27FC236}">
              <a16:creationId xmlns:a16="http://schemas.microsoft.com/office/drawing/2014/main" id="{00000000-0008-0000-0800-00004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1" name="Text Box 143">
          <a:extLst>
            <a:ext uri="{FF2B5EF4-FFF2-40B4-BE49-F238E27FC236}">
              <a16:creationId xmlns:a16="http://schemas.microsoft.com/office/drawing/2014/main" id="{00000000-0008-0000-0800-00004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2" name="Text Box 144">
          <a:extLst>
            <a:ext uri="{FF2B5EF4-FFF2-40B4-BE49-F238E27FC236}">
              <a16:creationId xmlns:a16="http://schemas.microsoft.com/office/drawing/2014/main" id="{00000000-0008-0000-0800-00005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3" name="Text Box 145">
          <a:extLst>
            <a:ext uri="{FF2B5EF4-FFF2-40B4-BE49-F238E27FC236}">
              <a16:creationId xmlns:a16="http://schemas.microsoft.com/office/drawing/2014/main" id="{00000000-0008-0000-0800-00005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4" name="Text Box 146">
          <a:extLst>
            <a:ext uri="{FF2B5EF4-FFF2-40B4-BE49-F238E27FC236}">
              <a16:creationId xmlns:a16="http://schemas.microsoft.com/office/drawing/2014/main" id="{00000000-0008-0000-0800-00005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5" name="Text Box 147">
          <a:extLst>
            <a:ext uri="{FF2B5EF4-FFF2-40B4-BE49-F238E27FC236}">
              <a16:creationId xmlns:a16="http://schemas.microsoft.com/office/drawing/2014/main" id="{00000000-0008-0000-0800-00005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6" name="Text Box 148">
          <a:extLst>
            <a:ext uri="{FF2B5EF4-FFF2-40B4-BE49-F238E27FC236}">
              <a16:creationId xmlns:a16="http://schemas.microsoft.com/office/drawing/2014/main" id="{00000000-0008-0000-0800-00005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7" name="Text Box 149">
          <a:extLst>
            <a:ext uri="{FF2B5EF4-FFF2-40B4-BE49-F238E27FC236}">
              <a16:creationId xmlns:a16="http://schemas.microsoft.com/office/drawing/2014/main" id="{00000000-0008-0000-0800-00005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8" name="Text Box 150">
          <a:extLst>
            <a:ext uri="{FF2B5EF4-FFF2-40B4-BE49-F238E27FC236}">
              <a16:creationId xmlns:a16="http://schemas.microsoft.com/office/drawing/2014/main" id="{00000000-0008-0000-0800-00005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9" name="Text Box 151">
          <a:extLst>
            <a:ext uri="{FF2B5EF4-FFF2-40B4-BE49-F238E27FC236}">
              <a16:creationId xmlns:a16="http://schemas.microsoft.com/office/drawing/2014/main" id="{00000000-0008-0000-0800-00005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0" name="Text Box 152">
          <a:extLst>
            <a:ext uri="{FF2B5EF4-FFF2-40B4-BE49-F238E27FC236}">
              <a16:creationId xmlns:a16="http://schemas.microsoft.com/office/drawing/2014/main" id="{00000000-0008-0000-0800-00005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1" name="Text Box 153">
          <a:extLst>
            <a:ext uri="{FF2B5EF4-FFF2-40B4-BE49-F238E27FC236}">
              <a16:creationId xmlns:a16="http://schemas.microsoft.com/office/drawing/2014/main" id="{00000000-0008-0000-0800-00005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2" name="Text Box 154">
          <a:extLst>
            <a:ext uri="{FF2B5EF4-FFF2-40B4-BE49-F238E27FC236}">
              <a16:creationId xmlns:a16="http://schemas.microsoft.com/office/drawing/2014/main" id="{00000000-0008-0000-0800-00005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3" name="Text Box 155">
          <a:extLst>
            <a:ext uri="{FF2B5EF4-FFF2-40B4-BE49-F238E27FC236}">
              <a16:creationId xmlns:a16="http://schemas.microsoft.com/office/drawing/2014/main" id="{00000000-0008-0000-0800-00005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4" name="Text Box 156">
          <a:extLst>
            <a:ext uri="{FF2B5EF4-FFF2-40B4-BE49-F238E27FC236}">
              <a16:creationId xmlns:a16="http://schemas.microsoft.com/office/drawing/2014/main" id="{00000000-0008-0000-0800-00005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5" name="Text Box 157">
          <a:extLst>
            <a:ext uri="{FF2B5EF4-FFF2-40B4-BE49-F238E27FC236}">
              <a16:creationId xmlns:a16="http://schemas.microsoft.com/office/drawing/2014/main" id="{00000000-0008-0000-0800-00005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6" name="Text Box 158">
          <a:extLst>
            <a:ext uri="{FF2B5EF4-FFF2-40B4-BE49-F238E27FC236}">
              <a16:creationId xmlns:a16="http://schemas.microsoft.com/office/drawing/2014/main" id="{00000000-0008-0000-0800-00005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7" name="Text Box 159">
          <a:extLst>
            <a:ext uri="{FF2B5EF4-FFF2-40B4-BE49-F238E27FC236}">
              <a16:creationId xmlns:a16="http://schemas.microsoft.com/office/drawing/2014/main" id="{00000000-0008-0000-0800-00005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8" name="Text Box 160">
          <a:extLst>
            <a:ext uri="{FF2B5EF4-FFF2-40B4-BE49-F238E27FC236}">
              <a16:creationId xmlns:a16="http://schemas.microsoft.com/office/drawing/2014/main" id="{00000000-0008-0000-0800-00006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9" name="Text Box 161">
          <a:extLst>
            <a:ext uri="{FF2B5EF4-FFF2-40B4-BE49-F238E27FC236}">
              <a16:creationId xmlns:a16="http://schemas.microsoft.com/office/drawing/2014/main" id="{00000000-0008-0000-0800-00006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0" name="Text Box 162">
          <a:extLst>
            <a:ext uri="{FF2B5EF4-FFF2-40B4-BE49-F238E27FC236}">
              <a16:creationId xmlns:a16="http://schemas.microsoft.com/office/drawing/2014/main" id="{00000000-0008-0000-0800-00006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1" name="Text Box 163">
          <a:extLst>
            <a:ext uri="{FF2B5EF4-FFF2-40B4-BE49-F238E27FC236}">
              <a16:creationId xmlns:a16="http://schemas.microsoft.com/office/drawing/2014/main" id="{00000000-0008-0000-0800-00006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2" name="Text Box 164">
          <a:extLst>
            <a:ext uri="{FF2B5EF4-FFF2-40B4-BE49-F238E27FC236}">
              <a16:creationId xmlns:a16="http://schemas.microsoft.com/office/drawing/2014/main" id="{00000000-0008-0000-0800-00006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3" name="Text Box 165">
          <a:extLst>
            <a:ext uri="{FF2B5EF4-FFF2-40B4-BE49-F238E27FC236}">
              <a16:creationId xmlns:a16="http://schemas.microsoft.com/office/drawing/2014/main" id="{00000000-0008-0000-0800-00006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4" name="Text Box 166">
          <a:extLst>
            <a:ext uri="{FF2B5EF4-FFF2-40B4-BE49-F238E27FC236}">
              <a16:creationId xmlns:a16="http://schemas.microsoft.com/office/drawing/2014/main" id="{00000000-0008-0000-0800-00006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5" name="Text Box 167">
          <a:extLst>
            <a:ext uri="{FF2B5EF4-FFF2-40B4-BE49-F238E27FC236}">
              <a16:creationId xmlns:a16="http://schemas.microsoft.com/office/drawing/2014/main" id="{00000000-0008-0000-0800-00006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6" name="Text Box 168">
          <a:extLst>
            <a:ext uri="{FF2B5EF4-FFF2-40B4-BE49-F238E27FC236}">
              <a16:creationId xmlns:a16="http://schemas.microsoft.com/office/drawing/2014/main" id="{00000000-0008-0000-0800-00006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7" name="Text Box 169">
          <a:extLst>
            <a:ext uri="{FF2B5EF4-FFF2-40B4-BE49-F238E27FC236}">
              <a16:creationId xmlns:a16="http://schemas.microsoft.com/office/drawing/2014/main" id="{00000000-0008-0000-0800-00006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8" name="Text Box 170">
          <a:extLst>
            <a:ext uri="{FF2B5EF4-FFF2-40B4-BE49-F238E27FC236}">
              <a16:creationId xmlns:a16="http://schemas.microsoft.com/office/drawing/2014/main" id="{00000000-0008-0000-0800-00006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9" name="Text Box 171">
          <a:extLst>
            <a:ext uri="{FF2B5EF4-FFF2-40B4-BE49-F238E27FC236}">
              <a16:creationId xmlns:a16="http://schemas.microsoft.com/office/drawing/2014/main" id="{00000000-0008-0000-0800-00006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0" name="Text Box 172">
          <a:extLst>
            <a:ext uri="{FF2B5EF4-FFF2-40B4-BE49-F238E27FC236}">
              <a16:creationId xmlns:a16="http://schemas.microsoft.com/office/drawing/2014/main" id="{00000000-0008-0000-0800-00006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1" name="Text Box 173">
          <a:extLst>
            <a:ext uri="{FF2B5EF4-FFF2-40B4-BE49-F238E27FC236}">
              <a16:creationId xmlns:a16="http://schemas.microsoft.com/office/drawing/2014/main" id="{00000000-0008-0000-0800-00006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2" name="Text Box 174">
          <a:extLst>
            <a:ext uri="{FF2B5EF4-FFF2-40B4-BE49-F238E27FC236}">
              <a16:creationId xmlns:a16="http://schemas.microsoft.com/office/drawing/2014/main" id="{00000000-0008-0000-0800-00006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3" name="Text Box 175">
          <a:extLst>
            <a:ext uri="{FF2B5EF4-FFF2-40B4-BE49-F238E27FC236}">
              <a16:creationId xmlns:a16="http://schemas.microsoft.com/office/drawing/2014/main" id="{00000000-0008-0000-0800-00006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4" name="Text Box 176">
          <a:extLst>
            <a:ext uri="{FF2B5EF4-FFF2-40B4-BE49-F238E27FC236}">
              <a16:creationId xmlns:a16="http://schemas.microsoft.com/office/drawing/2014/main" id="{00000000-0008-0000-0800-00007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5" name="Text Box 177">
          <a:extLst>
            <a:ext uri="{FF2B5EF4-FFF2-40B4-BE49-F238E27FC236}">
              <a16:creationId xmlns:a16="http://schemas.microsoft.com/office/drawing/2014/main" id="{00000000-0008-0000-0800-00007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6" name="Text Box 178">
          <a:extLst>
            <a:ext uri="{FF2B5EF4-FFF2-40B4-BE49-F238E27FC236}">
              <a16:creationId xmlns:a16="http://schemas.microsoft.com/office/drawing/2014/main" id="{00000000-0008-0000-0800-00007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7" name="Text Box 179">
          <a:extLst>
            <a:ext uri="{FF2B5EF4-FFF2-40B4-BE49-F238E27FC236}">
              <a16:creationId xmlns:a16="http://schemas.microsoft.com/office/drawing/2014/main" id="{00000000-0008-0000-0800-00007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8" name="Text Box 180">
          <a:extLst>
            <a:ext uri="{FF2B5EF4-FFF2-40B4-BE49-F238E27FC236}">
              <a16:creationId xmlns:a16="http://schemas.microsoft.com/office/drawing/2014/main" id="{00000000-0008-0000-0800-00007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9" name="Text Box 181">
          <a:extLst>
            <a:ext uri="{FF2B5EF4-FFF2-40B4-BE49-F238E27FC236}">
              <a16:creationId xmlns:a16="http://schemas.microsoft.com/office/drawing/2014/main" id="{00000000-0008-0000-0800-00007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0" name="Text Box 182">
          <a:extLst>
            <a:ext uri="{FF2B5EF4-FFF2-40B4-BE49-F238E27FC236}">
              <a16:creationId xmlns:a16="http://schemas.microsoft.com/office/drawing/2014/main" id="{00000000-0008-0000-0800-00007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1" name="Text Box 183">
          <a:extLst>
            <a:ext uri="{FF2B5EF4-FFF2-40B4-BE49-F238E27FC236}">
              <a16:creationId xmlns:a16="http://schemas.microsoft.com/office/drawing/2014/main" id="{00000000-0008-0000-0800-00007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2" name="Text Box 184">
          <a:extLst>
            <a:ext uri="{FF2B5EF4-FFF2-40B4-BE49-F238E27FC236}">
              <a16:creationId xmlns:a16="http://schemas.microsoft.com/office/drawing/2014/main" id="{00000000-0008-0000-0800-00007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3" name="Text Box 185">
          <a:extLst>
            <a:ext uri="{FF2B5EF4-FFF2-40B4-BE49-F238E27FC236}">
              <a16:creationId xmlns:a16="http://schemas.microsoft.com/office/drawing/2014/main" id="{00000000-0008-0000-0800-00007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4" name="Text Box 186">
          <a:extLst>
            <a:ext uri="{FF2B5EF4-FFF2-40B4-BE49-F238E27FC236}">
              <a16:creationId xmlns:a16="http://schemas.microsoft.com/office/drawing/2014/main" id="{00000000-0008-0000-0800-00007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5" name="Text Box 187">
          <a:extLst>
            <a:ext uri="{FF2B5EF4-FFF2-40B4-BE49-F238E27FC236}">
              <a16:creationId xmlns:a16="http://schemas.microsoft.com/office/drawing/2014/main" id="{00000000-0008-0000-0800-00007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6" name="Text Box 188">
          <a:extLst>
            <a:ext uri="{FF2B5EF4-FFF2-40B4-BE49-F238E27FC236}">
              <a16:creationId xmlns:a16="http://schemas.microsoft.com/office/drawing/2014/main" id="{00000000-0008-0000-0800-00007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7" name="Text Box 189">
          <a:extLst>
            <a:ext uri="{FF2B5EF4-FFF2-40B4-BE49-F238E27FC236}">
              <a16:creationId xmlns:a16="http://schemas.microsoft.com/office/drawing/2014/main" id="{00000000-0008-0000-0800-00007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8" name="Text Box 190">
          <a:extLst>
            <a:ext uri="{FF2B5EF4-FFF2-40B4-BE49-F238E27FC236}">
              <a16:creationId xmlns:a16="http://schemas.microsoft.com/office/drawing/2014/main" id="{00000000-0008-0000-0800-00007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9" name="Text Box 191">
          <a:extLst>
            <a:ext uri="{FF2B5EF4-FFF2-40B4-BE49-F238E27FC236}">
              <a16:creationId xmlns:a16="http://schemas.microsoft.com/office/drawing/2014/main" id="{00000000-0008-0000-0800-00007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0" name="Text Box 192">
          <a:extLst>
            <a:ext uri="{FF2B5EF4-FFF2-40B4-BE49-F238E27FC236}">
              <a16:creationId xmlns:a16="http://schemas.microsoft.com/office/drawing/2014/main" id="{00000000-0008-0000-0800-00008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1" name="Text Box 193">
          <a:extLst>
            <a:ext uri="{FF2B5EF4-FFF2-40B4-BE49-F238E27FC236}">
              <a16:creationId xmlns:a16="http://schemas.microsoft.com/office/drawing/2014/main" id="{00000000-0008-0000-0800-00008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2" name="Text Box 194">
          <a:extLst>
            <a:ext uri="{FF2B5EF4-FFF2-40B4-BE49-F238E27FC236}">
              <a16:creationId xmlns:a16="http://schemas.microsoft.com/office/drawing/2014/main" id="{00000000-0008-0000-0800-00008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3" name="Text Box 195">
          <a:extLst>
            <a:ext uri="{FF2B5EF4-FFF2-40B4-BE49-F238E27FC236}">
              <a16:creationId xmlns:a16="http://schemas.microsoft.com/office/drawing/2014/main" id="{00000000-0008-0000-0800-00008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4" name="Text Box 196">
          <a:extLst>
            <a:ext uri="{FF2B5EF4-FFF2-40B4-BE49-F238E27FC236}">
              <a16:creationId xmlns:a16="http://schemas.microsoft.com/office/drawing/2014/main" id="{00000000-0008-0000-0800-00008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5" name="Text Box 197">
          <a:extLst>
            <a:ext uri="{FF2B5EF4-FFF2-40B4-BE49-F238E27FC236}">
              <a16:creationId xmlns:a16="http://schemas.microsoft.com/office/drawing/2014/main" id="{00000000-0008-0000-0800-00008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6" name="Text Box 198">
          <a:extLst>
            <a:ext uri="{FF2B5EF4-FFF2-40B4-BE49-F238E27FC236}">
              <a16:creationId xmlns:a16="http://schemas.microsoft.com/office/drawing/2014/main" id="{00000000-0008-0000-0800-00008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7" name="Text Box 199">
          <a:extLst>
            <a:ext uri="{FF2B5EF4-FFF2-40B4-BE49-F238E27FC236}">
              <a16:creationId xmlns:a16="http://schemas.microsoft.com/office/drawing/2014/main" id="{00000000-0008-0000-0800-00008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8" name="Text Box 200">
          <a:extLst>
            <a:ext uri="{FF2B5EF4-FFF2-40B4-BE49-F238E27FC236}">
              <a16:creationId xmlns:a16="http://schemas.microsoft.com/office/drawing/2014/main" id="{00000000-0008-0000-0800-00008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9" name="Text Box 201">
          <a:extLst>
            <a:ext uri="{FF2B5EF4-FFF2-40B4-BE49-F238E27FC236}">
              <a16:creationId xmlns:a16="http://schemas.microsoft.com/office/drawing/2014/main" id="{00000000-0008-0000-0800-00008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30" name="Text Box 202">
          <a:extLst>
            <a:ext uri="{FF2B5EF4-FFF2-40B4-BE49-F238E27FC236}">
              <a16:creationId xmlns:a16="http://schemas.microsoft.com/office/drawing/2014/main" id="{00000000-0008-0000-0800-00008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1" name="Text Box 203">
          <a:extLst>
            <a:ext uri="{FF2B5EF4-FFF2-40B4-BE49-F238E27FC236}">
              <a16:creationId xmlns:a16="http://schemas.microsoft.com/office/drawing/2014/main" id="{00000000-0008-0000-0800-00008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2" name="Text Box 204">
          <a:extLst>
            <a:ext uri="{FF2B5EF4-FFF2-40B4-BE49-F238E27FC236}">
              <a16:creationId xmlns:a16="http://schemas.microsoft.com/office/drawing/2014/main" id="{00000000-0008-0000-0800-00008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3" name="Text Box 205">
          <a:extLst>
            <a:ext uri="{FF2B5EF4-FFF2-40B4-BE49-F238E27FC236}">
              <a16:creationId xmlns:a16="http://schemas.microsoft.com/office/drawing/2014/main" id="{00000000-0008-0000-0800-00008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4" name="Text Box 206">
          <a:extLst>
            <a:ext uri="{FF2B5EF4-FFF2-40B4-BE49-F238E27FC236}">
              <a16:creationId xmlns:a16="http://schemas.microsoft.com/office/drawing/2014/main" id="{00000000-0008-0000-0800-00008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5" name="Text Box 207">
          <a:extLst>
            <a:ext uri="{FF2B5EF4-FFF2-40B4-BE49-F238E27FC236}">
              <a16:creationId xmlns:a16="http://schemas.microsoft.com/office/drawing/2014/main" id="{00000000-0008-0000-0800-00008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6" name="Text Box 208">
          <a:extLst>
            <a:ext uri="{FF2B5EF4-FFF2-40B4-BE49-F238E27FC236}">
              <a16:creationId xmlns:a16="http://schemas.microsoft.com/office/drawing/2014/main" id="{00000000-0008-0000-0800-00009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7" name="Text Box 209">
          <a:extLst>
            <a:ext uri="{FF2B5EF4-FFF2-40B4-BE49-F238E27FC236}">
              <a16:creationId xmlns:a16="http://schemas.microsoft.com/office/drawing/2014/main" id="{00000000-0008-0000-0800-00009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8" name="Text Box 210">
          <a:extLst>
            <a:ext uri="{FF2B5EF4-FFF2-40B4-BE49-F238E27FC236}">
              <a16:creationId xmlns:a16="http://schemas.microsoft.com/office/drawing/2014/main" id="{00000000-0008-0000-0800-00009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9" name="Text Box 211">
          <a:extLst>
            <a:ext uri="{FF2B5EF4-FFF2-40B4-BE49-F238E27FC236}">
              <a16:creationId xmlns:a16="http://schemas.microsoft.com/office/drawing/2014/main" id="{00000000-0008-0000-0800-00009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0" name="Text Box 212">
          <a:extLst>
            <a:ext uri="{FF2B5EF4-FFF2-40B4-BE49-F238E27FC236}">
              <a16:creationId xmlns:a16="http://schemas.microsoft.com/office/drawing/2014/main" id="{00000000-0008-0000-0800-00009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1" name="Text Box 213">
          <a:extLst>
            <a:ext uri="{FF2B5EF4-FFF2-40B4-BE49-F238E27FC236}">
              <a16:creationId xmlns:a16="http://schemas.microsoft.com/office/drawing/2014/main" id="{00000000-0008-0000-0800-00009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2" name="Text Box 214">
          <a:extLst>
            <a:ext uri="{FF2B5EF4-FFF2-40B4-BE49-F238E27FC236}">
              <a16:creationId xmlns:a16="http://schemas.microsoft.com/office/drawing/2014/main" id="{00000000-0008-0000-0800-00009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3" name="Text Box 215">
          <a:extLst>
            <a:ext uri="{FF2B5EF4-FFF2-40B4-BE49-F238E27FC236}">
              <a16:creationId xmlns:a16="http://schemas.microsoft.com/office/drawing/2014/main" id="{00000000-0008-0000-0800-00009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4" name="Text Box 216">
          <a:extLst>
            <a:ext uri="{FF2B5EF4-FFF2-40B4-BE49-F238E27FC236}">
              <a16:creationId xmlns:a16="http://schemas.microsoft.com/office/drawing/2014/main" id="{00000000-0008-0000-0800-00009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5" name="Text Box 217">
          <a:extLst>
            <a:ext uri="{FF2B5EF4-FFF2-40B4-BE49-F238E27FC236}">
              <a16:creationId xmlns:a16="http://schemas.microsoft.com/office/drawing/2014/main" id="{00000000-0008-0000-0800-00009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6" name="Text Box 218">
          <a:extLst>
            <a:ext uri="{FF2B5EF4-FFF2-40B4-BE49-F238E27FC236}">
              <a16:creationId xmlns:a16="http://schemas.microsoft.com/office/drawing/2014/main" id="{00000000-0008-0000-0800-00009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7" name="Text Box 219">
          <a:extLst>
            <a:ext uri="{FF2B5EF4-FFF2-40B4-BE49-F238E27FC236}">
              <a16:creationId xmlns:a16="http://schemas.microsoft.com/office/drawing/2014/main" id="{00000000-0008-0000-0800-00009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8" name="Text Box 220">
          <a:extLst>
            <a:ext uri="{FF2B5EF4-FFF2-40B4-BE49-F238E27FC236}">
              <a16:creationId xmlns:a16="http://schemas.microsoft.com/office/drawing/2014/main" id="{00000000-0008-0000-0800-00009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9" name="Text Box 221">
          <a:extLst>
            <a:ext uri="{FF2B5EF4-FFF2-40B4-BE49-F238E27FC236}">
              <a16:creationId xmlns:a16="http://schemas.microsoft.com/office/drawing/2014/main" id="{00000000-0008-0000-0800-00009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0" name="Text Box 222">
          <a:extLst>
            <a:ext uri="{FF2B5EF4-FFF2-40B4-BE49-F238E27FC236}">
              <a16:creationId xmlns:a16="http://schemas.microsoft.com/office/drawing/2014/main" id="{00000000-0008-0000-0800-00009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1" name="Text Box 223">
          <a:extLst>
            <a:ext uri="{FF2B5EF4-FFF2-40B4-BE49-F238E27FC236}">
              <a16:creationId xmlns:a16="http://schemas.microsoft.com/office/drawing/2014/main" id="{00000000-0008-0000-0800-00009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2" name="Text Box 224">
          <a:extLst>
            <a:ext uri="{FF2B5EF4-FFF2-40B4-BE49-F238E27FC236}">
              <a16:creationId xmlns:a16="http://schemas.microsoft.com/office/drawing/2014/main" id="{00000000-0008-0000-0800-0000A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3" name="Text Box 225">
          <a:extLst>
            <a:ext uri="{FF2B5EF4-FFF2-40B4-BE49-F238E27FC236}">
              <a16:creationId xmlns:a16="http://schemas.microsoft.com/office/drawing/2014/main" id="{00000000-0008-0000-0800-0000A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4" name="Text Box 226">
          <a:extLst>
            <a:ext uri="{FF2B5EF4-FFF2-40B4-BE49-F238E27FC236}">
              <a16:creationId xmlns:a16="http://schemas.microsoft.com/office/drawing/2014/main" id="{00000000-0008-0000-0800-0000A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5" name="Text Box 227">
          <a:extLst>
            <a:ext uri="{FF2B5EF4-FFF2-40B4-BE49-F238E27FC236}">
              <a16:creationId xmlns:a16="http://schemas.microsoft.com/office/drawing/2014/main" id="{00000000-0008-0000-0800-0000A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6" name="Text Box 228">
          <a:extLst>
            <a:ext uri="{FF2B5EF4-FFF2-40B4-BE49-F238E27FC236}">
              <a16:creationId xmlns:a16="http://schemas.microsoft.com/office/drawing/2014/main" id="{00000000-0008-0000-0800-0000A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7" name="Text Box 229">
          <a:extLst>
            <a:ext uri="{FF2B5EF4-FFF2-40B4-BE49-F238E27FC236}">
              <a16:creationId xmlns:a16="http://schemas.microsoft.com/office/drawing/2014/main" id="{00000000-0008-0000-0800-0000A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8" name="Text Box 230">
          <a:extLst>
            <a:ext uri="{FF2B5EF4-FFF2-40B4-BE49-F238E27FC236}">
              <a16:creationId xmlns:a16="http://schemas.microsoft.com/office/drawing/2014/main" id="{00000000-0008-0000-0800-0000A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9" name="Text Box 231">
          <a:extLst>
            <a:ext uri="{FF2B5EF4-FFF2-40B4-BE49-F238E27FC236}">
              <a16:creationId xmlns:a16="http://schemas.microsoft.com/office/drawing/2014/main" id="{00000000-0008-0000-0800-0000A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0" name="Text Box 232">
          <a:extLst>
            <a:ext uri="{FF2B5EF4-FFF2-40B4-BE49-F238E27FC236}">
              <a16:creationId xmlns:a16="http://schemas.microsoft.com/office/drawing/2014/main" id="{00000000-0008-0000-0800-0000A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1" name="Text Box 233">
          <a:extLst>
            <a:ext uri="{FF2B5EF4-FFF2-40B4-BE49-F238E27FC236}">
              <a16:creationId xmlns:a16="http://schemas.microsoft.com/office/drawing/2014/main" id="{00000000-0008-0000-0800-0000A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2" name="Text Box 234">
          <a:extLst>
            <a:ext uri="{FF2B5EF4-FFF2-40B4-BE49-F238E27FC236}">
              <a16:creationId xmlns:a16="http://schemas.microsoft.com/office/drawing/2014/main" id="{00000000-0008-0000-0800-0000A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3" name="Text Box 235">
          <a:extLst>
            <a:ext uri="{FF2B5EF4-FFF2-40B4-BE49-F238E27FC236}">
              <a16:creationId xmlns:a16="http://schemas.microsoft.com/office/drawing/2014/main" id="{00000000-0008-0000-0800-0000A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4" name="Text Box 236">
          <a:extLst>
            <a:ext uri="{FF2B5EF4-FFF2-40B4-BE49-F238E27FC236}">
              <a16:creationId xmlns:a16="http://schemas.microsoft.com/office/drawing/2014/main" id="{00000000-0008-0000-0800-0000A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5" name="Text Box 237">
          <a:extLst>
            <a:ext uri="{FF2B5EF4-FFF2-40B4-BE49-F238E27FC236}">
              <a16:creationId xmlns:a16="http://schemas.microsoft.com/office/drawing/2014/main" id="{00000000-0008-0000-0800-0000A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6" name="Text Box 238">
          <a:extLst>
            <a:ext uri="{FF2B5EF4-FFF2-40B4-BE49-F238E27FC236}">
              <a16:creationId xmlns:a16="http://schemas.microsoft.com/office/drawing/2014/main" id="{00000000-0008-0000-0800-0000A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7" name="Text Box 239">
          <a:extLst>
            <a:ext uri="{FF2B5EF4-FFF2-40B4-BE49-F238E27FC236}">
              <a16:creationId xmlns:a16="http://schemas.microsoft.com/office/drawing/2014/main" id="{00000000-0008-0000-0800-0000A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8" name="Text Box 240">
          <a:extLst>
            <a:ext uri="{FF2B5EF4-FFF2-40B4-BE49-F238E27FC236}">
              <a16:creationId xmlns:a16="http://schemas.microsoft.com/office/drawing/2014/main" id="{00000000-0008-0000-0800-0000B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9" name="Text Box 241">
          <a:extLst>
            <a:ext uri="{FF2B5EF4-FFF2-40B4-BE49-F238E27FC236}">
              <a16:creationId xmlns:a16="http://schemas.microsoft.com/office/drawing/2014/main" id="{00000000-0008-0000-0800-0000B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0" name="Text Box 242">
          <a:extLst>
            <a:ext uri="{FF2B5EF4-FFF2-40B4-BE49-F238E27FC236}">
              <a16:creationId xmlns:a16="http://schemas.microsoft.com/office/drawing/2014/main" id="{00000000-0008-0000-0800-0000B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1" name="Text Box 243">
          <a:extLst>
            <a:ext uri="{FF2B5EF4-FFF2-40B4-BE49-F238E27FC236}">
              <a16:creationId xmlns:a16="http://schemas.microsoft.com/office/drawing/2014/main" id="{00000000-0008-0000-0800-0000B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2" name="Text Box 244">
          <a:extLst>
            <a:ext uri="{FF2B5EF4-FFF2-40B4-BE49-F238E27FC236}">
              <a16:creationId xmlns:a16="http://schemas.microsoft.com/office/drawing/2014/main" id="{00000000-0008-0000-0800-0000B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3" name="Text Box 245">
          <a:extLst>
            <a:ext uri="{FF2B5EF4-FFF2-40B4-BE49-F238E27FC236}">
              <a16:creationId xmlns:a16="http://schemas.microsoft.com/office/drawing/2014/main" id="{00000000-0008-0000-0800-0000B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4" name="Text Box 246">
          <a:extLst>
            <a:ext uri="{FF2B5EF4-FFF2-40B4-BE49-F238E27FC236}">
              <a16:creationId xmlns:a16="http://schemas.microsoft.com/office/drawing/2014/main" id="{00000000-0008-0000-0800-0000B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5" name="Text Box 247">
          <a:extLst>
            <a:ext uri="{FF2B5EF4-FFF2-40B4-BE49-F238E27FC236}">
              <a16:creationId xmlns:a16="http://schemas.microsoft.com/office/drawing/2014/main" id="{00000000-0008-0000-0800-0000B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6" name="Text Box 248">
          <a:extLst>
            <a:ext uri="{FF2B5EF4-FFF2-40B4-BE49-F238E27FC236}">
              <a16:creationId xmlns:a16="http://schemas.microsoft.com/office/drawing/2014/main" id="{00000000-0008-0000-0800-0000B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7" name="Text Box 249">
          <a:extLst>
            <a:ext uri="{FF2B5EF4-FFF2-40B4-BE49-F238E27FC236}">
              <a16:creationId xmlns:a16="http://schemas.microsoft.com/office/drawing/2014/main" id="{00000000-0008-0000-0800-0000B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8" name="Text Box 250">
          <a:extLst>
            <a:ext uri="{FF2B5EF4-FFF2-40B4-BE49-F238E27FC236}">
              <a16:creationId xmlns:a16="http://schemas.microsoft.com/office/drawing/2014/main" id="{00000000-0008-0000-0800-0000B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9" name="Text Box 251">
          <a:extLst>
            <a:ext uri="{FF2B5EF4-FFF2-40B4-BE49-F238E27FC236}">
              <a16:creationId xmlns:a16="http://schemas.microsoft.com/office/drawing/2014/main" id="{00000000-0008-0000-0800-0000B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0" name="Text Box 252">
          <a:extLst>
            <a:ext uri="{FF2B5EF4-FFF2-40B4-BE49-F238E27FC236}">
              <a16:creationId xmlns:a16="http://schemas.microsoft.com/office/drawing/2014/main" id="{00000000-0008-0000-0800-0000B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1" name="Text Box 253">
          <a:extLst>
            <a:ext uri="{FF2B5EF4-FFF2-40B4-BE49-F238E27FC236}">
              <a16:creationId xmlns:a16="http://schemas.microsoft.com/office/drawing/2014/main" id="{00000000-0008-0000-0800-0000B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2" name="Text Box 254">
          <a:extLst>
            <a:ext uri="{FF2B5EF4-FFF2-40B4-BE49-F238E27FC236}">
              <a16:creationId xmlns:a16="http://schemas.microsoft.com/office/drawing/2014/main" id="{00000000-0008-0000-0800-0000B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3" name="Text Box 255">
          <a:extLst>
            <a:ext uri="{FF2B5EF4-FFF2-40B4-BE49-F238E27FC236}">
              <a16:creationId xmlns:a16="http://schemas.microsoft.com/office/drawing/2014/main" id="{00000000-0008-0000-0800-0000B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4" name="Text Box 256">
          <a:extLst>
            <a:ext uri="{FF2B5EF4-FFF2-40B4-BE49-F238E27FC236}">
              <a16:creationId xmlns:a16="http://schemas.microsoft.com/office/drawing/2014/main" id="{00000000-0008-0000-0800-0000C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5" name="Text Box 257">
          <a:extLst>
            <a:ext uri="{FF2B5EF4-FFF2-40B4-BE49-F238E27FC236}">
              <a16:creationId xmlns:a16="http://schemas.microsoft.com/office/drawing/2014/main" id="{00000000-0008-0000-0800-0000C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6" name="Text Box 258">
          <a:extLst>
            <a:ext uri="{FF2B5EF4-FFF2-40B4-BE49-F238E27FC236}">
              <a16:creationId xmlns:a16="http://schemas.microsoft.com/office/drawing/2014/main" id="{00000000-0008-0000-0800-0000C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7" name="Text Box 259">
          <a:extLst>
            <a:ext uri="{FF2B5EF4-FFF2-40B4-BE49-F238E27FC236}">
              <a16:creationId xmlns:a16="http://schemas.microsoft.com/office/drawing/2014/main" id="{00000000-0008-0000-0800-0000C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8" name="Text Box 260">
          <a:extLst>
            <a:ext uri="{FF2B5EF4-FFF2-40B4-BE49-F238E27FC236}">
              <a16:creationId xmlns:a16="http://schemas.microsoft.com/office/drawing/2014/main" id="{00000000-0008-0000-0800-0000C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9" name="Text Box 261">
          <a:extLst>
            <a:ext uri="{FF2B5EF4-FFF2-40B4-BE49-F238E27FC236}">
              <a16:creationId xmlns:a16="http://schemas.microsoft.com/office/drawing/2014/main" id="{00000000-0008-0000-0800-0000C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0" name="Text Box 262">
          <a:extLst>
            <a:ext uri="{FF2B5EF4-FFF2-40B4-BE49-F238E27FC236}">
              <a16:creationId xmlns:a16="http://schemas.microsoft.com/office/drawing/2014/main" id="{00000000-0008-0000-0800-0000C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1" name="Text Box 263">
          <a:extLst>
            <a:ext uri="{FF2B5EF4-FFF2-40B4-BE49-F238E27FC236}">
              <a16:creationId xmlns:a16="http://schemas.microsoft.com/office/drawing/2014/main" id="{00000000-0008-0000-0800-0000C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2" name="Text Box 264">
          <a:extLst>
            <a:ext uri="{FF2B5EF4-FFF2-40B4-BE49-F238E27FC236}">
              <a16:creationId xmlns:a16="http://schemas.microsoft.com/office/drawing/2014/main" id="{00000000-0008-0000-0800-0000C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3" name="Text Box 265">
          <a:extLst>
            <a:ext uri="{FF2B5EF4-FFF2-40B4-BE49-F238E27FC236}">
              <a16:creationId xmlns:a16="http://schemas.microsoft.com/office/drawing/2014/main" id="{00000000-0008-0000-0800-0000C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4" name="Text Box 266">
          <a:extLst>
            <a:ext uri="{FF2B5EF4-FFF2-40B4-BE49-F238E27FC236}">
              <a16:creationId xmlns:a16="http://schemas.microsoft.com/office/drawing/2014/main" id="{00000000-0008-0000-0800-0000C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5" name="Text Box 267">
          <a:extLst>
            <a:ext uri="{FF2B5EF4-FFF2-40B4-BE49-F238E27FC236}">
              <a16:creationId xmlns:a16="http://schemas.microsoft.com/office/drawing/2014/main" id="{00000000-0008-0000-0800-0000C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6" name="Text Box 268">
          <a:extLst>
            <a:ext uri="{FF2B5EF4-FFF2-40B4-BE49-F238E27FC236}">
              <a16:creationId xmlns:a16="http://schemas.microsoft.com/office/drawing/2014/main" id="{00000000-0008-0000-0800-0000C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7" name="Text Box 269">
          <a:extLst>
            <a:ext uri="{FF2B5EF4-FFF2-40B4-BE49-F238E27FC236}">
              <a16:creationId xmlns:a16="http://schemas.microsoft.com/office/drawing/2014/main" id="{00000000-0008-0000-0800-0000C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8" name="Text Box 270">
          <a:extLst>
            <a:ext uri="{FF2B5EF4-FFF2-40B4-BE49-F238E27FC236}">
              <a16:creationId xmlns:a16="http://schemas.microsoft.com/office/drawing/2014/main" id="{00000000-0008-0000-0800-0000C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9" name="Text Box 271">
          <a:extLst>
            <a:ext uri="{FF2B5EF4-FFF2-40B4-BE49-F238E27FC236}">
              <a16:creationId xmlns:a16="http://schemas.microsoft.com/office/drawing/2014/main" id="{00000000-0008-0000-0800-0000C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0" name="Text Box 272">
          <a:extLst>
            <a:ext uri="{FF2B5EF4-FFF2-40B4-BE49-F238E27FC236}">
              <a16:creationId xmlns:a16="http://schemas.microsoft.com/office/drawing/2014/main" id="{00000000-0008-0000-0800-0000D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1" name="Text Box 273">
          <a:extLst>
            <a:ext uri="{FF2B5EF4-FFF2-40B4-BE49-F238E27FC236}">
              <a16:creationId xmlns:a16="http://schemas.microsoft.com/office/drawing/2014/main" id="{00000000-0008-0000-0800-0000D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2" name="Text Box 274">
          <a:extLst>
            <a:ext uri="{FF2B5EF4-FFF2-40B4-BE49-F238E27FC236}">
              <a16:creationId xmlns:a16="http://schemas.microsoft.com/office/drawing/2014/main" id="{00000000-0008-0000-0800-0000D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3" name="Text Box 275">
          <a:extLst>
            <a:ext uri="{FF2B5EF4-FFF2-40B4-BE49-F238E27FC236}">
              <a16:creationId xmlns:a16="http://schemas.microsoft.com/office/drawing/2014/main" id="{00000000-0008-0000-0800-0000D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4" name="Text Box 276">
          <a:extLst>
            <a:ext uri="{FF2B5EF4-FFF2-40B4-BE49-F238E27FC236}">
              <a16:creationId xmlns:a16="http://schemas.microsoft.com/office/drawing/2014/main" id="{00000000-0008-0000-0800-0000D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5" name="Text Box 277">
          <a:extLst>
            <a:ext uri="{FF2B5EF4-FFF2-40B4-BE49-F238E27FC236}">
              <a16:creationId xmlns:a16="http://schemas.microsoft.com/office/drawing/2014/main" id="{00000000-0008-0000-0800-0000D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6" name="Text Box 278">
          <a:extLst>
            <a:ext uri="{FF2B5EF4-FFF2-40B4-BE49-F238E27FC236}">
              <a16:creationId xmlns:a16="http://schemas.microsoft.com/office/drawing/2014/main" id="{00000000-0008-0000-0800-0000D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7" name="Text Box 279">
          <a:extLst>
            <a:ext uri="{FF2B5EF4-FFF2-40B4-BE49-F238E27FC236}">
              <a16:creationId xmlns:a16="http://schemas.microsoft.com/office/drawing/2014/main" id="{00000000-0008-0000-0800-0000D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8" name="Text Box 280">
          <a:extLst>
            <a:ext uri="{FF2B5EF4-FFF2-40B4-BE49-F238E27FC236}">
              <a16:creationId xmlns:a16="http://schemas.microsoft.com/office/drawing/2014/main" id="{00000000-0008-0000-0800-0000D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9" name="Text Box 281">
          <a:extLst>
            <a:ext uri="{FF2B5EF4-FFF2-40B4-BE49-F238E27FC236}">
              <a16:creationId xmlns:a16="http://schemas.microsoft.com/office/drawing/2014/main" id="{00000000-0008-0000-0800-0000D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0" name="Text Box 282">
          <a:extLst>
            <a:ext uri="{FF2B5EF4-FFF2-40B4-BE49-F238E27FC236}">
              <a16:creationId xmlns:a16="http://schemas.microsoft.com/office/drawing/2014/main" id="{00000000-0008-0000-0800-0000D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1" name="Text Box 283">
          <a:extLst>
            <a:ext uri="{FF2B5EF4-FFF2-40B4-BE49-F238E27FC236}">
              <a16:creationId xmlns:a16="http://schemas.microsoft.com/office/drawing/2014/main" id="{00000000-0008-0000-0800-0000D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2" name="Text Box 284">
          <a:extLst>
            <a:ext uri="{FF2B5EF4-FFF2-40B4-BE49-F238E27FC236}">
              <a16:creationId xmlns:a16="http://schemas.microsoft.com/office/drawing/2014/main" id="{00000000-0008-0000-0800-0000D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3" name="Text Box 285">
          <a:extLst>
            <a:ext uri="{FF2B5EF4-FFF2-40B4-BE49-F238E27FC236}">
              <a16:creationId xmlns:a16="http://schemas.microsoft.com/office/drawing/2014/main" id="{00000000-0008-0000-0800-0000D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4" name="Text Box 286">
          <a:extLst>
            <a:ext uri="{FF2B5EF4-FFF2-40B4-BE49-F238E27FC236}">
              <a16:creationId xmlns:a16="http://schemas.microsoft.com/office/drawing/2014/main" id="{00000000-0008-0000-0800-0000D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5" name="Text Box 287">
          <a:extLst>
            <a:ext uri="{FF2B5EF4-FFF2-40B4-BE49-F238E27FC236}">
              <a16:creationId xmlns:a16="http://schemas.microsoft.com/office/drawing/2014/main" id="{00000000-0008-0000-0800-0000D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6" name="Text Box 288">
          <a:extLst>
            <a:ext uri="{FF2B5EF4-FFF2-40B4-BE49-F238E27FC236}">
              <a16:creationId xmlns:a16="http://schemas.microsoft.com/office/drawing/2014/main" id="{00000000-0008-0000-0800-0000E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7" name="Text Box 289">
          <a:extLst>
            <a:ext uri="{FF2B5EF4-FFF2-40B4-BE49-F238E27FC236}">
              <a16:creationId xmlns:a16="http://schemas.microsoft.com/office/drawing/2014/main" id="{00000000-0008-0000-0800-0000E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8" name="Text Box 290">
          <a:extLst>
            <a:ext uri="{FF2B5EF4-FFF2-40B4-BE49-F238E27FC236}">
              <a16:creationId xmlns:a16="http://schemas.microsoft.com/office/drawing/2014/main" id="{00000000-0008-0000-0800-0000E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9" name="Text Box 291">
          <a:extLst>
            <a:ext uri="{FF2B5EF4-FFF2-40B4-BE49-F238E27FC236}">
              <a16:creationId xmlns:a16="http://schemas.microsoft.com/office/drawing/2014/main" id="{00000000-0008-0000-0800-0000E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0" name="Text Box 292">
          <a:extLst>
            <a:ext uri="{FF2B5EF4-FFF2-40B4-BE49-F238E27FC236}">
              <a16:creationId xmlns:a16="http://schemas.microsoft.com/office/drawing/2014/main" id="{00000000-0008-0000-0800-0000E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1" name="Text Box 293">
          <a:extLst>
            <a:ext uri="{FF2B5EF4-FFF2-40B4-BE49-F238E27FC236}">
              <a16:creationId xmlns:a16="http://schemas.microsoft.com/office/drawing/2014/main" id="{00000000-0008-0000-0800-0000E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2" name="Text Box 294">
          <a:extLst>
            <a:ext uri="{FF2B5EF4-FFF2-40B4-BE49-F238E27FC236}">
              <a16:creationId xmlns:a16="http://schemas.microsoft.com/office/drawing/2014/main" id="{00000000-0008-0000-0800-0000E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3" name="Text Box 295">
          <a:extLst>
            <a:ext uri="{FF2B5EF4-FFF2-40B4-BE49-F238E27FC236}">
              <a16:creationId xmlns:a16="http://schemas.microsoft.com/office/drawing/2014/main" id="{00000000-0008-0000-0800-0000E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4" name="Text Box 296">
          <a:extLst>
            <a:ext uri="{FF2B5EF4-FFF2-40B4-BE49-F238E27FC236}">
              <a16:creationId xmlns:a16="http://schemas.microsoft.com/office/drawing/2014/main" id="{00000000-0008-0000-0800-0000E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5" name="Text Box 297">
          <a:extLst>
            <a:ext uri="{FF2B5EF4-FFF2-40B4-BE49-F238E27FC236}">
              <a16:creationId xmlns:a16="http://schemas.microsoft.com/office/drawing/2014/main" id="{00000000-0008-0000-0800-0000E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6" name="Text Box 298">
          <a:extLst>
            <a:ext uri="{FF2B5EF4-FFF2-40B4-BE49-F238E27FC236}">
              <a16:creationId xmlns:a16="http://schemas.microsoft.com/office/drawing/2014/main" id="{00000000-0008-0000-0800-0000E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7" name="Text Box 299">
          <a:extLst>
            <a:ext uri="{FF2B5EF4-FFF2-40B4-BE49-F238E27FC236}">
              <a16:creationId xmlns:a16="http://schemas.microsoft.com/office/drawing/2014/main" id="{00000000-0008-0000-0800-0000E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8" name="Text Box 300">
          <a:extLst>
            <a:ext uri="{FF2B5EF4-FFF2-40B4-BE49-F238E27FC236}">
              <a16:creationId xmlns:a16="http://schemas.microsoft.com/office/drawing/2014/main" id="{00000000-0008-0000-0800-0000E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9" name="Text Box 301">
          <a:extLst>
            <a:ext uri="{FF2B5EF4-FFF2-40B4-BE49-F238E27FC236}">
              <a16:creationId xmlns:a16="http://schemas.microsoft.com/office/drawing/2014/main" id="{00000000-0008-0000-0800-0000E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0" name="Text Box 302">
          <a:extLst>
            <a:ext uri="{FF2B5EF4-FFF2-40B4-BE49-F238E27FC236}">
              <a16:creationId xmlns:a16="http://schemas.microsoft.com/office/drawing/2014/main" id="{00000000-0008-0000-0800-0000E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1" name="Text Box 303">
          <a:extLst>
            <a:ext uri="{FF2B5EF4-FFF2-40B4-BE49-F238E27FC236}">
              <a16:creationId xmlns:a16="http://schemas.microsoft.com/office/drawing/2014/main" id="{00000000-0008-0000-0800-0000E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2" name="Text Box 304">
          <a:extLst>
            <a:ext uri="{FF2B5EF4-FFF2-40B4-BE49-F238E27FC236}">
              <a16:creationId xmlns:a16="http://schemas.microsoft.com/office/drawing/2014/main" id="{00000000-0008-0000-0800-0000F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3" name="Text Box 305">
          <a:extLst>
            <a:ext uri="{FF2B5EF4-FFF2-40B4-BE49-F238E27FC236}">
              <a16:creationId xmlns:a16="http://schemas.microsoft.com/office/drawing/2014/main" id="{00000000-0008-0000-0800-0000F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4" name="Text Box 306">
          <a:extLst>
            <a:ext uri="{FF2B5EF4-FFF2-40B4-BE49-F238E27FC236}">
              <a16:creationId xmlns:a16="http://schemas.microsoft.com/office/drawing/2014/main" id="{00000000-0008-0000-0800-0000F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5" name="Text Box 307">
          <a:extLst>
            <a:ext uri="{FF2B5EF4-FFF2-40B4-BE49-F238E27FC236}">
              <a16:creationId xmlns:a16="http://schemas.microsoft.com/office/drawing/2014/main" id="{00000000-0008-0000-0800-0000F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6" name="Text Box 308">
          <a:extLst>
            <a:ext uri="{FF2B5EF4-FFF2-40B4-BE49-F238E27FC236}">
              <a16:creationId xmlns:a16="http://schemas.microsoft.com/office/drawing/2014/main" id="{00000000-0008-0000-0800-0000F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7" name="Text Box 309">
          <a:extLst>
            <a:ext uri="{FF2B5EF4-FFF2-40B4-BE49-F238E27FC236}">
              <a16:creationId xmlns:a16="http://schemas.microsoft.com/office/drawing/2014/main" id="{00000000-0008-0000-0800-0000F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8" name="Text Box 310">
          <a:extLst>
            <a:ext uri="{FF2B5EF4-FFF2-40B4-BE49-F238E27FC236}">
              <a16:creationId xmlns:a16="http://schemas.microsoft.com/office/drawing/2014/main" id="{00000000-0008-0000-0800-0000F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9" name="Text Box 311">
          <a:extLst>
            <a:ext uri="{FF2B5EF4-FFF2-40B4-BE49-F238E27FC236}">
              <a16:creationId xmlns:a16="http://schemas.microsoft.com/office/drawing/2014/main" id="{00000000-0008-0000-0800-0000F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0" name="Text Box 312">
          <a:extLst>
            <a:ext uri="{FF2B5EF4-FFF2-40B4-BE49-F238E27FC236}">
              <a16:creationId xmlns:a16="http://schemas.microsoft.com/office/drawing/2014/main" id="{00000000-0008-0000-0800-0000F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1" name="Text Box 313">
          <a:extLst>
            <a:ext uri="{FF2B5EF4-FFF2-40B4-BE49-F238E27FC236}">
              <a16:creationId xmlns:a16="http://schemas.microsoft.com/office/drawing/2014/main" id="{00000000-0008-0000-0800-0000F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2" name="Text Box 314">
          <a:extLst>
            <a:ext uri="{FF2B5EF4-FFF2-40B4-BE49-F238E27FC236}">
              <a16:creationId xmlns:a16="http://schemas.microsoft.com/office/drawing/2014/main" id="{00000000-0008-0000-0800-0000F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3" name="Text Box 315">
          <a:extLst>
            <a:ext uri="{FF2B5EF4-FFF2-40B4-BE49-F238E27FC236}">
              <a16:creationId xmlns:a16="http://schemas.microsoft.com/office/drawing/2014/main" id="{00000000-0008-0000-0800-0000F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4" name="Text Box 316">
          <a:extLst>
            <a:ext uri="{FF2B5EF4-FFF2-40B4-BE49-F238E27FC236}">
              <a16:creationId xmlns:a16="http://schemas.microsoft.com/office/drawing/2014/main" id="{00000000-0008-0000-0800-0000F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5" name="Text Box 317">
          <a:extLst>
            <a:ext uri="{FF2B5EF4-FFF2-40B4-BE49-F238E27FC236}">
              <a16:creationId xmlns:a16="http://schemas.microsoft.com/office/drawing/2014/main" id="{00000000-0008-0000-0800-0000F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6" name="Text Box 318">
          <a:extLst>
            <a:ext uri="{FF2B5EF4-FFF2-40B4-BE49-F238E27FC236}">
              <a16:creationId xmlns:a16="http://schemas.microsoft.com/office/drawing/2014/main" id="{00000000-0008-0000-0800-0000F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7" name="Text Box 319">
          <a:extLst>
            <a:ext uri="{FF2B5EF4-FFF2-40B4-BE49-F238E27FC236}">
              <a16:creationId xmlns:a16="http://schemas.microsoft.com/office/drawing/2014/main" id="{00000000-0008-0000-0800-0000F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8" name="Text Box 320">
          <a:extLst>
            <a:ext uri="{FF2B5EF4-FFF2-40B4-BE49-F238E27FC236}">
              <a16:creationId xmlns:a16="http://schemas.microsoft.com/office/drawing/2014/main" id="{00000000-0008-0000-0800-00000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49" name="Text Box 28">
          <a:extLst>
            <a:ext uri="{FF2B5EF4-FFF2-40B4-BE49-F238E27FC236}">
              <a16:creationId xmlns:a16="http://schemas.microsoft.com/office/drawing/2014/main" id="{00000000-0008-0000-0800-00000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0" name="Text Box 29">
          <a:extLst>
            <a:ext uri="{FF2B5EF4-FFF2-40B4-BE49-F238E27FC236}">
              <a16:creationId xmlns:a16="http://schemas.microsoft.com/office/drawing/2014/main" id="{00000000-0008-0000-0800-00000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1" name="Text Box 30">
          <a:extLst>
            <a:ext uri="{FF2B5EF4-FFF2-40B4-BE49-F238E27FC236}">
              <a16:creationId xmlns:a16="http://schemas.microsoft.com/office/drawing/2014/main" id="{00000000-0008-0000-0800-00000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2" name="Text Box 31">
          <a:extLst>
            <a:ext uri="{FF2B5EF4-FFF2-40B4-BE49-F238E27FC236}">
              <a16:creationId xmlns:a16="http://schemas.microsoft.com/office/drawing/2014/main" id="{00000000-0008-0000-0800-00000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3" name="Text Box 32">
          <a:extLst>
            <a:ext uri="{FF2B5EF4-FFF2-40B4-BE49-F238E27FC236}">
              <a16:creationId xmlns:a16="http://schemas.microsoft.com/office/drawing/2014/main" id="{00000000-0008-0000-0800-00000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4" name="Text Box 33">
          <a:extLst>
            <a:ext uri="{FF2B5EF4-FFF2-40B4-BE49-F238E27FC236}">
              <a16:creationId xmlns:a16="http://schemas.microsoft.com/office/drawing/2014/main" id="{00000000-0008-0000-0800-00000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5" name="Text Box 34">
          <a:extLst>
            <a:ext uri="{FF2B5EF4-FFF2-40B4-BE49-F238E27FC236}">
              <a16:creationId xmlns:a16="http://schemas.microsoft.com/office/drawing/2014/main" id="{00000000-0008-0000-0800-00000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6" name="Text Box 35">
          <a:extLst>
            <a:ext uri="{FF2B5EF4-FFF2-40B4-BE49-F238E27FC236}">
              <a16:creationId xmlns:a16="http://schemas.microsoft.com/office/drawing/2014/main" id="{00000000-0008-0000-0800-00000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7" name="Text Box 36">
          <a:extLst>
            <a:ext uri="{FF2B5EF4-FFF2-40B4-BE49-F238E27FC236}">
              <a16:creationId xmlns:a16="http://schemas.microsoft.com/office/drawing/2014/main" id="{00000000-0008-0000-0800-00000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8" name="Text Box 37">
          <a:extLst>
            <a:ext uri="{FF2B5EF4-FFF2-40B4-BE49-F238E27FC236}">
              <a16:creationId xmlns:a16="http://schemas.microsoft.com/office/drawing/2014/main" id="{00000000-0008-0000-0800-00000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9" name="Text Box 38">
          <a:extLst>
            <a:ext uri="{FF2B5EF4-FFF2-40B4-BE49-F238E27FC236}">
              <a16:creationId xmlns:a16="http://schemas.microsoft.com/office/drawing/2014/main" id="{00000000-0008-0000-0800-00000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0" name="Text Box 39">
          <a:extLst>
            <a:ext uri="{FF2B5EF4-FFF2-40B4-BE49-F238E27FC236}">
              <a16:creationId xmlns:a16="http://schemas.microsoft.com/office/drawing/2014/main" id="{00000000-0008-0000-0800-00000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1" name="Text Box 40">
          <a:extLst>
            <a:ext uri="{FF2B5EF4-FFF2-40B4-BE49-F238E27FC236}">
              <a16:creationId xmlns:a16="http://schemas.microsoft.com/office/drawing/2014/main" id="{00000000-0008-0000-0800-00000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2" name="Text Box 41">
          <a:extLst>
            <a:ext uri="{FF2B5EF4-FFF2-40B4-BE49-F238E27FC236}">
              <a16:creationId xmlns:a16="http://schemas.microsoft.com/office/drawing/2014/main" id="{00000000-0008-0000-0800-00000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3" name="Text Box 42">
          <a:extLst>
            <a:ext uri="{FF2B5EF4-FFF2-40B4-BE49-F238E27FC236}">
              <a16:creationId xmlns:a16="http://schemas.microsoft.com/office/drawing/2014/main" id="{00000000-0008-0000-0800-00000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4" name="Text Box 43">
          <a:extLst>
            <a:ext uri="{FF2B5EF4-FFF2-40B4-BE49-F238E27FC236}">
              <a16:creationId xmlns:a16="http://schemas.microsoft.com/office/drawing/2014/main" id="{00000000-0008-0000-0800-00001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5" name="Text Box 44">
          <a:extLst>
            <a:ext uri="{FF2B5EF4-FFF2-40B4-BE49-F238E27FC236}">
              <a16:creationId xmlns:a16="http://schemas.microsoft.com/office/drawing/2014/main" id="{00000000-0008-0000-0800-00001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6" name="Text Box 45">
          <a:extLst>
            <a:ext uri="{FF2B5EF4-FFF2-40B4-BE49-F238E27FC236}">
              <a16:creationId xmlns:a16="http://schemas.microsoft.com/office/drawing/2014/main" id="{00000000-0008-0000-0800-00001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7" name="Text Box 46">
          <a:extLst>
            <a:ext uri="{FF2B5EF4-FFF2-40B4-BE49-F238E27FC236}">
              <a16:creationId xmlns:a16="http://schemas.microsoft.com/office/drawing/2014/main" id="{00000000-0008-0000-0800-00001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8" name="Text Box 47">
          <a:extLst>
            <a:ext uri="{FF2B5EF4-FFF2-40B4-BE49-F238E27FC236}">
              <a16:creationId xmlns:a16="http://schemas.microsoft.com/office/drawing/2014/main" id="{00000000-0008-0000-0800-00001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9" name="Text Box 48">
          <a:extLst>
            <a:ext uri="{FF2B5EF4-FFF2-40B4-BE49-F238E27FC236}">
              <a16:creationId xmlns:a16="http://schemas.microsoft.com/office/drawing/2014/main" id="{00000000-0008-0000-0800-00001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0" name="Text Box 49">
          <a:extLst>
            <a:ext uri="{FF2B5EF4-FFF2-40B4-BE49-F238E27FC236}">
              <a16:creationId xmlns:a16="http://schemas.microsoft.com/office/drawing/2014/main" id="{00000000-0008-0000-0800-00001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1" name="Text Box 50">
          <a:extLst>
            <a:ext uri="{FF2B5EF4-FFF2-40B4-BE49-F238E27FC236}">
              <a16:creationId xmlns:a16="http://schemas.microsoft.com/office/drawing/2014/main" id="{00000000-0008-0000-0800-00001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2" name="Text Box 51">
          <a:extLst>
            <a:ext uri="{FF2B5EF4-FFF2-40B4-BE49-F238E27FC236}">
              <a16:creationId xmlns:a16="http://schemas.microsoft.com/office/drawing/2014/main" id="{00000000-0008-0000-0800-00001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3" name="Text Box 52">
          <a:extLst>
            <a:ext uri="{FF2B5EF4-FFF2-40B4-BE49-F238E27FC236}">
              <a16:creationId xmlns:a16="http://schemas.microsoft.com/office/drawing/2014/main" id="{00000000-0008-0000-0800-00001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4" name="Text Box 53">
          <a:extLst>
            <a:ext uri="{FF2B5EF4-FFF2-40B4-BE49-F238E27FC236}">
              <a16:creationId xmlns:a16="http://schemas.microsoft.com/office/drawing/2014/main" id="{00000000-0008-0000-0800-00001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5" name="Text Box 54">
          <a:extLst>
            <a:ext uri="{FF2B5EF4-FFF2-40B4-BE49-F238E27FC236}">
              <a16:creationId xmlns:a16="http://schemas.microsoft.com/office/drawing/2014/main" id="{00000000-0008-0000-0800-00001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6" name="Text Box 55">
          <a:extLst>
            <a:ext uri="{FF2B5EF4-FFF2-40B4-BE49-F238E27FC236}">
              <a16:creationId xmlns:a16="http://schemas.microsoft.com/office/drawing/2014/main" id="{00000000-0008-0000-0800-00001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7" name="Text Box 56">
          <a:extLst>
            <a:ext uri="{FF2B5EF4-FFF2-40B4-BE49-F238E27FC236}">
              <a16:creationId xmlns:a16="http://schemas.microsoft.com/office/drawing/2014/main" id="{00000000-0008-0000-0800-00001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8" name="Text Box 57">
          <a:extLst>
            <a:ext uri="{FF2B5EF4-FFF2-40B4-BE49-F238E27FC236}">
              <a16:creationId xmlns:a16="http://schemas.microsoft.com/office/drawing/2014/main" id="{00000000-0008-0000-0800-00001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9" name="Text Box 58">
          <a:extLst>
            <a:ext uri="{FF2B5EF4-FFF2-40B4-BE49-F238E27FC236}">
              <a16:creationId xmlns:a16="http://schemas.microsoft.com/office/drawing/2014/main" id="{00000000-0008-0000-0800-00001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0" name="Text Box 59">
          <a:extLst>
            <a:ext uri="{FF2B5EF4-FFF2-40B4-BE49-F238E27FC236}">
              <a16:creationId xmlns:a16="http://schemas.microsoft.com/office/drawing/2014/main" id="{00000000-0008-0000-0800-00002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1" name="Text Box 60">
          <a:extLst>
            <a:ext uri="{FF2B5EF4-FFF2-40B4-BE49-F238E27FC236}">
              <a16:creationId xmlns:a16="http://schemas.microsoft.com/office/drawing/2014/main" id="{00000000-0008-0000-0800-00002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2" name="Text Box 61">
          <a:extLst>
            <a:ext uri="{FF2B5EF4-FFF2-40B4-BE49-F238E27FC236}">
              <a16:creationId xmlns:a16="http://schemas.microsoft.com/office/drawing/2014/main" id="{00000000-0008-0000-0800-00002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3" name="Text Box 62">
          <a:extLst>
            <a:ext uri="{FF2B5EF4-FFF2-40B4-BE49-F238E27FC236}">
              <a16:creationId xmlns:a16="http://schemas.microsoft.com/office/drawing/2014/main" id="{00000000-0008-0000-0800-00002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4" name="Text Box 63">
          <a:extLst>
            <a:ext uri="{FF2B5EF4-FFF2-40B4-BE49-F238E27FC236}">
              <a16:creationId xmlns:a16="http://schemas.microsoft.com/office/drawing/2014/main" id="{00000000-0008-0000-0800-00002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5" name="Text Box 64">
          <a:extLst>
            <a:ext uri="{FF2B5EF4-FFF2-40B4-BE49-F238E27FC236}">
              <a16:creationId xmlns:a16="http://schemas.microsoft.com/office/drawing/2014/main" id="{00000000-0008-0000-0800-00002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6" name="Text Box 65">
          <a:extLst>
            <a:ext uri="{FF2B5EF4-FFF2-40B4-BE49-F238E27FC236}">
              <a16:creationId xmlns:a16="http://schemas.microsoft.com/office/drawing/2014/main" id="{00000000-0008-0000-0800-00002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7" name="Text Box 66">
          <a:extLst>
            <a:ext uri="{FF2B5EF4-FFF2-40B4-BE49-F238E27FC236}">
              <a16:creationId xmlns:a16="http://schemas.microsoft.com/office/drawing/2014/main" id="{00000000-0008-0000-0800-00002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8" name="Text Box 67">
          <a:extLst>
            <a:ext uri="{FF2B5EF4-FFF2-40B4-BE49-F238E27FC236}">
              <a16:creationId xmlns:a16="http://schemas.microsoft.com/office/drawing/2014/main" id="{00000000-0008-0000-0800-00002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9" name="Text Box 68">
          <a:extLst>
            <a:ext uri="{FF2B5EF4-FFF2-40B4-BE49-F238E27FC236}">
              <a16:creationId xmlns:a16="http://schemas.microsoft.com/office/drawing/2014/main" id="{00000000-0008-0000-0800-00002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0" name="Text Box 69">
          <a:extLst>
            <a:ext uri="{FF2B5EF4-FFF2-40B4-BE49-F238E27FC236}">
              <a16:creationId xmlns:a16="http://schemas.microsoft.com/office/drawing/2014/main" id="{00000000-0008-0000-0800-00002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1" name="Text Box 70">
          <a:extLst>
            <a:ext uri="{FF2B5EF4-FFF2-40B4-BE49-F238E27FC236}">
              <a16:creationId xmlns:a16="http://schemas.microsoft.com/office/drawing/2014/main" id="{00000000-0008-0000-0800-00002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2" name="Text Box 71">
          <a:extLst>
            <a:ext uri="{FF2B5EF4-FFF2-40B4-BE49-F238E27FC236}">
              <a16:creationId xmlns:a16="http://schemas.microsoft.com/office/drawing/2014/main" id="{00000000-0008-0000-0800-00002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3" name="Text Box 72">
          <a:extLst>
            <a:ext uri="{FF2B5EF4-FFF2-40B4-BE49-F238E27FC236}">
              <a16:creationId xmlns:a16="http://schemas.microsoft.com/office/drawing/2014/main" id="{00000000-0008-0000-0800-00002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4" name="Text Box 73">
          <a:extLst>
            <a:ext uri="{FF2B5EF4-FFF2-40B4-BE49-F238E27FC236}">
              <a16:creationId xmlns:a16="http://schemas.microsoft.com/office/drawing/2014/main" id="{00000000-0008-0000-0800-00002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5" name="Text Box 74">
          <a:extLst>
            <a:ext uri="{FF2B5EF4-FFF2-40B4-BE49-F238E27FC236}">
              <a16:creationId xmlns:a16="http://schemas.microsoft.com/office/drawing/2014/main" id="{00000000-0008-0000-0800-00002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6" name="Text Box 75">
          <a:extLst>
            <a:ext uri="{FF2B5EF4-FFF2-40B4-BE49-F238E27FC236}">
              <a16:creationId xmlns:a16="http://schemas.microsoft.com/office/drawing/2014/main" id="{00000000-0008-0000-0800-00003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7" name="Text Box 76">
          <a:extLst>
            <a:ext uri="{FF2B5EF4-FFF2-40B4-BE49-F238E27FC236}">
              <a16:creationId xmlns:a16="http://schemas.microsoft.com/office/drawing/2014/main" id="{00000000-0008-0000-0800-00003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8" name="Text Box 77">
          <a:extLst>
            <a:ext uri="{FF2B5EF4-FFF2-40B4-BE49-F238E27FC236}">
              <a16:creationId xmlns:a16="http://schemas.microsoft.com/office/drawing/2014/main" id="{00000000-0008-0000-0800-00003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9" name="Text Box 78">
          <a:extLst>
            <a:ext uri="{FF2B5EF4-FFF2-40B4-BE49-F238E27FC236}">
              <a16:creationId xmlns:a16="http://schemas.microsoft.com/office/drawing/2014/main" id="{00000000-0008-0000-0800-00003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0" name="Text Box 79">
          <a:extLst>
            <a:ext uri="{FF2B5EF4-FFF2-40B4-BE49-F238E27FC236}">
              <a16:creationId xmlns:a16="http://schemas.microsoft.com/office/drawing/2014/main" id="{00000000-0008-0000-0800-00003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1" name="Text Box 80">
          <a:extLst>
            <a:ext uri="{FF2B5EF4-FFF2-40B4-BE49-F238E27FC236}">
              <a16:creationId xmlns:a16="http://schemas.microsoft.com/office/drawing/2014/main" id="{00000000-0008-0000-0800-00003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2" name="Text Box 81">
          <a:extLst>
            <a:ext uri="{FF2B5EF4-FFF2-40B4-BE49-F238E27FC236}">
              <a16:creationId xmlns:a16="http://schemas.microsoft.com/office/drawing/2014/main" id="{00000000-0008-0000-0800-00003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3" name="Text Box 82">
          <a:extLst>
            <a:ext uri="{FF2B5EF4-FFF2-40B4-BE49-F238E27FC236}">
              <a16:creationId xmlns:a16="http://schemas.microsoft.com/office/drawing/2014/main" id="{00000000-0008-0000-0800-00003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4" name="Text Box 83">
          <a:extLst>
            <a:ext uri="{FF2B5EF4-FFF2-40B4-BE49-F238E27FC236}">
              <a16:creationId xmlns:a16="http://schemas.microsoft.com/office/drawing/2014/main" id="{00000000-0008-0000-0800-00003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5" name="Text Box 84">
          <a:extLst>
            <a:ext uri="{FF2B5EF4-FFF2-40B4-BE49-F238E27FC236}">
              <a16:creationId xmlns:a16="http://schemas.microsoft.com/office/drawing/2014/main" id="{00000000-0008-0000-0800-00003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6" name="Text Box 85">
          <a:extLst>
            <a:ext uri="{FF2B5EF4-FFF2-40B4-BE49-F238E27FC236}">
              <a16:creationId xmlns:a16="http://schemas.microsoft.com/office/drawing/2014/main" id="{00000000-0008-0000-0800-00003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7" name="Text Box 86">
          <a:extLst>
            <a:ext uri="{FF2B5EF4-FFF2-40B4-BE49-F238E27FC236}">
              <a16:creationId xmlns:a16="http://schemas.microsoft.com/office/drawing/2014/main" id="{00000000-0008-0000-0800-00003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8" name="Text Box 87">
          <a:extLst>
            <a:ext uri="{FF2B5EF4-FFF2-40B4-BE49-F238E27FC236}">
              <a16:creationId xmlns:a16="http://schemas.microsoft.com/office/drawing/2014/main" id="{00000000-0008-0000-0800-00003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9" name="Text Box 88">
          <a:extLst>
            <a:ext uri="{FF2B5EF4-FFF2-40B4-BE49-F238E27FC236}">
              <a16:creationId xmlns:a16="http://schemas.microsoft.com/office/drawing/2014/main" id="{00000000-0008-0000-0800-00003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0" name="Text Box 89">
          <a:extLst>
            <a:ext uri="{FF2B5EF4-FFF2-40B4-BE49-F238E27FC236}">
              <a16:creationId xmlns:a16="http://schemas.microsoft.com/office/drawing/2014/main" id="{00000000-0008-0000-0800-00003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1" name="Text Box 90">
          <a:extLst>
            <a:ext uri="{FF2B5EF4-FFF2-40B4-BE49-F238E27FC236}">
              <a16:creationId xmlns:a16="http://schemas.microsoft.com/office/drawing/2014/main" id="{00000000-0008-0000-0800-00003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2" name="Text Box 91">
          <a:extLst>
            <a:ext uri="{FF2B5EF4-FFF2-40B4-BE49-F238E27FC236}">
              <a16:creationId xmlns:a16="http://schemas.microsoft.com/office/drawing/2014/main" id="{00000000-0008-0000-0800-00004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3" name="Text Box 92">
          <a:extLst>
            <a:ext uri="{FF2B5EF4-FFF2-40B4-BE49-F238E27FC236}">
              <a16:creationId xmlns:a16="http://schemas.microsoft.com/office/drawing/2014/main" id="{00000000-0008-0000-0800-00004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4" name="Text Box 93">
          <a:extLst>
            <a:ext uri="{FF2B5EF4-FFF2-40B4-BE49-F238E27FC236}">
              <a16:creationId xmlns:a16="http://schemas.microsoft.com/office/drawing/2014/main" id="{00000000-0008-0000-0800-00004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5" name="Text Box 94">
          <a:extLst>
            <a:ext uri="{FF2B5EF4-FFF2-40B4-BE49-F238E27FC236}">
              <a16:creationId xmlns:a16="http://schemas.microsoft.com/office/drawing/2014/main" id="{00000000-0008-0000-0800-00004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6" name="Text Box 95">
          <a:extLst>
            <a:ext uri="{FF2B5EF4-FFF2-40B4-BE49-F238E27FC236}">
              <a16:creationId xmlns:a16="http://schemas.microsoft.com/office/drawing/2014/main" id="{00000000-0008-0000-0800-00004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7" name="Text Box 96">
          <a:extLst>
            <a:ext uri="{FF2B5EF4-FFF2-40B4-BE49-F238E27FC236}">
              <a16:creationId xmlns:a16="http://schemas.microsoft.com/office/drawing/2014/main" id="{00000000-0008-0000-0800-00004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8" name="Text Box 97">
          <a:extLst>
            <a:ext uri="{FF2B5EF4-FFF2-40B4-BE49-F238E27FC236}">
              <a16:creationId xmlns:a16="http://schemas.microsoft.com/office/drawing/2014/main" id="{00000000-0008-0000-0800-00004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19" name="Text Box 100">
          <a:extLst>
            <a:ext uri="{FF2B5EF4-FFF2-40B4-BE49-F238E27FC236}">
              <a16:creationId xmlns:a16="http://schemas.microsoft.com/office/drawing/2014/main" id="{00000000-0008-0000-0800-00004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0" name="Text Box 101">
          <a:extLst>
            <a:ext uri="{FF2B5EF4-FFF2-40B4-BE49-F238E27FC236}">
              <a16:creationId xmlns:a16="http://schemas.microsoft.com/office/drawing/2014/main" id="{00000000-0008-0000-0800-00004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1" name="Text Box 102">
          <a:extLst>
            <a:ext uri="{FF2B5EF4-FFF2-40B4-BE49-F238E27FC236}">
              <a16:creationId xmlns:a16="http://schemas.microsoft.com/office/drawing/2014/main" id="{00000000-0008-0000-0800-00004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2" name="Text Box 103">
          <a:extLst>
            <a:ext uri="{FF2B5EF4-FFF2-40B4-BE49-F238E27FC236}">
              <a16:creationId xmlns:a16="http://schemas.microsoft.com/office/drawing/2014/main" id="{00000000-0008-0000-0800-00004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3" name="Text Box 104">
          <a:extLst>
            <a:ext uri="{FF2B5EF4-FFF2-40B4-BE49-F238E27FC236}">
              <a16:creationId xmlns:a16="http://schemas.microsoft.com/office/drawing/2014/main" id="{00000000-0008-0000-0800-00004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4" name="Text Box 105">
          <a:extLst>
            <a:ext uri="{FF2B5EF4-FFF2-40B4-BE49-F238E27FC236}">
              <a16:creationId xmlns:a16="http://schemas.microsoft.com/office/drawing/2014/main" id="{00000000-0008-0000-0800-00004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5" name="Text Box 106">
          <a:extLst>
            <a:ext uri="{FF2B5EF4-FFF2-40B4-BE49-F238E27FC236}">
              <a16:creationId xmlns:a16="http://schemas.microsoft.com/office/drawing/2014/main" id="{00000000-0008-0000-0800-00004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6" name="Text Box 107">
          <a:extLst>
            <a:ext uri="{FF2B5EF4-FFF2-40B4-BE49-F238E27FC236}">
              <a16:creationId xmlns:a16="http://schemas.microsoft.com/office/drawing/2014/main" id="{00000000-0008-0000-0800-00004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7" name="Text Box 108">
          <a:extLst>
            <a:ext uri="{FF2B5EF4-FFF2-40B4-BE49-F238E27FC236}">
              <a16:creationId xmlns:a16="http://schemas.microsoft.com/office/drawing/2014/main" id="{00000000-0008-0000-0800-00004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8" name="Text Box 109">
          <a:extLst>
            <a:ext uri="{FF2B5EF4-FFF2-40B4-BE49-F238E27FC236}">
              <a16:creationId xmlns:a16="http://schemas.microsoft.com/office/drawing/2014/main" id="{00000000-0008-0000-0800-00005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9" name="Text Box 110">
          <a:extLst>
            <a:ext uri="{FF2B5EF4-FFF2-40B4-BE49-F238E27FC236}">
              <a16:creationId xmlns:a16="http://schemas.microsoft.com/office/drawing/2014/main" id="{00000000-0008-0000-0800-00005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0" name="Text Box 111">
          <a:extLst>
            <a:ext uri="{FF2B5EF4-FFF2-40B4-BE49-F238E27FC236}">
              <a16:creationId xmlns:a16="http://schemas.microsoft.com/office/drawing/2014/main" id="{00000000-0008-0000-0800-00005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1" name="Text Box 119">
          <a:extLst>
            <a:ext uri="{FF2B5EF4-FFF2-40B4-BE49-F238E27FC236}">
              <a16:creationId xmlns:a16="http://schemas.microsoft.com/office/drawing/2014/main" id="{00000000-0008-0000-0800-00005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2" name="Text Box 120">
          <a:extLst>
            <a:ext uri="{FF2B5EF4-FFF2-40B4-BE49-F238E27FC236}">
              <a16:creationId xmlns:a16="http://schemas.microsoft.com/office/drawing/2014/main" id="{00000000-0008-0000-0800-00005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3" name="Text Box 121">
          <a:extLst>
            <a:ext uri="{FF2B5EF4-FFF2-40B4-BE49-F238E27FC236}">
              <a16:creationId xmlns:a16="http://schemas.microsoft.com/office/drawing/2014/main" id="{00000000-0008-0000-0800-00005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4" name="Text Box 122">
          <a:extLst>
            <a:ext uri="{FF2B5EF4-FFF2-40B4-BE49-F238E27FC236}">
              <a16:creationId xmlns:a16="http://schemas.microsoft.com/office/drawing/2014/main" id="{00000000-0008-0000-0800-00005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5" name="Text Box 123">
          <a:extLst>
            <a:ext uri="{FF2B5EF4-FFF2-40B4-BE49-F238E27FC236}">
              <a16:creationId xmlns:a16="http://schemas.microsoft.com/office/drawing/2014/main" id="{00000000-0008-0000-0800-00005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6" name="Text Box 124">
          <a:extLst>
            <a:ext uri="{FF2B5EF4-FFF2-40B4-BE49-F238E27FC236}">
              <a16:creationId xmlns:a16="http://schemas.microsoft.com/office/drawing/2014/main" id="{00000000-0008-0000-0800-00005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7" name="Text Box 125">
          <a:extLst>
            <a:ext uri="{FF2B5EF4-FFF2-40B4-BE49-F238E27FC236}">
              <a16:creationId xmlns:a16="http://schemas.microsoft.com/office/drawing/2014/main" id="{00000000-0008-0000-0800-00005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8" name="Text Box 126">
          <a:extLst>
            <a:ext uri="{FF2B5EF4-FFF2-40B4-BE49-F238E27FC236}">
              <a16:creationId xmlns:a16="http://schemas.microsoft.com/office/drawing/2014/main" id="{00000000-0008-0000-0800-00005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9" name="Text Box 127">
          <a:extLst>
            <a:ext uri="{FF2B5EF4-FFF2-40B4-BE49-F238E27FC236}">
              <a16:creationId xmlns:a16="http://schemas.microsoft.com/office/drawing/2014/main" id="{00000000-0008-0000-0800-00005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0" name="Text Box 128">
          <a:extLst>
            <a:ext uri="{FF2B5EF4-FFF2-40B4-BE49-F238E27FC236}">
              <a16:creationId xmlns:a16="http://schemas.microsoft.com/office/drawing/2014/main" id="{00000000-0008-0000-0800-00005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1" name="Text Box 129">
          <a:extLst>
            <a:ext uri="{FF2B5EF4-FFF2-40B4-BE49-F238E27FC236}">
              <a16:creationId xmlns:a16="http://schemas.microsoft.com/office/drawing/2014/main" id="{00000000-0008-0000-0800-00005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2" name="Text Box 130">
          <a:extLst>
            <a:ext uri="{FF2B5EF4-FFF2-40B4-BE49-F238E27FC236}">
              <a16:creationId xmlns:a16="http://schemas.microsoft.com/office/drawing/2014/main" id="{00000000-0008-0000-0800-00005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3" name="Text Box 133">
          <a:extLst>
            <a:ext uri="{FF2B5EF4-FFF2-40B4-BE49-F238E27FC236}">
              <a16:creationId xmlns:a16="http://schemas.microsoft.com/office/drawing/2014/main" id="{00000000-0008-0000-0800-00005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4" name="Text Box 134">
          <a:extLst>
            <a:ext uri="{FF2B5EF4-FFF2-40B4-BE49-F238E27FC236}">
              <a16:creationId xmlns:a16="http://schemas.microsoft.com/office/drawing/2014/main" id="{00000000-0008-0000-0800-00006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5" name="Text Box 135">
          <a:extLst>
            <a:ext uri="{FF2B5EF4-FFF2-40B4-BE49-F238E27FC236}">
              <a16:creationId xmlns:a16="http://schemas.microsoft.com/office/drawing/2014/main" id="{00000000-0008-0000-0800-00006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6" name="Text Box 136">
          <a:extLst>
            <a:ext uri="{FF2B5EF4-FFF2-40B4-BE49-F238E27FC236}">
              <a16:creationId xmlns:a16="http://schemas.microsoft.com/office/drawing/2014/main" id="{00000000-0008-0000-0800-00006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7" name="Text Box 137">
          <a:extLst>
            <a:ext uri="{FF2B5EF4-FFF2-40B4-BE49-F238E27FC236}">
              <a16:creationId xmlns:a16="http://schemas.microsoft.com/office/drawing/2014/main" id="{00000000-0008-0000-0800-00006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8" name="Text Box 138">
          <a:extLst>
            <a:ext uri="{FF2B5EF4-FFF2-40B4-BE49-F238E27FC236}">
              <a16:creationId xmlns:a16="http://schemas.microsoft.com/office/drawing/2014/main" id="{00000000-0008-0000-0800-00006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9" name="Text Box 139">
          <a:extLst>
            <a:ext uri="{FF2B5EF4-FFF2-40B4-BE49-F238E27FC236}">
              <a16:creationId xmlns:a16="http://schemas.microsoft.com/office/drawing/2014/main" id="{00000000-0008-0000-0800-00006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0" name="Text Box 140">
          <a:extLst>
            <a:ext uri="{FF2B5EF4-FFF2-40B4-BE49-F238E27FC236}">
              <a16:creationId xmlns:a16="http://schemas.microsoft.com/office/drawing/2014/main" id="{00000000-0008-0000-0800-00006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1" name="Text Box 141">
          <a:extLst>
            <a:ext uri="{FF2B5EF4-FFF2-40B4-BE49-F238E27FC236}">
              <a16:creationId xmlns:a16="http://schemas.microsoft.com/office/drawing/2014/main" id="{00000000-0008-0000-0800-00006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2" name="Text Box 142">
          <a:extLst>
            <a:ext uri="{FF2B5EF4-FFF2-40B4-BE49-F238E27FC236}">
              <a16:creationId xmlns:a16="http://schemas.microsoft.com/office/drawing/2014/main" id="{00000000-0008-0000-0800-00006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3" name="Text Box 143">
          <a:extLst>
            <a:ext uri="{FF2B5EF4-FFF2-40B4-BE49-F238E27FC236}">
              <a16:creationId xmlns:a16="http://schemas.microsoft.com/office/drawing/2014/main" id="{00000000-0008-0000-0800-00006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4" name="Text Box 144">
          <a:extLst>
            <a:ext uri="{FF2B5EF4-FFF2-40B4-BE49-F238E27FC236}">
              <a16:creationId xmlns:a16="http://schemas.microsoft.com/office/drawing/2014/main" id="{00000000-0008-0000-0800-00006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5" name="Text Box 145">
          <a:extLst>
            <a:ext uri="{FF2B5EF4-FFF2-40B4-BE49-F238E27FC236}">
              <a16:creationId xmlns:a16="http://schemas.microsoft.com/office/drawing/2014/main" id="{00000000-0008-0000-0800-00006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6" name="Text Box 146">
          <a:extLst>
            <a:ext uri="{FF2B5EF4-FFF2-40B4-BE49-F238E27FC236}">
              <a16:creationId xmlns:a16="http://schemas.microsoft.com/office/drawing/2014/main" id="{00000000-0008-0000-0800-00006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7" name="Text Box 147">
          <a:extLst>
            <a:ext uri="{FF2B5EF4-FFF2-40B4-BE49-F238E27FC236}">
              <a16:creationId xmlns:a16="http://schemas.microsoft.com/office/drawing/2014/main" id="{00000000-0008-0000-0800-00006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8" name="Text Box 148">
          <a:extLst>
            <a:ext uri="{FF2B5EF4-FFF2-40B4-BE49-F238E27FC236}">
              <a16:creationId xmlns:a16="http://schemas.microsoft.com/office/drawing/2014/main" id="{00000000-0008-0000-0800-00006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9" name="Text Box 149">
          <a:extLst>
            <a:ext uri="{FF2B5EF4-FFF2-40B4-BE49-F238E27FC236}">
              <a16:creationId xmlns:a16="http://schemas.microsoft.com/office/drawing/2014/main" id="{00000000-0008-0000-0800-00006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0" name="Text Box 150">
          <a:extLst>
            <a:ext uri="{FF2B5EF4-FFF2-40B4-BE49-F238E27FC236}">
              <a16:creationId xmlns:a16="http://schemas.microsoft.com/office/drawing/2014/main" id="{00000000-0008-0000-0800-00007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1" name="Text Box 151">
          <a:extLst>
            <a:ext uri="{FF2B5EF4-FFF2-40B4-BE49-F238E27FC236}">
              <a16:creationId xmlns:a16="http://schemas.microsoft.com/office/drawing/2014/main" id="{00000000-0008-0000-0800-00007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2" name="Text Box 152">
          <a:extLst>
            <a:ext uri="{FF2B5EF4-FFF2-40B4-BE49-F238E27FC236}">
              <a16:creationId xmlns:a16="http://schemas.microsoft.com/office/drawing/2014/main" id="{00000000-0008-0000-0800-00007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3" name="Text Box 153">
          <a:extLst>
            <a:ext uri="{FF2B5EF4-FFF2-40B4-BE49-F238E27FC236}">
              <a16:creationId xmlns:a16="http://schemas.microsoft.com/office/drawing/2014/main" id="{00000000-0008-0000-0800-00007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4" name="Text Box 154">
          <a:extLst>
            <a:ext uri="{FF2B5EF4-FFF2-40B4-BE49-F238E27FC236}">
              <a16:creationId xmlns:a16="http://schemas.microsoft.com/office/drawing/2014/main" id="{00000000-0008-0000-0800-00007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5" name="Text Box 155">
          <a:extLst>
            <a:ext uri="{FF2B5EF4-FFF2-40B4-BE49-F238E27FC236}">
              <a16:creationId xmlns:a16="http://schemas.microsoft.com/office/drawing/2014/main" id="{00000000-0008-0000-0800-00007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6" name="Text Box 156">
          <a:extLst>
            <a:ext uri="{FF2B5EF4-FFF2-40B4-BE49-F238E27FC236}">
              <a16:creationId xmlns:a16="http://schemas.microsoft.com/office/drawing/2014/main" id="{00000000-0008-0000-0800-00007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7" name="Text Box 157">
          <a:extLst>
            <a:ext uri="{FF2B5EF4-FFF2-40B4-BE49-F238E27FC236}">
              <a16:creationId xmlns:a16="http://schemas.microsoft.com/office/drawing/2014/main" id="{00000000-0008-0000-0800-00007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8" name="Text Box 158">
          <a:extLst>
            <a:ext uri="{FF2B5EF4-FFF2-40B4-BE49-F238E27FC236}">
              <a16:creationId xmlns:a16="http://schemas.microsoft.com/office/drawing/2014/main" id="{00000000-0008-0000-0800-00007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9" name="Text Box 159">
          <a:extLst>
            <a:ext uri="{FF2B5EF4-FFF2-40B4-BE49-F238E27FC236}">
              <a16:creationId xmlns:a16="http://schemas.microsoft.com/office/drawing/2014/main" id="{00000000-0008-0000-0800-00007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0" name="Text Box 160">
          <a:extLst>
            <a:ext uri="{FF2B5EF4-FFF2-40B4-BE49-F238E27FC236}">
              <a16:creationId xmlns:a16="http://schemas.microsoft.com/office/drawing/2014/main" id="{00000000-0008-0000-0800-00007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1" name="Text Box 161">
          <a:extLst>
            <a:ext uri="{FF2B5EF4-FFF2-40B4-BE49-F238E27FC236}">
              <a16:creationId xmlns:a16="http://schemas.microsoft.com/office/drawing/2014/main" id="{00000000-0008-0000-0800-00007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2" name="Text Box 162">
          <a:extLst>
            <a:ext uri="{FF2B5EF4-FFF2-40B4-BE49-F238E27FC236}">
              <a16:creationId xmlns:a16="http://schemas.microsoft.com/office/drawing/2014/main" id="{00000000-0008-0000-0800-00007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3" name="Text Box 163">
          <a:extLst>
            <a:ext uri="{FF2B5EF4-FFF2-40B4-BE49-F238E27FC236}">
              <a16:creationId xmlns:a16="http://schemas.microsoft.com/office/drawing/2014/main" id="{00000000-0008-0000-0800-00007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4" name="Text Box 164">
          <a:extLst>
            <a:ext uri="{FF2B5EF4-FFF2-40B4-BE49-F238E27FC236}">
              <a16:creationId xmlns:a16="http://schemas.microsoft.com/office/drawing/2014/main" id="{00000000-0008-0000-0800-00007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5" name="Text Box 165">
          <a:extLst>
            <a:ext uri="{FF2B5EF4-FFF2-40B4-BE49-F238E27FC236}">
              <a16:creationId xmlns:a16="http://schemas.microsoft.com/office/drawing/2014/main" id="{00000000-0008-0000-0800-00007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6" name="Text Box 166">
          <a:extLst>
            <a:ext uri="{FF2B5EF4-FFF2-40B4-BE49-F238E27FC236}">
              <a16:creationId xmlns:a16="http://schemas.microsoft.com/office/drawing/2014/main" id="{00000000-0008-0000-0800-00008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7" name="Text Box 167">
          <a:extLst>
            <a:ext uri="{FF2B5EF4-FFF2-40B4-BE49-F238E27FC236}">
              <a16:creationId xmlns:a16="http://schemas.microsoft.com/office/drawing/2014/main" id="{00000000-0008-0000-0800-00008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8" name="Text Box 168">
          <a:extLst>
            <a:ext uri="{FF2B5EF4-FFF2-40B4-BE49-F238E27FC236}">
              <a16:creationId xmlns:a16="http://schemas.microsoft.com/office/drawing/2014/main" id="{00000000-0008-0000-0800-00008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9" name="Text Box 169">
          <a:extLst>
            <a:ext uri="{FF2B5EF4-FFF2-40B4-BE49-F238E27FC236}">
              <a16:creationId xmlns:a16="http://schemas.microsoft.com/office/drawing/2014/main" id="{00000000-0008-0000-0800-00008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0" name="Text Box 170">
          <a:extLst>
            <a:ext uri="{FF2B5EF4-FFF2-40B4-BE49-F238E27FC236}">
              <a16:creationId xmlns:a16="http://schemas.microsoft.com/office/drawing/2014/main" id="{00000000-0008-0000-0800-00008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1" name="Text Box 171">
          <a:extLst>
            <a:ext uri="{FF2B5EF4-FFF2-40B4-BE49-F238E27FC236}">
              <a16:creationId xmlns:a16="http://schemas.microsoft.com/office/drawing/2014/main" id="{00000000-0008-0000-0800-00008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2" name="Text Box 172">
          <a:extLst>
            <a:ext uri="{FF2B5EF4-FFF2-40B4-BE49-F238E27FC236}">
              <a16:creationId xmlns:a16="http://schemas.microsoft.com/office/drawing/2014/main" id="{00000000-0008-0000-0800-00008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3" name="Text Box 173">
          <a:extLst>
            <a:ext uri="{FF2B5EF4-FFF2-40B4-BE49-F238E27FC236}">
              <a16:creationId xmlns:a16="http://schemas.microsoft.com/office/drawing/2014/main" id="{00000000-0008-0000-0800-00008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4" name="Text Box 174">
          <a:extLst>
            <a:ext uri="{FF2B5EF4-FFF2-40B4-BE49-F238E27FC236}">
              <a16:creationId xmlns:a16="http://schemas.microsoft.com/office/drawing/2014/main" id="{00000000-0008-0000-0800-00008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5" name="Text Box 175">
          <a:extLst>
            <a:ext uri="{FF2B5EF4-FFF2-40B4-BE49-F238E27FC236}">
              <a16:creationId xmlns:a16="http://schemas.microsoft.com/office/drawing/2014/main" id="{00000000-0008-0000-0800-00008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6" name="Text Box 176">
          <a:extLst>
            <a:ext uri="{FF2B5EF4-FFF2-40B4-BE49-F238E27FC236}">
              <a16:creationId xmlns:a16="http://schemas.microsoft.com/office/drawing/2014/main" id="{00000000-0008-0000-0800-00008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7" name="Text Box 177">
          <a:extLst>
            <a:ext uri="{FF2B5EF4-FFF2-40B4-BE49-F238E27FC236}">
              <a16:creationId xmlns:a16="http://schemas.microsoft.com/office/drawing/2014/main" id="{00000000-0008-0000-0800-00008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8" name="Text Box 178">
          <a:extLst>
            <a:ext uri="{FF2B5EF4-FFF2-40B4-BE49-F238E27FC236}">
              <a16:creationId xmlns:a16="http://schemas.microsoft.com/office/drawing/2014/main" id="{00000000-0008-0000-0800-00008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9" name="Text Box 179">
          <a:extLst>
            <a:ext uri="{FF2B5EF4-FFF2-40B4-BE49-F238E27FC236}">
              <a16:creationId xmlns:a16="http://schemas.microsoft.com/office/drawing/2014/main" id="{00000000-0008-0000-0800-00008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0" name="Text Box 180">
          <a:extLst>
            <a:ext uri="{FF2B5EF4-FFF2-40B4-BE49-F238E27FC236}">
              <a16:creationId xmlns:a16="http://schemas.microsoft.com/office/drawing/2014/main" id="{00000000-0008-0000-0800-00008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1" name="Text Box 181">
          <a:extLst>
            <a:ext uri="{FF2B5EF4-FFF2-40B4-BE49-F238E27FC236}">
              <a16:creationId xmlns:a16="http://schemas.microsoft.com/office/drawing/2014/main" id="{00000000-0008-0000-0800-00008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2" name="Text Box 182">
          <a:extLst>
            <a:ext uri="{FF2B5EF4-FFF2-40B4-BE49-F238E27FC236}">
              <a16:creationId xmlns:a16="http://schemas.microsoft.com/office/drawing/2014/main" id="{00000000-0008-0000-0800-00009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3" name="Text Box 183">
          <a:extLst>
            <a:ext uri="{FF2B5EF4-FFF2-40B4-BE49-F238E27FC236}">
              <a16:creationId xmlns:a16="http://schemas.microsoft.com/office/drawing/2014/main" id="{00000000-0008-0000-0800-00009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4" name="Text Box 184">
          <a:extLst>
            <a:ext uri="{FF2B5EF4-FFF2-40B4-BE49-F238E27FC236}">
              <a16:creationId xmlns:a16="http://schemas.microsoft.com/office/drawing/2014/main" id="{00000000-0008-0000-0800-00009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5" name="Text Box 185">
          <a:extLst>
            <a:ext uri="{FF2B5EF4-FFF2-40B4-BE49-F238E27FC236}">
              <a16:creationId xmlns:a16="http://schemas.microsoft.com/office/drawing/2014/main" id="{00000000-0008-0000-0800-00009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6" name="Text Box 186">
          <a:extLst>
            <a:ext uri="{FF2B5EF4-FFF2-40B4-BE49-F238E27FC236}">
              <a16:creationId xmlns:a16="http://schemas.microsoft.com/office/drawing/2014/main" id="{00000000-0008-0000-0800-00009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7" name="Text Box 187">
          <a:extLst>
            <a:ext uri="{FF2B5EF4-FFF2-40B4-BE49-F238E27FC236}">
              <a16:creationId xmlns:a16="http://schemas.microsoft.com/office/drawing/2014/main" id="{00000000-0008-0000-0800-00009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8" name="Text Box 188">
          <a:extLst>
            <a:ext uri="{FF2B5EF4-FFF2-40B4-BE49-F238E27FC236}">
              <a16:creationId xmlns:a16="http://schemas.microsoft.com/office/drawing/2014/main" id="{00000000-0008-0000-0800-00009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9" name="Text Box 189">
          <a:extLst>
            <a:ext uri="{FF2B5EF4-FFF2-40B4-BE49-F238E27FC236}">
              <a16:creationId xmlns:a16="http://schemas.microsoft.com/office/drawing/2014/main" id="{00000000-0008-0000-0800-00009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0" name="Text Box 190">
          <a:extLst>
            <a:ext uri="{FF2B5EF4-FFF2-40B4-BE49-F238E27FC236}">
              <a16:creationId xmlns:a16="http://schemas.microsoft.com/office/drawing/2014/main" id="{00000000-0008-0000-0800-00009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1" name="Text Box 191">
          <a:extLst>
            <a:ext uri="{FF2B5EF4-FFF2-40B4-BE49-F238E27FC236}">
              <a16:creationId xmlns:a16="http://schemas.microsoft.com/office/drawing/2014/main" id="{00000000-0008-0000-0800-00009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2" name="Text Box 192">
          <a:extLst>
            <a:ext uri="{FF2B5EF4-FFF2-40B4-BE49-F238E27FC236}">
              <a16:creationId xmlns:a16="http://schemas.microsoft.com/office/drawing/2014/main" id="{00000000-0008-0000-0800-00009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3" name="Text Box 193">
          <a:extLst>
            <a:ext uri="{FF2B5EF4-FFF2-40B4-BE49-F238E27FC236}">
              <a16:creationId xmlns:a16="http://schemas.microsoft.com/office/drawing/2014/main" id="{00000000-0008-0000-0800-00009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4" name="Text Box 194">
          <a:extLst>
            <a:ext uri="{FF2B5EF4-FFF2-40B4-BE49-F238E27FC236}">
              <a16:creationId xmlns:a16="http://schemas.microsoft.com/office/drawing/2014/main" id="{00000000-0008-0000-0800-00009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5" name="Text Box 195">
          <a:extLst>
            <a:ext uri="{FF2B5EF4-FFF2-40B4-BE49-F238E27FC236}">
              <a16:creationId xmlns:a16="http://schemas.microsoft.com/office/drawing/2014/main" id="{00000000-0008-0000-0800-00009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6" name="Text Box 196">
          <a:extLst>
            <a:ext uri="{FF2B5EF4-FFF2-40B4-BE49-F238E27FC236}">
              <a16:creationId xmlns:a16="http://schemas.microsoft.com/office/drawing/2014/main" id="{00000000-0008-0000-0800-00009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7" name="Text Box 197">
          <a:extLst>
            <a:ext uri="{FF2B5EF4-FFF2-40B4-BE49-F238E27FC236}">
              <a16:creationId xmlns:a16="http://schemas.microsoft.com/office/drawing/2014/main" id="{00000000-0008-0000-0800-00009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8" name="Text Box 198">
          <a:extLst>
            <a:ext uri="{FF2B5EF4-FFF2-40B4-BE49-F238E27FC236}">
              <a16:creationId xmlns:a16="http://schemas.microsoft.com/office/drawing/2014/main" id="{00000000-0008-0000-0800-0000A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9" name="Text Box 199">
          <a:extLst>
            <a:ext uri="{FF2B5EF4-FFF2-40B4-BE49-F238E27FC236}">
              <a16:creationId xmlns:a16="http://schemas.microsoft.com/office/drawing/2014/main" id="{00000000-0008-0000-0800-0000A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0" name="Text Box 200">
          <a:extLst>
            <a:ext uri="{FF2B5EF4-FFF2-40B4-BE49-F238E27FC236}">
              <a16:creationId xmlns:a16="http://schemas.microsoft.com/office/drawing/2014/main" id="{00000000-0008-0000-0800-0000A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1" name="Text Box 201">
          <a:extLst>
            <a:ext uri="{FF2B5EF4-FFF2-40B4-BE49-F238E27FC236}">
              <a16:creationId xmlns:a16="http://schemas.microsoft.com/office/drawing/2014/main" id="{00000000-0008-0000-0800-0000A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2" name="Text Box 202">
          <a:extLst>
            <a:ext uri="{FF2B5EF4-FFF2-40B4-BE49-F238E27FC236}">
              <a16:creationId xmlns:a16="http://schemas.microsoft.com/office/drawing/2014/main" id="{00000000-0008-0000-0800-0000A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3" name="Text Box 203">
          <a:extLst>
            <a:ext uri="{FF2B5EF4-FFF2-40B4-BE49-F238E27FC236}">
              <a16:creationId xmlns:a16="http://schemas.microsoft.com/office/drawing/2014/main" id="{00000000-0008-0000-0800-0000A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4" name="Text Box 204">
          <a:extLst>
            <a:ext uri="{FF2B5EF4-FFF2-40B4-BE49-F238E27FC236}">
              <a16:creationId xmlns:a16="http://schemas.microsoft.com/office/drawing/2014/main" id="{00000000-0008-0000-0800-0000A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5" name="Text Box 205">
          <a:extLst>
            <a:ext uri="{FF2B5EF4-FFF2-40B4-BE49-F238E27FC236}">
              <a16:creationId xmlns:a16="http://schemas.microsoft.com/office/drawing/2014/main" id="{00000000-0008-0000-0800-0000A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6" name="Text Box 206">
          <a:extLst>
            <a:ext uri="{FF2B5EF4-FFF2-40B4-BE49-F238E27FC236}">
              <a16:creationId xmlns:a16="http://schemas.microsoft.com/office/drawing/2014/main" id="{00000000-0008-0000-0800-0000A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7" name="Text Box 207">
          <a:extLst>
            <a:ext uri="{FF2B5EF4-FFF2-40B4-BE49-F238E27FC236}">
              <a16:creationId xmlns:a16="http://schemas.microsoft.com/office/drawing/2014/main" id="{00000000-0008-0000-0800-0000A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8" name="Text Box 208">
          <a:extLst>
            <a:ext uri="{FF2B5EF4-FFF2-40B4-BE49-F238E27FC236}">
              <a16:creationId xmlns:a16="http://schemas.microsoft.com/office/drawing/2014/main" id="{00000000-0008-0000-0800-0000A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9" name="Text Box 209">
          <a:extLst>
            <a:ext uri="{FF2B5EF4-FFF2-40B4-BE49-F238E27FC236}">
              <a16:creationId xmlns:a16="http://schemas.microsoft.com/office/drawing/2014/main" id="{00000000-0008-0000-0800-0000A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0" name="Text Box 210">
          <a:extLst>
            <a:ext uri="{FF2B5EF4-FFF2-40B4-BE49-F238E27FC236}">
              <a16:creationId xmlns:a16="http://schemas.microsoft.com/office/drawing/2014/main" id="{00000000-0008-0000-0800-0000A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1" name="Text Box 211">
          <a:extLst>
            <a:ext uri="{FF2B5EF4-FFF2-40B4-BE49-F238E27FC236}">
              <a16:creationId xmlns:a16="http://schemas.microsoft.com/office/drawing/2014/main" id="{00000000-0008-0000-0800-0000A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2" name="Text Box 212">
          <a:extLst>
            <a:ext uri="{FF2B5EF4-FFF2-40B4-BE49-F238E27FC236}">
              <a16:creationId xmlns:a16="http://schemas.microsoft.com/office/drawing/2014/main" id="{00000000-0008-0000-0800-0000A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3" name="Text Box 213">
          <a:extLst>
            <a:ext uri="{FF2B5EF4-FFF2-40B4-BE49-F238E27FC236}">
              <a16:creationId xmlns:a16="http://schemas.microsoft.com/office/drawing/2014/main" id="{00000000-0008-0000-0800-0000A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4" name="Text Box 214">
          <a:extLst>
            <a:ext uri="{FF2B5EF4-FFF2-40B4-BE49-F238E27FC236}">
              <a16:creationId xmlns:a16="http://schemas.microsoft.com/office/drawing/2014/main" id="{00000000-0008-0000-0800-0000B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5" name="Text Box 215">
          <a:extLst>
            <a:ext uri="{FF2B5EF4-FFF2-40B4-BE49-F238E27FC236}">
              <a16:creationId xmlns:a16="http://schemas.microsoft.com/office/drawing/2014/main" id="{00000000-0008-0000-0800-0000B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6" name="Text Box 216">
          <a:extLst>
            <a:ext uri="{FF2B5EF4-FFF2-40B4-BE49-F238E27FC236}">
              <a16:creationId xmlns:a16="http://schemas.microsoft.com/office/drawing/2014/main" id="{00000000-0008-0000-0800-0000B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7" name="Text Box 217">
          <a:extLst>
            <a:ext uri="{FF2B5EF4-FFF2-40B4-BE49-F238E27FC236}">
              <a16:creationId xmlns:a16="http://schemas.microsoft.com/office/drawing/2014/main" id="{00000000-0008-0000-0800-0000B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8" name="Text Box 218">
          <a:extLst>
            <a:ext uri="{FF2B5EF4-FFF2-40B4-BE49-F238E27FC236}">
              <a16:creationId xmlns:a16="http://schemas.microsoft.com/office/drawing/2014/main" id="{00000000-0008-0000-0800-0000B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9" name="Text Box 219">
          <a:extLst>
            <a:ext uri="{FF2B5EF4-FFF2-40B4-BE49-F238E27FC236}">
              <a16:creationId xmlns:a16="http://schemas.microsoft.com/office/drawing/2014/main" id="{00000000-0008-0000-0800-0000B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0" name="Text Box 220">
          <a:extLst>
            <a:ext uri="{FF2B5EF4-FFF2-40B4-BE49-F238E27FC236}">
              <a16:creationId xmlns:a16="http://schemas.microsoft.com/office/drawing/2014/main" id="{00000000-0008-0000-0800-0000B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1" name="Text Box 221">
          <a:extLst>
            <a:ext uri="{FF2B5EF4-FFF2-40B4-BE49-F238E27FC236}">
              <a16:creationId xmlns:a16="http://schemas.microsoft.com/office/drawing/2014/main" id="{00000000-0008-0000-0800-0000B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2" name="Text Box 222">
          <a:extLst>
            <a:ext uri="{FF2B5EF4-FFF2-40B4-BE49-F238E27FC236}">
              <a16:creationId xmlns:a16="http://schemas.microsoft.com/office/drawing/2014/main" id="{00000000-0008-0000-0800-0000B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3" name="Text Box 223">
          <a:extLst>
            <a:ext uri="{FF2B5EF4-FFF2-40B4-BE49-F238E27FC236}">
              <a16:creationId xmlns:a16="http://schemas.microsoft.com/office/drawing/2014/main" id="{00000000-0008-0000-0800-0000B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4" name="Text Box 224">
          <a:extLst>
            <a:ext uri="{FF2B5EF4-FFF2-40B4-BE49-F238E27FC236}">
              <a16:creationId xmlns:a16="http://schemas.microsoft.com/office/drawing/2014/main" id="{00000000-0008-0000-0800-0000B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5" name="Text Box 225">
          <a:extLst>
            <a:ext uri="{FF2B5EF4-FFF2-40B4-BE49-F238E27FC236}">
              <a16:creationId xmlns:a16="http://schemas.microsoft.com/office/drawing/2014/main" id="{00000000-0008-0000-0800-0000B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6" name="Text Box 226">
          <a:extLst>
            <a:ext uri="{FF2B5EF4-FFF2-40B4-BE49-F238E27FC236}">
              <a16:creationId xmlns:a16="http://schemas.microsoft.com/office/drawing/2014/main" id="{00000000-0008-0000-0800-0000B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7" name="Text Box 227">
          <a:extLst>
            <a:ext uri="{FF2B5EF4-FFF2-40B4-BE49-F238E27FC236}">
              <a16:creationId xmlns:a16="http://schemas.microsoft.com/office/drawing/2014/main" id="{00000000-0008-0000-0800-0000B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8" name="Text Box 228">
          <a:extLst>
            <a:ext uri="{FF2B5EF4-FFF2-40B4-BE49-F238E27FC236}">
              <a16:creationId xmlns:a16="http://schemas.microsoft.com/office/drawing/2014/main" id="{00000000-0008-0000-0800-0000B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9" name="Text Box 229">
          <a:extLst>
            <a:ext uri="{FF2B5EF4-FFF2-40B4-BE49-F238E27FC236}">
              <a16:creationId xmlns:a16="http://schemas.microsoft.com/office/drawing/2014/main" id="{00000000-0008-0000-0800-0000B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0" name="Text Box 230">
          <a:extLst>
            <a:ext uri="{FF2B5EF4-FFF2-40B4-BE49-F238E27FC236}">
              <a16:creationId xmlns:a16="http://schemas.microsoft.com/office/drawing/2014/main" id="{00000000-0008-0000-0800-0000C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1" name="Text Box 231">
          <a:extLst>
            <a:ext uri="{FF2B5EF4-FFF2-40B4-BE49-F238E27FC236}">
              <a16:creationId xmlns:a16="http://schemas.microsoft.com/office/drawing/2014/main" id="{00000000-0008-0000-0800-0000C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2" name="Text Box 232">
          <a:extLst>
            <a:ext uri="{FF2B5EF4-FFF2-40B4-BE49-F238E27FC236}">
              <a16:creationId xmlns:a16="http://schemas.microsoft.com/office/drawing/2014/main" id="{00000000-0008-0000-0800-0000C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3" name="Text Box 233">
          <a:extLst>
            <a:ext uri="{FF2B5EF4-FFF2-40B4-BE49-F238E27FC236}">
              <a16:creationId xmlns:a16="http://schemas.microsoft.com/office/drawing/2014/main" id="{00000000-0008-0000-0800-0000C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4" name="Text Box 234">
          <a:extLst>
            <a:ext uri="{FF2B5EF4-FFF2-40B4-BE49-F238E27FC236}">
              <a16:creationId xmlns:a16="http://schemas.microsoft.com/office/drawing/2014/main" id="{00000000-0008-0000-0800-0000C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5" name="Text Box 235">
          <a:extLst>
            <a:ext uri="{FF2B5EF4-FFF2-40B4-BE49-F238E27FC236}">
              <a16:creationId xmlns:a16="http://schemas.microsoft.com/office/drawing/2014/main" id="{00000000-0008-0000-0800-0000C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6" name="Text Box 236">
          <a:extLst>
            <a:ext uri="{FF2B5EF4-FFF2-40B4-BE49-F238E27FC236}">
              <a16:creationId xmlns:a16="http://schemas.microsoft.com/office/drawing/2014/main" id="{00000000-0008-0000-0800-0000C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7" name="Text Box 237">
          <a:extLst>
            <a:ext uri="{FF2B5EF4-FFF2-40B4-BE49-F238E27FC236}">
              <a16:creationId xmlns:a16="http://schemas.microsoft.com/office/drawing/2014/main" id="{00000000-0008-0000-0800-0000C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8" name="Text Box 238">
          <a:extLst>
            <a:ext uri="{FF2B5EF4-FFF2-40B4-BE49-F238E27FC236}">
              <a16:creationId xmlns:a16="http://schemas.microsoft.com/office/drawing/2014/main" id="{00000000-0008-0000-0800-0000C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9" name="Text Box 239">
          <a:extLst>
            <a:ext uri="{FF2B5EF4-FFF2-40B4-BE49-F238E27FC236}">
              <a16:creationId xmlns:a16="http://schemas.microsoft.com/office/drawing/2014/main" id="{00000000-0008-0000-0800-0000C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0" name="Text Box 240">
          <a:extLst>
            <a:ext uri="{FF2B5EF4-FFF2-40B4-BE49-F238E27FC236}">
              <a16:creationId xmlns:a16="http://schemas.microsoft.com/office/drawing/2014/main" id="{00000000-0008-0000-0800-0000C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1" name="Text Box 241">
          <a:extLst>
            <a:ext uri="{FF2B5EF4-FFF2-40B4-BE49-F238E27FC236}">
              <a16:creationId xmlns:a16="http://schemas.microsoft.com/office/drawing/2014/main" id="{00000000-0008-0000-0800-0000C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2" name="Text Box 242">
          <a:extLst>
            <a:ext uri="{FF2B5EF4-FFF2-40B4-BE49-F238E27FC236}">
              <a16:creationId xmlns:a16="http://schemas.microsoft.com/office/drawing/2014/main" id="{00000000-0008-0000-0800-0000C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3" name="Text Box 243">
          <a:extLst>
            <a:ext uri="{FF2B5EF4-FFF2-40B4-BE49-F238E27FC236}">
              <a16:creationId xmlns:a16="http://schemas.microsoft.com/office/drawing/2014/main" id="{00000000-0008-0000-0800-0000C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4" name="Text Box 244">
          <a:extLst>
            <a:ext uri="{FF2B5EF4-FFF2-40B4-BE49-F238E27FC236}">
              <a16:creationId xmlns:a16="http://schemas.microsoft.com/office/drawing/2014/main" id="{00000000-0008-0000-0800-0000C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5" name="Text Box 245">
          <a:extLst>
            <a:ext uri="{FF2B5EF4-FFF2-40B4-BE49-F238E27FC236}">
              <a16:creationId xmlns:a16="http://schemas.microsoft.com/office/drawing/2014/main" id="{00000000-0008-0000-0800-0000C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6" name="Text Box 246">
          <a:extLst>
            <a:ext uri="{FF2B5EF4-FFF2-40B4-BE49-F238E27FC236}">
              <a16:creationId xmlns:a16="http://schemas.microsoft.com/office/drawing/2014/main" id="{00000000-0008-0000-0800-0000D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7" name="Text Box 247">
          <a:extLst>
            <a:ext uri="{FF2B5EF4-FFF2-40B4-BE49-F238E27FC236}">
              <a16:creationId xmlns:a16="http://schemas.microsoft.com/office/drawing/2014/main" id="{00000000-0008-0000-0800-0000D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8" name="Text Box 248">
          <a:extLst>
            <a:ext uri="{FF2B5EF4-FFF2-40B4-BE49-F238E27FC236}">
              <a16:creationId xmlns:a16="http://schemas.microsoft.com/office/drawing/2014/main" id="{00000000-0008-0000-0800-0000D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9" name="Text Box 249">
          <a:extLst>
            <a:ext uri="{FF2B5EF4-FFF2-40B4-BE49-F238E27FC236}">
              <a16:creationId xmlns:a16="http://schemas.microsoft.com/office/drawing/2014/main" id="{00000000-0008-0000-0800-0000D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0" name="Text Box 250">
          <a:extLst>
            <a:ext uri="{FF2B5EF4-FFF2-40B4-BE49-F238E27FC236}">
              <a16:creationId xmlns:a16="http://schemas.microsoft.com/office/drawing/2014/main" id="{00000000-0008-0000-0800-0000D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1" name="Text Box 251">
          <a:extLst>
            <a:ext uri="{FF2B5EF4-FFF2-40B4-BE49-F238E27FC236}">
              <a16:creationId xmlns:a16="http://schemas.microsoft.com/office/drawing/2014/main" id="{00000000-0008-0000-0800-0000D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2" name="Text Box 252">
          <a:extLst>
            <a:ext uri="{FF2B5EF4-FFF2-40B4-BE49-F238E27FC236}">
              <a16:creationId xmlns:a16="http://schemas.microsoft.com/office/drawing/2014/main" id="{00000000-0008-0000-0800-0000D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3" name="Text Box 253">
          <a:extLst>
            <a:ext uri="{FF2B5EF4-FFF2-40B4-BE49-F238E27FC236}">
              <a16:creationId xmlns:a16="http://schemas.microsoft.com/office/drawing/2014/main" id="{00000000-0008-0000-0800-0000D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4" name="Text Box 254">
          <a:extLst>
            <a:ext uri="{FF2B5EF4-FFF2-40B4-BE49-F238E27FC236}">
              <a16:creationId xmlns:a16="http://schemas.microsoft.com/office/drawing/2014/main" id="{00000000-0008-0000-0800-0000D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5" name="Text Box 255">
          <a:extLst>
            <a:ext uri="{FF2B5EF4-FFF2-40B4-BE49-F238E27FC236}">
              <a16:creationId xmlns:a16="http://schemas.microsoft.com/office/drawing/2014/main" id="{00000000-0008-0000-0800-0000D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6" name="Text Box 256">
          <a:extLst>
            <a:ext uri="{FF2B5EF4-FFF2-40B4-BE49-F238E27FC236}">
              <a16:creationId xmlns:a16="http://schemas.microsoft.com/office/drawing/2014/main" id="{00000000-0008-0000-0800-0000D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7" name="Text Box 257">
          <a:extLst>
            <a:ext uri="{FF2B5EF4-FFF2-40B4-BE49-F238E27FC236}">
              <a16:creationId xmlns:a16="http://schemas.microsoft.com/office/drawing/2014/main" id="{00000000-0008-0000-0800-0000D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8" name="Text Box 258">
          <a:extLst>
            <a:ext uri="{FF2B5EF4-FFF2-40B4-BE49-F238E27FC236}">
              <a16:creationId xmlns:a16="http://schemas.microsoft.com/office/drawing/2014/main" id="{00000000-0008-0000-0800-0000D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9" name="Text Box 259">
          <a:extLst>
            <a:ext uri="{FF2B5EF4-FFF2-40B4-BE49-F238E27FC236}">
              <a16:creationId xmlns:a16="http://schemas.microsoft.com/office/drawing/2014/main" id="{00000000-0008-0000-0800-0000D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0" name="Text Box 260">
          <a:extLst>
            <a:ext uri="{FF2B5EF4-FFF2-40B4-BE49-F238E27FC236}">
              <a16:creationId xmlns:a16="http://schemas.microsoft.com/office/drawing/2014/main" id="{00000000-0008-0000-0800-0000D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1" name="Text Box 261">
          <a:extLst>
            <a:ext uri="{FF2B5EF4-FFF2-40B4-BE49-F238E27FC236}">
              <a16:creationId xmlns:a16="http://schemas.microsoft.com/office/drawing/2014/main" id="{00000000-0008-0000-0800-0000D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2" name="Text Box 262">
          <a:extLst>
            <a:ext uri="{FF2B5EF4-FFF2-40B4-BE49-F238E27FC236}">
              <a16:creationId xmlns:a16="http://schemas.microsoft.com/office/drawing/2014/main" id="{00000000-0008-0000-0800-0000E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3" name="Text Box 263">
          <a:extLst>
            <a:ext uri="{FF2B5EF4-FFF2-40B4-BE49-F238E27FC236}">
              <a16:creationId xmlns:a16="http://schemas.microsoft.com/office/drawing/2014/main" id="{00000000-0008-0000-0800-0000E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4" name="Text Box 264">
          <a:extLst>
            <a:ext uri="{FF2B5EF4-FFF2-40B4-BE49-F238E27FC236}">
              <a16:creationId xmlns:a16="http://schemas.microsoft.com/office/drawing/2014/main" id="{00000000-0008-0000-0800-0000E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5" name="Text Box 265">
          <a:extLst>
            <a:ext uri="{FF2B5EF4-FFF2-40B4-BE49-F238E27FC236}">
              <a16:creationId xmlns:a16="http://schemas.microsoft.com/office/drawing/2014/main" id="{00000000-0008-0000-0800-0000E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6" name="Text Box 266">
          <a:extLst>
            <a:ext uri="{FF2B5EF4-FFF2-40B4-BE49-F238E27FC236}">
              <a16:creationId xmlns:a16="http://schemas.microsoft.com/office/drawing/2014/main" id="{00000000-0008-0000-0800-0000E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7" name="Text Box 267">
          <a:extLst>
            <a:ext uri="{FF2B5EF4-FFF2-40B4-BE49-F238E27FC236}">
              <a16:creationId xmlns:a16="http://schemas.microsoft.com/office/drawing/2014/main" id="{00000000-0008-0000-0800-0000E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8" name="Text Box 268">
          <a:extLst>
            <a:ext uri="{FF2B5EF4-FFF2-40B4-BE49-F238E27FC236}">
              <a16:creationId xmlns:a16="http://schemas.microsoft.com/office/drawing/2014/main" id="{00000000-0008-0000-0800-0000E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9" name="Text Box 269">
          <a:extLst>
            <a:ext uri="{FF2B5EF4-FFF2-40B4-BE49-F238E27FC236}">
              <a16:creationId xmlns:a16="http://schemas.microsoft.com/office/drawing/2014/main" id="{00000000-0008-0000-0800-0000E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0" name="Text Box 270">
          <a:extLst>
            <a:ext uri="{FF2B5EF4-FFF2-40B4-BE49-F238E27FC236}">
              <a16:creationId xmlns:a16="http://schemas.microsoft.com/office/drawing/2014/main" id="{00000000-0008-0000-0800-0000E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1" name="Text Box 271">
          <a:extLst>
            <a:ext uri="{FF2B5EF4-FFF2-40B4-BE49-F238E27FC236}">
              <a16:creationId xmlns:a16="http://schemas.microsoft.com/office/drawing/2014/main" id="{00000000-0008-0000-0800-0000E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2" name="Text Box 272">
          <a:extLst>
            <a:ext uri="{FF2B5EF4-FFF2-40B4-BE49-F238E27FC236}">
              <a16:creationId xmlns:a16="http://schemas.microsoft.com/office/drawing/2014/main" id="{00000000-0008-0000-0800-0000E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3" name="Text Box 273">
          <a:extLst>
            <a:ext uri="{FF2B5EF4-FFF2-40B4-BE49-F238E27FC236}">
              <a16:creationId xmlns:a16="http://schemas.microsoft.com/office/drawing/2014/main" id="{00000000-0008-0000-0800-0000E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4" name="Text Box 274">
          <a:extLst>
            <a:ext uri="{FF2B5EF4-FFF2-40B4-BE49-F238E27FC236}">
              <a16:creationId xmlns:a16="http://schemas.microsoft.com/office/drawing/2014/main" id="{00000000-0008-0000-0800-0000E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5" name="Text Box 275">
          <a:extLst>
            <a:ext uri="{FF2B5EF4-FFF2-40B4-BE49-F238E27FC236}">
              <a16:creationId xmlns:a16="http://schemas.microsoft.com/office/drawing/2014/main" id="{00000000-0008-0000-0800-0000E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6" name="Text Box 276">
          <a:extLst>
            <a:ext uri="{FF2B5EF4-FFF2-40B4-BE49-F238E27FC236}">
              <a16:creationId xmlns:a16="http://schemas.microsoft.com/office/drawing/2014/main" id="{00000000-0008-0000-0800-0000E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7" name="Text Box 277">
          <a:extLst>
            <a:ext uri="{FF2B5EF4-FFF2-40B4-BE49-F238E27FC236}">
              <a16:creationId xmlns:a16="http://schemas.microsoft.com/office/drawing/2014/main" id="{00000000-0008-0000-0800-0000E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8" name="Text Box 278">
          <a:extLst>
            <a:ext uri="{FF2B5EF4-FFF2-40B4-BE49-F238E27FC236}">
              <a16:creationId xmlns:a16="http://schemas.microsoft.com/office/drawing/2014/main" id="{00000000-0008-0000-0800-0000F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9" name="Text Box 279">
          <a:extLst>
            <a:ext uri="{FF2B5EF4-FFF2-40B4-BE49-F238E27FC236}">
              <a16:creationId xmlns:a16="http://schemas.microsoft.com/office/drawing/2014/main" id="{00000000-0008-0000-0800-0000F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0" name="Text Box 280">
          <a:extLst>
            <a:ext uri="{FF2B5EF4-FFF2-40B4-BE49-F238E27FC236}">
              <a16:creationId xmlns:a16="http://schemas.microsoft.com/office/drawing/2014/main" id="{00000000-0008-0000-0800-0000F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1" name="Text Box 281">
          <a:extLst>
            <a:ext uri="{FF2B5EF4-FFF2-40B4-BE49-F238E27FC236}">
              <a16:creationId xmlns:a16="http://schemas.microsoft.com/office/drawing/2014/main" id="{00000000-0008-0000-0800-0000F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2" name="Text Box 282">
          <a:extLst>
            <a:ext uri="{FF2B5EF4-FFF2-40B4-BE49-F238E27FC236}">
              <a16:creationId xmlns:a16="http://schemas.microsoft.com/office/drawing/2014/main" id="{00000000-0008-0000-0800-0000F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3" name="Text Box 283">
          <a:extLst>
            <a:ext uri="{FF2B5EF4-FFF2-40B4-BE49-F238E27FC236}">
              <a16:creationId xmlns:a16="http://schemas.microsoft.com/office/drawing/2014/main" id="{00000000-0008-0000-0800-0000F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4" name="Text Box 284">
          <a:extLst>
            <a:ext uri="{FF2B5EF4-FFF2-40B4-BE49-F238E27FC236}">
              <a16:creationId xmlns:a16="http://schemas.microsoft.com/office/drawing/2014/main" id="{00000000-0008-0000-0800-0000F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5" name="Text Box 285">
          <a:extLst>
            <a:ext uri="{FF2B5EF4-FFF2-40B4-BE49-F238E27FC236}">
              <a16:creationId xmlns:a16="http://schemas.microsoft.com/office/drawing/2014/main" id="{00000000-0008-0000-0800-0000F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6" name="Text Box 286">
          <a:extLst>
            <a:ext uri="{FF2B5EF4-FFF2-40B4-BE49-F238E27FC236}">
              <a16:creationId xmlns:a16="http://schemas.microsoft.com/office/drawing/2014/main" id="{00000000-0008-0000-0800-0000F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7" name="Text Box 287">
          <a:extLst>
            <a:ext uri="{FF2B5EF4-FFF2-40B4-BE49-F238E27FC236}">
              <a16:creationId xmlns:a16="http://schemas.microsoft.com/office/drawing/2014/main" id="{00000000-0008-0000-0800-0000F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8" name="Text Box 288">
          <a:extLst>
            <a:ext uri="{FF2B5EF4-FFF2-40B4-BE49-F238E27FC236}">
              <a16:creationId xmlns:a16="http://schemas.microsoft.com/office/drawing/2014/main" id="{00000000-0008-0000-0800-0000F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9" name="Text Box 289">
          <a:extLst>
            <a:ext uri="{FF2B5EF4-FFF2-40B4-BE49-F238E27FC236}">
              <a16:creationId xmlns:a16="http://schemas.microsoft.com/office/drawing/2014/main" id="{00000000-0008-0000-0800-0000F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0" name="Text Box 290">
          <a:extLst>
            <a:ext uri="{FF2B5EF4-FFF2-40B4-BE49-F238E27FC236}">
              <a16:creationId xmlns:a16="http://schemas.microsoft.com/office/drawing/2014/main" id="{00000000-0008-0000-0800-0000F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1" name="Text Box 291">
          <a:extLst>
            <a:ext uri="{FF2B5EF4-FFF2-40B4-BE49-F238E27FC236}">
              <a16:creationId xmlns:a16="http://schemas.microsoft.com/office/drawing/2014/main" id="{00000000-0008-0000-0800-0000F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2" name="Text Box 292">
          <a:extLst>
            <a:ext uri="{FF2B5EF4-FFF2-40B4-BE49-F238E27FC236}">
              <a16:creationId xmlns:a16="http://schemas.microsoft.com/office/drawing/2014/main" id="{00000000-0008-0000-0800-0000F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3" name="Text Box 293">
          <a:extLst>
            <a:ext uri="{FF2B5EF4-FFF2-40B4-BE49-F238E27FC236}">
              <a16:creationId xmlns:a16="http://schemas.microsoft.com/office/drawing/2014/main" id="{00000000-0008-0000-0800-0000F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4" name="Text Box 294">
          <a:extLst>
            <a:ext uri="{FF2B5EF4-FFF2-40B4-BE49-F238E27FC236}">
              <a16:creationId xmlns:a16="http://schemas.microsoft.com/office/drawing/2014/main" id="{00000000-0008-0000-0800-00000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5" name="Text Box 295">
          <a:extLst>
            <a:ext uri="{FF2B5EF4-FFF2-40B4-BE49-F238E27FC236}">
              <a16:creationId xmlns:a16="http://schemas.microsoft.com/office/drawing/2014/main" id="{00000000-0008-0000-0800-00000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6" name="Text Box 296">
          <a:extLst>
            <a:ext uri="{FF2B5EF4-FFF2-40B4-BE49-F238E27FC236}">
              <a16:creationId xmlns:a16="http://schemas.microsoft.com/office/drawing/2014/main" id="{00000000-0008-0000-0800-00000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7" name="Text Box 297">
          <a:extLst>
            <a:ext uri="{FF2B5EF4-FFF2-40B4-BE49-F238E27FC236}">
              <a16:creationId xmlns:a16="http://schemas.microsoft.com/office/drawing/2014/main" id="{00000000-0008-0000-0800-00000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8" name="Text Box 298">
          <a:extLst>
            <a:ext uri="{FF2B5EF4-FFF2-40B4-BE49-F238E27FC236}">
              <a16:creationId xmlns:a16="http://schemas.microsoft.com/office/drawing/2014/main" id="{00000000-0008-0000-0800-00000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9" name="Text Box 299">
          <a:extLst>
            <a:ext uri="{FF2B5EF4-FFF2-40B4-BE49-F238E27FC236}">
              <a16:creationId xmlns:a16="http://schemas.microsoft.com/office/drawing/2014/main" id="{00000000-0008-0000-0800-00000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0" name="Text Box 300">
          <a:extLst>
            <a:ext uri="{FF2B5EF4-FFF2-40B4-BE49-F238E27FC236}">
              <a16:creationId xmlns:a16="http://schemas.microsoft.com/office/drawing/2014/main" id="{00000000-0008-0000-0800-00000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1" name="Text Box 301">
          <a:extLst>
            <a:ext uri="{FF2B5EF4-FFF2-40B4-BE49-F238E27FC236}">
              <a16:creationId xmlns:a16="http://schemas.microsoft.com/office/drawing/2014/main" id="{00000000-0008-0000-0800-00000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2" name="Text Box 302">
          <a:extLst>
            <a:ext uri="{FF2B5EF4-FFF2-40B4-BE49-F238E27FC236}">
              <a16:creationId xmlns:a16="http://schemas.microsoft.com/office/drawing/2014/main" id="{00000000-0008-0000-0800-00000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3" name="Text Box 303">
          <a:extLst>
            <a:ext uri="{FF2B5EF4-FFF2-40B4-BE49-F238E27FC236}">
              <a16:creationId xmlns:a16="http://schemas.microsoft.com/office/drawing/2014/main" id="{00000000-0008-0000-0800-00000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4" name="Text Box 304">
          <a:extLst>
            <a:ext uri="{FF2B5EF4-FFF2-40B4-BE49-F238E27FC236}">
              <a16:creationId xmlns:a16="http://schemas.microsoft.com/office/drawing/2014/main" id="{00000000-0008-0000-0800-00000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5" name="Text Box 305">
          <a:extLst>
            <a:ext uri="{FF2B5EF4-FFF2-40B4-BE49-F238E27FC236}">
              <a16:creationId xmlns:a16="http://schemas.microsoft.com/office/drawing/2014/main" id="{00000000-0008-0000-0800-00000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6" name="Text Box 306">
          <a:extLst>
            <a:ext uri="{FF2B5EF4-FFF2-40B4-BE49-F238E27FC236}">
              <a16:creationId xmlns:a16="http://schemas.microsoft.com/office/drawing/2014/main" id="{00000000-0008-0000-0800-00000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7" name="Text Box 307">
          <a:extLst>
            <a:ext uri="{FF2B5EF4-FFF2-40B4-BE49-F238E27FC236}">
              <a16:creationId xmlns:a16="http://schemas.microsoft.com/office/drawing/2014/main" id="{00000000-0008-0000-0800-00000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8" name="Text Box 308">
          <a:extLst>
            <a:ext uri="{FF2B5EF4-FFF2-40B4-BE49-F238E27FC236}">
              <a16:creationId xmlns:a16="http://schemas.microsoft.com/office/drawing/2014/main" id="{00000000-0008-0000-0800-00000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9" name="Text Box 309">
          <a:extLst>
            <a:ext uri="{FF2B5EF4-FFF2-40B4-BE49-F238E27FC236}">
              <a16:creationId xmlns:a16="http://schemas.microsoft.com/office/drawing/2014/main" id="{00000000-0008-0000-0800-00000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0" name="Text Box 310">
          <a:extLst>
            <a:ext uri="{FF2B5EF4-FFF2-40B4-BE49-F238E27FC236}">
              <a16:creationId xmlns:a16="http://schemas.microsoft.com/office/drawing/2014/main" id="{00000000-0008-0000-0800-00001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1" name="Text Box 311">
          <a:extLst>
            <a:ext uri="{FF2B5EF4-FFF2-40B4-BE49-F238E27FC236}">
              <a16:creationId xmlns:a16="http://schemas.microsoft.com/office/drawing/2014/main" id="{00000000-0008-0000-0800-00001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2" name="Text Box 312">
          <a:extLst>
            <a:ext uri="{FF2B5EF4-FFF2-40B4-BE49-F238E27FC236}">
              <a16:creationId xmlns:a16="http://schemas.microsoft.com/office/drawing/2014/main" id="{00000000-0008-0000-0800-00001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3" name="Text Box 313">
          <a:extLst>
            <a:ext uri="{FF2B5EF4-FFF2-40B4-BE49-F238E27FC236}">
              <a16:creationId xmlns:a16="http://schemas.microsoft.com/office/drawing/2014/main" id="{00000000-0008-0000-0800-00001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4" name="Text Box 314">
          <a:extLst>
            <a:ext uri="{FF2B5EF4-FFF2-40B4-BE49-F238E27FC236}">
              <a16:creationId xmlns:a16="http://schemas.microsoft.com/office/drawing/2014/main" id="{00000000-0008-0000-0800-00001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5" name="Text Box 315">
          <a:extLst>
            <a:ext uri="{FF2B5EF4-FFF2-40B4-BE49-F238E27FC236}">
              <a16:creationId xmlns:a16="http://schemas.microsoft.com/office/drawing/2014/main" id="{00000000-0008-0000-0800-00001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6" name="Text Box 316">
          <a:extLst>
            <a:ext uri="{FF2B5EF4-FFF2-40B4-BE49-F238E27FC236}">
              <a16:creationId xmlns:a16="http://schemas.microsoft.com/office/drawing/2014/main" id="{00000000-0008-0000-0800-00001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7" name="Text Box 317">
          <a:extLst>
            <a:ext uri="{FF2B5EF4-FFF2-40B4-BE49-F238E27FC236}">
              <a16:creationId xmlns:a16="http://schemas.microsoft.com/office/drawing/2014/main" id="{00000000-0008-0000-0800-00001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8" name="Text Box 318">
          <a:extLst>
            <a:ext uri="{FF2B5EF4-FFF2-40B4-BE49-F238E27FC236}">
              <a16:creationId xmlns:a16="http://schemas.microsoft.com/office/drawing/2014/main" id="{00000000-0008-0000-0800-00001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9" name="Text Box 319">
          <a:extLst>
            <a:ext uri="{FF2B5EF4-FFF2-40B4-BE49-F238E27FC236}">
              <a16:creationId xmlns:a16="http://schemas.microsoft.com/office/drawing/2014/main" id="{00000000-0008-0000-0800-00001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30" name="Text Box 320">
          <a:extLst>
            <a:ext uri="{FF2B5EF4-FFF2-40B4-BE49-F238E27FC236}">
              <a16:creationId xmlns:a16="http://schemas.microsoft.com/office/drawing/2014/main" id="{00000000-0008-0000-0800-00001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1" name="Text Box 28">
          <a:extLst>
            <a:ext uri="{FF2B5EF4-FFF2-40B4-BE49-F238E27FC236}">
              <a16:creationId xmlns:a16="http://schemas.microsoft.com/office/drawing/2014/main" id="{00000000-0008-0000-0800-00001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2" name="Text Box 29">
          <a:extLst>
            <a:ext uri="{FF2B5EF4-FFF2-40B4-BE49-F238E27FC236}">
              <a16:creationId xmlns:a16="http://schemas.microsoft.com/office/drawing/2014/main" id="{00000000-0008-0000-0800-00001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3" name="Text Box 30">
          <a:extLst>
            <a:ext uri="{FF2B5EF4-FFF2-40B4-BE49-F238E27FC236}">
              <a16:creationId xmlns:a16="http://schemas.microsoft.com/office/drawing/2014/main" id="{00000000-0008-0000-0800-00001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4" name="Text Box 31">
          <a:extLst>
            <a:ext uri="{FF2B5EF4-FFF2-40B4-BE49-F238E27FC236}">
              <a16:creationId xmlns:a16="http://schemas.microsoft.com/office/drawing/2014/main" id="{00000000-0008-0000-0800-00001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5" name="Text Box 32">
          <a:extLst>
            <a:ext uri="{FF2B5EF4-FFF2-40B4-BE49-F238E27FC236}">
              <a16:creationId xmlns:a16="http://schemas.microsoft.com/office/drawing/2014/main" id="{00000000-0008-0000-0800-00001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6" name="Text Box 33">
          <a:extLst>
            <a:ext uri="{FF2B5EF4-FFF2-40B4-BE49-F238E27FC236}">
              <a16:creationId xmlns:a16="http://schemas.microsoft.com/office/drawing/2014/main" id="{00000000-0008-0000-0800-00002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7" name="Text Box 34">
          <a:extLst>
            <a:ext uri="{FF2B5EF4-FFF2-40B4-BE49-F238E27FC236}">
              <a16:creationId xmlns:a16="http://schemas.microsoft.com/office/drawing/2014/main" id="{00000000-0008-0000-0800-00002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8" name="Text Box 35">
          <a:extLst>
            <a:ext uri="{FF2B5EF4-FFF2-40B4-BE49-F238E27FC236}">
              <a16:creationId xmlns:a16="http://schemas.microsoft.com/office/drawing/2014/main" id="{00000000-0008-0000-0800-00002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9" name="Text Box 36">
          <a:extLst>
            <a:ext uri="{FF2B5EF4-FFF2-40B4-BE49-F238E27FC236}">
              <a16:creationId xmlns:a16="http://schemas.microsoft.com/office/drawing/2014/main" id="{00000000-0008-0000-0800-00002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0" name="Text Box 37">
          <a:extLst>
            <a:ext uri="{FF2B5EF4-FFF2-40B4-BE49-F238E27FC236}">
              <a16:creationId xmlns:a16="http://schemas.microsoft.com/office/drawing/2014/main" id="{00000000-0008-0000-0800-00002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1" name="Text Box 38">
          <a:extLst>
            <a:ext uri="{FF2B5EF4-FFF2-40B4-BE49-F238E27FC236}">
              <a16:creationId xmlns:a16="http://schemas.microsoft.com/office/drawing/2014/main" id="{00000000-0008-0000-0800-00002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2" name="Text Box 39">
          <a:extLst>
            <a:ext uri="{FF2B5EF4-FFF2-40B4-BE49-F238E27FC236}">
              <a16:creationId xmlns:a16="http://schemas.microsoft.com/office/drawing/2014/main" id="{00000000-0008-0000-0800-00002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3" name="Text Box 40">
          <a:extLst>
            <a:ext uri="{FF2B5EF4-FFF2-40B4-BE49-F238E27FC236}">
              <a16:creationId xmlns:a16="http://schemas.microsoft.com/office/drawing/2014/main" id="{00000000-0008-0000-0800-00002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4" name="Text Box 41">
          <a:extLst>
            <a:ext uri="{FF2B5EF4-FFF2-40B4-BE49-F238E27FC236}">
              <a16:creationId xmlns:a16="http://schemas.microsoft.com/office/drawing/2014/main" id="{00000000-0008-0000-0800-00002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5" name="Text Box 42">
          <a:extLst>
            <a:ext uri="{FF2B5EF4-FFF2-40B4-BE49-F238E27FC236}">
              <a16:creationId xmlns:a16="http://schemas.microsoft.com/office/drawing/2014/main" id="{00000000-0008-0000-0800-00002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6" name="Text Box 43">
          <a:extLst>
            <a:ext uri="{FF2B5EF4-FFF2-40B4-BE49-F238E27FC236}">
              <a16:creationId xmlns:a16="http://schemas.microsoft.com/office/drawing/2014/main" id="{00000000-0008-0000-0800-00002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7" name="Text Box 44">
          <a:extLst>
            <a:ext uri="{FF2B5EF4-FFF2-40B4-BE49-F238E27FC236}">
              <a16:creationId xmlns:a16="http://schemas.microsoft.com/office/drawing/2014/main" id="{00000000-0008-0000-0800-00002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8" name="Text Box 45">
          <a:extLst>
            <a:ext uri="{FF2B5EF4-FFF2-40B4-BE49-F238E27FC236}">
              <a16:creationId xmlns:a16="http://schemas.microsoft.com/office/drawing/2014/main" id="{00000000-0008-0000-0800-00002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9" name="Text Box 46">
          <a:extLst>
            <a:ext uri="{FF2B5EF4-FFF2-40B4-BE49-F238E27FC236}">
              <a16:creationId xmlns:a16="http://schemas.microsoft.com/office/drawing/2014/main" id="{00000000-0008-0000-0800-00002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0" name="Text Box 47">
          <a:extLst>
            <a:ext uri="{FF2B5EF4-FFF2-40B4-BE49-F238E27FC236}">
              <a16:creationId xmlns:a16="http://schemas.microsoft.com/office/drawing/2014/main" id="{00000000-0008-0000-0800-00002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1" name="Text Box 48">
          <a:extLst>
            <a:ext uri="{FF2B5EF4-FFF2-40B4-BE49-F238E27FC236}">
              <a16:creationId xmlns:a16="http://schemas.microsoft.com/office/drawing/2014/main" id="{00000000-0008-0000-0800-00002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2" name="Text Box 49">
          <a:extLst>
            <a:ext uri="{FF2B5EF4-FFF2-40B4-BE49-F238E27FC236}">
              <a16:creationId xmlns:a16="http://schemas.microsoft.com/office/drawing/2014/main" id="{00000000-0008-0000-0800-00003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3" name="Text Box 50">
          <a:extLst>
            <a:ext uri="{FF2B5EF4-FFF2-40B4-BE49-F238E27FC236}">
              <a16:creationId xmlns:a16="http://schemas.microsoft.com/office/drawing/2014/main" id="{00000000-0008-0000-0800-00003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4" name="Text Box 51">
          <a:extLst>
            <a:ext uri="{FF2B5EF4-FFF2-40B4-BE49-F238E27FC236}">
              <a16:creationId xmlns:a16="http://schemas.microsoft.com/office/drawing/2014/main" id="{00000000-0008-0000-0800-00003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5" name="Text Box 52">
          <a:extLst>
            <a:ext uri="{FF2B5EF4-FFF2-40B4-BE49-F238E27FC236}">
              <a16:creationId xmlns:a16="http://schemas.microsoft.com/office/drawing/2014/main" id="{00000000-0008-0000-0800-00003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6" name="Text Box 53">
          <a:extLst>
            <a:ext uri="{FF2B5EF4-FFF2-40B4-BE49-F238E27FC236}">
              <a16:creationId xmlns:a16="http://schemas.microsoft.com/office/drawing/2014/main" id="{00000000-0008-0000-0800-00003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7" name="Text Box 54">
          <a:extLst>
            <a:ext uri="{FF2B5EF4-FFF2-40B4-BE49-F238E27FC236}">
              <a16:creationId xmlns:a16="http://schemas.microsoft.com/office/drawing/2014/main" id="{00000000-0008-0000-0800-00003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8" name="Text Box 55">
          <a:extLst>
            <a:ext uri="{FF2B5EF4-FFF2-40B4-BE49-F238E27FC236}">
              <a16:creationId xmlns:a16="http://schemas.microsoft.com/office/drawing/2014/main" id="{00000000-0008-0000-0800-00003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9" name="Text Box 56">
          <a:extLst>
            <a:ext uri="{FF2B5EF4-FFF2-40B4-BE49-F238E27FC236}">
              <a16:creationId xmlns:a16="http://schemas.microsoft.com/office/drawing/2014/main" id="{00000000-0008-0000-0800-00003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0" name="Text Box 57">
          <a:extLst>
            <a:ext uri="{FF2B5EF4-FFF2-40B4-BE49-F238E27FC236}">
              <a16:creationId xmlns:a16="http://schemas.microsoft.com/office/drawing/2014/main" id="{00000000-0008-0000-0800-00003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1" name="Text Box 58">
          <a:extLst>
            <a:ext uri="{FF2B5EF4-FFF2-40B4-BE49-F238E27FC236}">
              <a16:creationId xmlns:a16="http://schemas.microsoft.com/office/drawing/2014/main" id="{00000000-0008-0000-0800-00003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2" name="Text Box 59">
          <a:extLst>
            <a:ext uri="{FF2B5EF4-FFF2-40B4-BE49-F238E27FC236}">
              <a16:creationId xmlns:a16="http://schemas.microsoft.com/office/drawing/2014/main" id="{00000000-0008-0000-0800-00003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3" name="Text Box 60">
          <a:extLst>
            <a:ext uri="{FF2B5EF4-FFF2-40B4-BE49-F238E27FC236}">
              <a16:creationId xmlns:a16="http://schemas.microsoft.com/office/drawing/2014/main" id="{00000000-0008-0000-0800-00003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4" name="Text Box 61">
          <a:extLst>
            <a:ext uri="{FF2B5EF4-FFF2-40B4-BE49-F238E27FC236}">
              <a16:creationId xmlns:a16="http://schemas.microsoft.com/office/drawing/2014/main" id="{00000000-0008-0000-0800-00003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5" name="Text Box 62">
          <a:extLst>
            <a:ext uri="{FF2B5EF4-FFF2-40B4-BE49-F238E27FC236}">
              <a16:creationId xmlns:a16="http://schemas.microsoft.com/office/drawing/2014/main" id="{00000000-0008-0000-0800-00003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6" name="Text Box 63">
          <a:extLst>
            <a:ext uri="{FF2B5EF4-FFF2-40B4-BE49-F238E27FC236}">
              <a16:creationId xmlns:a16="http://schemas.microsoft.com/office/drawing/2014/main" id="{00000000-0008-0000-0800-00003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7" name="Text Box 64">
          <a:extLst>
            <a:ext uri="{FF2B5EF4-FFF2-40B4-BE49-F238E27FC236}">
              <a16:creationId xmlns:a16="http://schemas.microsoft.com/office/drawing/2014/main" id="{00000000-0008-0000-0800-00003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8" name="Text Box 65">
          <a:extLst>
            <a:ext uri="{FF2B5EF4-FFF2-40B4-BE49-F238E27FC236}">
              <a16:creationId xmlns:a16="http://schemas.microsoft.com/office/drawing/2014/main" id="{00000000-0008-0000-0800-00004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9" name="Text Box 66">
          <a:extLst>
            <a:ext uri="{FF2B5EF4-FFF2-40B4-BE49-F238E27FC236}">
              <a16:creationId xmlns:a16="http://schemas.microsoft.com/office/drawing/2014/main" id="{00000000-0008-0000-0800-00004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0" name="Text Box 67">
          <a:extLst>
            <a:ext uri="{FF2B5EF4-FFF2-40B4-BE49-F238E27FC236}">
              <a16:creationId xmlns:a16="http://schemas.microsoft.com/office/drawing/2014/main" id="{00000000-0008-0000-0800-00004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1" name="Text Box 68">
          <a:extLst>
            <a:ext uri="{FF2B5EF4-FFF2-40B4-BE49-F238E27FC236}">
              <a16:creationId xmlns:a16="http://schemas.microsoft.com/office/drawing/2014/main" id="{00000000-0008-0000-0800-00004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2" name="Text Box 69">
          <a:extLst>
            <a:ext uri="{FF2B5EF4-FFF2-40B4-BE49-F238E27FC236}">
              <a16:creationId xmlns:a16="http://schemas.microsoft.com/office/drawing/2014/main" id="{00000000-0008-0000-0800-00004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3" name="Text Box 70">
          <a:extLst>
            <a:ext uri="{FF2B5EF4-FFF2-40B4-BE49-F238E27FC236}">
              <a16:creationId xmlns:a16="http://schemas.microsoft.com/office/drawing/2014/main" id="{00000000-0008-0000-0800-00004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4" name="Text Box 71">
          <a:extLst>
            <a:ext uri="{FF2B5EF4-FFF2-40B4-BE49-F238E27FC236}">
              <a16:creationId xmlns:a16="http://schemas.microsoft.com/office/drawing/2014/main" id="{00000000-0008-0000-0800-00004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5" name="Text Box 72">
          <a:extLst>
            <a:ext uri="{FF2B5EF4-FFF2-40B4-BE49-F238E27FC236}">
              <a16:creationId xmlns:a16="http://schemas.microsoft.com/office/drawing/2014/main" id="{00000000-0008-0000-0800-00004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6" name="Text Box 73">
          <a:extLst>
            <a:ext uri="{FF2B5EF4-FFF2-40B4-BE49-F238E27FC236}">
              <a16:creationId xmlns:a16="http://schemas.microsoft.com/office/drawing/2014/main" id="{00000000-0008-0000-0800-00004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7" name="Text Box 74">
          <a:extLst>
            <a:ext uri="{FF2B5EF4-FFF2-40B4-BE49-F238E27FC236}">
              <a16:creationId xmlns:a16="http://schemas.microsoft.com/office/drawing/2014/main" id="{00000000-0008-0000-0800-00004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8" name="Text Box 75">
          <a:extLst>
            <a:ext uri="{FF2B5EF4-FFF2-40B4-BE49-F238E27FC236}">
              <a16:creationId xmlns:a16="http://schemas.microsoft.com/office/drawing/2014/main" id="{00000000-0008-0000-0800-00004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9" name="Text Box 76">
          <a:extLst>
            <a:ext uri="{FF2B5EF4-FFF2-40B4-BE49-F238E27FC236}">
              <a16:creationId xmlns:a16="http://schemas.microsoft.com/office/drawing/2014/main" id="{00000000-0008-0000-0800-00004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0" name="Text Box 77">
          <a:extLst>
            <a:ext uri="{FF2B5EF4-FFF2-40B4-BE49-F238E27FC236}">
              <a16:creationId xmlns:a16="http://schemas.microsoft.com/office/drawing/2014/main" id="{00000000-0008-0000-0800-00004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1" name="Text Box 78">
          <a:extLst>
            <a:ext uri="{FF2B5EF4-FFF2-40B4-BE49-F238E27FC236}">
              <a16:creationId xmlns:a16="http://schemas.microsoft.com/office/drawing/2014/main" id="{00000000-0008-0000-0800-00004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2" name="Text Box 79">
          <a:extLst>
            <a:ext uri="{FF2B5EF4-FFF2-40B4-BE49-F238E27FC236}">
              <a16:creationId xmlns:a16="http://schemas.microsoft.com/office/drawing/2014/main" id="{00000000-0008-0000-0800-00004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3" name="Text Box 80">
          <a:extLst>
            <a:ext uri="{FF2B5EF4-FFF2-40B4-BE49-F238E27FC236}">
              <a16:creationId xmlns:a16="http://schemas.microsoft.com/office/drawing/2014/main" id="{00000000-0008-0000-0800-00004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4" name="Text Box 81">
          <a:extLst>
            <a:ext uri="{FF2B5EF4-FFF2-40B4-BE49-F238E27FC236}">
              <a16:creationId xmlns:a16="http://schemas.microsoft.com/office/drawing/2014/main" id="{00000000-0008-0000-0800-00005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5" name="Text Box 82">
          <a:extLst>
            <a:ext uri="{FF2B5EF4-FFF2-40B4-BE49-F238E27FC236}">
              <a16:creationId xmlns:a16="http://schemas.microsoft.com/office/drawing/2014/main" id="{00000000-0008-0000-0800-00005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6" name="Text Box 83">
          <a:extLst>
            <a:ext uri="{FF2B5EF4-FFF2-40B4-BE49-F238E27FC236}">
              <a16:creationId xmlns:a16="http://schemas.microsoft.com/office/drawing/2014/main" id="{00000000-0008-0000-0800-00005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7" name="Text Box 84">
          <a:extLst>
            <a:ext uri="{FF2B5EF4-FFF2-40B4-BE49-F238E27FC236}">
              <a16:creationId xmlns:a16="http://schemas.microsoft.com/office/drawing/2014/main" id="{00000000-0008-0000-0800-00005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8" name="Text Box 85">
          <a:extLst>
            <a:ext uri="{FF2B5EF4-FFF2-40B4-BE49-F238E27FC236}">
              <a16:creationId xmlns:a16="http://schemas.microsoft.com/office/drawing/2014/main" id="{00000000-0008-0000-0800-00005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9" name="Text Box 86">
          <a:extLst>
            <a:ext uri="{FF2B5EF4-FFF2-40B4-BE49-F238E27FC236}">
              <a16:creationId xmlns:a16="http://schemas.microsoft.com/office/drawing/2014/main" id="{00000000-0008-0000-0800-00005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0" name="Text Box 87">
          <a:extLst>
            <a:ext uri="{FF2B5EF4-FFF2-40B4-BE49-F238E27FC236}">
              <a16:creationId xmlns:a16="http://schemas.microsoft.com/office/drawing/2014/main" id="{00000000-0008-0000-0800-00005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1" name="Text Box 88">
          <a:extLst>
            <a:ext uri="{FF2B5EF4-FFF2-40B4-BE49-F238E27FC236}">
              <a16:creationId xmlns:a16="http://schemas.microsoft.com/office/drawing/2014/main" id="{00000000-0008-0000-0800-00005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2" name="Text Box 89">
          <a:extLst>
            <a:ext uri="{FF2B5EF4-FFF2-40B4-BE49-F238E27FC236}">
              <a16:creationId xmlns:a16="http://schemas.microsoft.com/office/drawing/2014/main" id="{00000000-0008-0000-0800-00005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3" name="Text Box 90">
          <a:extLst>
            <a:ext uri="{FF2B5EF4-FFF2-40B4-BE49-F238E27FC236}">
              <a16:creationId xmlns:a16="http://schemas.microsoft.com/office/drawing/2014/main" id="{00000000-0008-0000-0800-00005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4" name="Text Box 91">
          <a:extLst>
            <a:ext uri="{FF2B5EF4-FFF2-40B4-BE49-F238E27FC236}">
              <a16:creationId xmlns:a16="http://schemas.microsoft.com/office/drawing/2014/main" id="{00000000-0008-0000-0800-00005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5" name="Text Box 92">
          <a:extLst>
            <a:ext uri="{FF2B5EF4-FFF2-40B4-BE49-F238E27FC236}">
              <a16:creationId xmlns:a16="http://schemas.microsoft.com/office/drawing/2014/main" id="{00000000-0008-0000-0800-00005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6" name="Text Box 93">
          <a:extLst>
            <a:ext uri="{FF2B5EF4-FFF2-40B4-BE49-F238E27FC236}">
              <a16:creationId xmlns:a16="http://schemas.microsoft.com/office/drawing/2014/main" id="{00000000-0008-0000-0800-00005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7" name="Text Box 94">
          <a:extLst>
            <a:ext uri="{FF2B5EF4-FFF2-40B4-BE49-F238E27FC236}">
              <a16:creationId xmlns:a16="http://schemas.microsoft.com/office/drawing/2014/main" id="{00000000-0008-0000-0800-00005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8" name="Text Box 95">
          <a:extLst>
            <a:ext uri="{FF2B5EF4-FFF2-40B4-BE49-F238E27FC236}">
              <a16:creationId xmlns:a16="http://schemas.microsoft.com/office/drawing/2014/main" id="{00000000-0008-0000-0800-00005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9" name="Text Box 96">
          <a:extLst>
            <a:ext uri="{FF2B5EF4-FFF2-40B4-BE49-F238E27FC236}">
              <a16:creationId xmlns:a16="http://schemas.microsoft.com/office/drawing/2014/main" id="{00000000-0008-0000-0800-00005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00" name="Text Box 97">
          <a:extLst>
            <a:ext uri="{FF2B5EF4-FFF2-40B4-BE49-F238E27FC236}">
              <a16:creationId xmlns:a16="http://schemas.microsoft.com/office/drawing/2014/main" id="{00000000-0008-0000-0800-00006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1" name="Text Box 100">
          <a:extLst>
            <a:ext uri="{FF2B5EF4-FFF2-40B4-BE49-F238E27FC236}">
              <a16:creationId xmlns:a16="http://schemas.microsoft.com/office/drawing/2014/main" id="{00000000-0008-0000-0800-00006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2" name="Text Box 101">
          <a:extLst>
            <a:ext uri="{FF2B5EF4-FFF2-40B4-BE49-F238E27FC236}">
              <a16:creationId xmlns:a16="http://schemas.microsoft.com/office/drawing/2014/main" id="{00000000-0008-0000-0800-00006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3" name="Text Box 102">
          <a:extLst>
            <a:ext uri="{FF2B5EF4-FFF2-40B4-BE49-F238E27FC236}">
              <a16:creationId xmlns:a16="http://schemas.microsoft.com/office/drawing/2014/main" id="{00000000-0008-0000-0800-00006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4" name="Text Box 103">
          <a:extLst>
            <a:ext uri="{FF2B5EF4-FFF2-40B4-BE49-F238E27FC236}">
              <a16:creationId xmlns:a16="http://schemas.microsoft.com/office/drawing/2014/main" id="{00000000-0008-0000-0800-00006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5" name="Text Box 104">
          <a:extLst>
            <a:ext uri="{FF2B5EF4-FFF2-40B4-BE49-F238E27FC236}">
              <a16:creationId xmlns:a16="http://schemas.microsoft.com/office/drawing/2014/main" id="{00000000-0008-0000-0800-00006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6" name="Text Box 105">
          <a:extLst>
            <a:ext uri="{FF2B5EF4-FFF2-40B4-BE49-F238E27FC236}">
              <a16:creationId xmlns:a16="http://schemas.microsoft.com/office/drawing/2014/main" id="{00000000-0008-0000-0800-00006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7" name="Text Box 106">
          <a:extLst>
            <a:ext uri="{FF2B5EF4-FFF2-40B4-BE49-F238E27FC236}">
              <a16:creationId xmlns:a16="http://schemas.microsoft.com/office/drawing/2014/main" id="{00000000-0008-0000-0800-00006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8" name="Text Box 107">
          <a:extLst>
            <a:ext uri="{FF2B5EF4-FFF2-40B4-BE49-F238E27FC236}">
              <a16:creationId xmlns:a16="http://schemas.microsoft.com/office/drawing/2014/main" id="{00000000-0008-0000-0800-00006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9" name="Text Box 108">
          <a:extLst>
            <a:ext uri="{FF2B5EF4-FFF2-40B4-BE49-F238E27FC236}">
              <a16:creationId xmlns:a16="http://schemas.microsoft.com/office/drawing/2014/main" id="{00000000-0008-0000-0800-00006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0" name="Text Box 109">
          <a:extLst>
            <a:ext uri="{FF2B5EF4-FFF2-40B4-BE49-F238E27FC236}">
              <a16:creationId xmlns:a16="http://schemas.microsoft.com/office/drawing/2014/main" id="{00000000-0008-0000-0800-00006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1" name="Text Box 110">
          <a:extLst>
            <a:ext uri="{FF2B5EF4-FFF2-40B4-BE49-F238E27FC236}">
              <a16:creationId xmlns:a16="http://schemas.microsoft.com/office/drawing/2014/main" id="{00000000-0008-0000-0800-00006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2" name="Text Box 111">
          <a:extLst>
            <a:ext uri="{FF2B5EF4-FFF2-40B4-BE49-F238E27FC236}">
              <a16:creationId xmlns:a16="http://schemas.microsoft.com/office/drawing/2014/main" id="{00000000-0008-0000-0800-00006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3" name="Text Box 119">
          <a:extLst>
            <a:ext uri="{FF2B5EF4-FFF2-40B4-BE49-F238E27FC236}">
              <a16:creationId xmlns:a16="http://schemas.microsoft.com/office/drawing/2014/main" id="{00000000-0008-0000-0800-00006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4" name="Text Box 120">
          <a:extLst>
            <a:ext uri="{FF2B5EF4-FFF2-40B4-BE49-F238E27FC236}">
              <a16:creationId xmlns:a16="http://schemas.microsoft.com/office/drawing/2014/main" id="{00000000-0008-0000-0800-00006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5" name="Text Box 121">
          <a:extLst>
            <a:ext uri="{FF2B5EF4-FFF2-40B4-BE49-F238E27FC236}">
              <a16:creationId xmlns:a16="http://schemas.microsoft.com/office/drawing/2014/main" id="{00000000-0008-0000-0800-00006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6" name="Text Box 122">
          <a:extLst>
            <a:ext uri="{FF2B5EF4-FFF2-40B4-BE49-F238E27FC236}">
              <a16:creationId xmlns:a16="http://schemas.microsoft.com/office/drawing/2014/main" id="{00000000-0008-0000-0800-00007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7" name="Text Box 123">
          <a:extLst>
            <a:ext uri="{FF2B5EF4-FFF2-40B4-BE49-F238E27FC236}">
              <a16:creationId xmlns:a16="http://schemas.microsoft.com/office/drawing/2014/main" id="{00000000-0008-0000-0800-00007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8" name="Text Box 124">
          <a:extLst>
            <a:ext uri="{FF2B5EF4-FFF2-40B4-BE49-F238E27FC236}">
              <a16:creationId xmlns:a16="http://schemas.microsoft.com/office/drawing/2014/main" id="{00000000-0008-0000-0800-00007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9" name="Text Box 125">
          <a:extLst>
            <a:ext uri="{FF2B5EF4-FFF2-40B4-BE49-F238E27FC236}">
              <a16:creationId xmlns:a16="http://schemas.microsoft.com/office/drawing/2014/main" id="{00000000-0008-0000-0800-00007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0" name="Text Box 126">
          <a:extLst>
            <a:ext uri="{FF2B5EF4-FFF2-40B4-BE49-F238E27FC236}">
              <a16:creationId xmlns:a16="http://schemas.microsoft.com/office/drawing/2014/main" id="{00000000-0008-0000-0800-00007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1" name="Text Box 127">
          <a:extLst>
            <a:ext uri="{FF2B5EF4-FFF2-40B4-BE49-F238E27FC236}">
              <a16:creationId xmlns:a16="http://schemas.microsoft.com/office/drawing/2014/main" id="{00000000-0008-0000-0800-00007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2" name="Text Box 128">
          <a:extLst>
            <a:ext uri="{FF2B5EF4-FFF2-40B4-BE49-F238E27FC236}">
              <a16:creationId xmlns:a16="http://schemas.microsoft.com/office/drawing/2014/main" id="{00000000-0008-0000-0800-00007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3" name="Text Box 129">
          <a:extLst>
            <a:ext uri="{FF2B5EF4-FFF2-40B4-BE49-F238E27FC236}">
              <a16:creationId xmlns:a16="http://schemas.microsoft.com/office/drawing/2014/main" id="{00000000-0008-0000-0800-00007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4" name="Text Box 130">
          <a:extLst>
            <a:ext uri="{FF2B5EF4-FFF2-40B4-BE49-F238E27FC236}">
              <a16:creationId xmlns:a16="http://schemas.microsoft.com/office/drawing/2014/main" id="{00000000-0008-0000-0800-00007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5" name="Text Box 133">
          <a:extLst>
            <a:ext uri="{FF2B5EF4-FFF2-40B4-BE49-F238E27FC236}">
              <a16:creationId xmlns:a16="http://schemas.microsoft.com/office/drawing/2014/main" id="{00000000-0008-0000-0800-00007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6" name="Text Box 134">
          <a:extLst>
            <a:ext uri="{FF2B5EF4-FFF2-40B4-BE49-F238E27FC236}">
              <a16:creationId xmlns:a16="http://schemas.microsoft.com/office/drawing/2014/main" id="{00000000-0008-0000-0800-00007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7" name="Text Box 135">
          <a:extLst>
            <a:ext uri="{FF2B5EF4-FFF2-40B4-BE49-F238E27FC236}">
              <a16:creationId xmlns:a16="http://schemas.microsoft.com/office/drawing/2014/main" id="{00000000-0008-0000-0800-00007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8" name="Text Box 136">
          <a:extLst>
            <a:ext uri="{FF2B5EF4-FFF2-40B4-BE49-F238E27FC236}">
              <a16:creationId xmlns:a16="http://schemas.microsoft.com/office/drawing/2014/main" id="{00000000-0008-0000-0800-00007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9" name="Text Box 137">
          <a:extLst>
            <a:ext uri="{FF2B5EF4-FFF2-40B4-BE49-F238E27FC236}">
              <a16:creationId xmlns:a16="http://schemas.microsoft.com/office/drawing/2014/main" id="{00000000-0008-0000-0800-00007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0" name="Text Box 138">
          <a:extLst>
            <a:ext uri="{FF2B5EF4-FFF2-40B4-BE49-F238E27FC236}">
              <a16:creationId xmlns:a16="http://schemas.microsoft.com/office/drawing/2014/main" id="{00000000-0008-0000-0800-00007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1" name="Text Box 139">
          <a:extLst>
            <a:ext uri="{FF2B5EF4-FFF2-40B4-BE49-F238E27FC236}">
              <a16:creationId xmlns:a16="http://schemas.microsoft.com/office/drawing/2014/main" id="{00000000-0008-0000-0800-00007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2" name="Text Box 140">
          <a:extLst>
            <a:ext uri="{FF2B5EF4-FFF2-40B4-BE49-F238E27FC236}">
              <a16:creationId xmlns:a16="http://schemas.microsoft.com/office/drawing/2014/main" id="{00000000-0008-0000-0800-00008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3" name="Text Box 141">
          <a:extLst>
            <a:ext uri="{FF2B5EF4-FFF2-40B4-BE49-F238E27FC236}">
              <a16:creationId xmlns:a16="http://schemas.microsoft.com/office/drawing/2014/main" id="{00000000-0008-0000-0800-00008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4" name="Text Box 142">
          <a:extLst>
            <a:ext uri="{FF2B5EF4-FFF2-40B4-BE49-F238E27FC236}">
              <a16:creationId xmlns:a16="http://schemas.microsoft.com/office/drawing/2014/main" id="{00000000-0008-0000-0800-00008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5" name="Text Box 143">
          <a:extLst>
            <a:ext uri="{FF2B5EF4-FFF2-40B4-BE49-F238E27FC236}">
              <a16:creationId xmlns:a16="http://schemas.microsoft.com/office/drawing/2014/main" id="{00000000-0008-0000-0800-00008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6" name="Text Box 144">
          <a:extLst>
            <a:ext uri="{FF2B5EF4-FFF2-40B4-BE49-F238E27FC236}">
              <a16:creationId xmlns:a16="http://schemas.microsoft.com/office/drawing/2014/main" id="{00000000-0008-0000-0800-00008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7" name="Text Box 145">
          <a:extLst>
            <a:ext uri="{FF2B5EF4-FFF2-40B4-BE49-F238E27FC236}">
              <a16:creationId xmlns:a16="http://schemas.microsoft.com/office/drawing/2014/main" id="{00000000-0008-0000-0800-00008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8" name="Text Box 146">
          <a:extLst>
            <a:ext uri="{FF2B5EF4-FFF2-40B4-BE49-F238E27FC236}">
              <a16:creationId xmlns:a16="http://schemas.microsoft.com/office/drawing/2014/main" id="{00000000-0008-0000-0800-00008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9" name="Text Box 147">
          <a:extLst>
            <a:ext uri="{FF2B5EF4-FFF2-40B4-BE49-F238E27FC236}">
              <a16:creationId xmlns:a16="http://schemas.microsoft.com/office/drawing/2014/main" id="{00000000-0008-0000-0800-00008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0" name="Text Box 148">
          <a:extLst>
            <a:ext uri="{FF2B5EF4-FFF2-40B4-BE49-F238E27FC236}">
              <a16:creationId xmlns:a16="http://schemas.microsoft.com/office/drawing/2014/main" id="{00000000-0008-0000-0800-00008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1" name="Text Box 149">
          <a:extLst>
            <a:ext uri="{FF2B5EF4-FFF2-40B4-BE49-F238E27FC236}">
              <a16:creationId xmlns:a16="http://schemas.microsoft.com/office/drawing/2014/main" id="{00000000-0008-0000-0800-00008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2" name="Text Box 150">
          <a:extLst>
            <a:ext uri="{FF2B5EF4-FFF2-40B4-BE49-F238E27FC236}">
              <a16:creationId xmlns:a16="http://schemas.microsoft.com/office/drawing/2014/main" id="{00000000-0008-0000-0800-00008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3" name="Text Box 151">
          <a:extLst>
            <a:ext uri="{FF2B5EF4-FFF2-40B4-BE49-F238E27FC236}">
              <a16:creationId xmlns:a16="http://schemas.microsoft.com/office/drawing/2014/main" id="{00000000-0008-0000-0800-00008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4" name="Text Box 152">
          <a:extLst>
            <a:ext uri="{FF2B5EF4-FFF2-40B4-BE49-F238E27FC236}">
              <a16:creationId xmlns:a16="http://schemas.microsoft.com/office/drawing/2014/main" id="{00000000-0008-0000-0800-00008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5" name="Text Box 153">
          <a:extLst>
            <a:ext uri="{FF2B5EF4-FFF2-40B4-BE49-F238E27FC236}">
              <a16:creationId xmlns:a16="http://schemas.microsoft.com/office/drawing/2014/main" id="{00000000-0008-0000-0800-00008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6" name="Text Box 154">
          <a:extLst>
            <a:ext uri="{FF2B5EF4-FFF2-40B4-BE49-F238E27FC236}">
              <a16:creationId xmlns:a16="http://schemas.microsoft.com/office/drawing/2014/main" id="{00000000-0008-0000-0800-00008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7" name="Text Box 155">
          <a:extLst>
            <a:ext uri="{FF2B5EF4-FFF2-40B4-BE49-F238E27FC236}">
              <a16:creationId xmlns:a16="http://schemas.microsoft.com/office/drawing/2014/main" id="{00000000-0008-0000-0800-00008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8" name="Text Box 156">
          <a:extLst>
            <a:ext uri="{FF2B5EF4-FFF2-40B4-BE49-F238E27FC236}">
              <a16:creationId xmlns:a16="http://schemas.microsoft.com/office/drawing/2014/main" id="{00000000-0008-0000-0800-00009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9" name="Text Box 157">
          <a:extLst>
            <a:ext uri="{FF2B5EF4-FFF2-40B4-BE49-F238E27FC236}">
              <a16:creationId xmlns:a16="http://schemas.microsoft.com/office/drawing/2014/main" id="{00000000-0008-0000-0800-00009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0" name="Text Box 158">
          <a:extLst>
            <a:ext uri="{FF2B5EF4-FFF2-40B4-BE49-F238E27FC236}">
              <a16:creationId xmlns:a16="http://schemas.microsoft.com/office/drawing/2014/main" id="{00000000-0008-0000-0800-00009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1" name="Text Box 159">
          <a:extLst>
            <a:ext uri="{FF2B5EF4-FFF2-40B4-BE49-F238E27FC236}">
              <a16:creationId xmlns:a16="http://schemas.microsoft.com/office/drawing/2014/main" id="{00000000-0008-0000-0800-00009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2" name="Text Box 160">
          <a:extLst>
            <a:ext uri="{FF2B5EF4-FFF2-40B4-BE49-F238E27FC236}">
              <a16:creationId xmlns:a16="http://schemas.microsoft.com/office/drawing/2014/main" id="{00000000-0008-0000-0800-00009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3" name="Text Box 161">
          <a:extLst>
            <a:ext uri="{FF2B5EF4-FFF2-40B4-BE49-F238E27FC236}">
              <a16:creationId xmlns:a16="http://schemas.microsoft.com/office/drawing/2014/main" id="{00000000-0008-0000-0800-00009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4" name="Text Box 162">
          <a:extLst>
            <a:ext uri="{FF2B5EF4-FFF2-40B4-BE49-F238E27FC236}">
              <a16:creationId xmlns:a16="http://schemas.microsoft.com/office/drawing/2014/main" id="{00000000-0008-0000-0800-00009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5" name="Text Box 163">
          <a:extLst>
            <a:ext uri="{FF2B5EF4-FFF2-40B4-BE49-F238E27FC236}">
              <a16:creationId xmlns:a16="http://schemas.microsoft.com/office/drawing/2014/main" id="{00000000-0008-0000-0800-00009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6" name="Text Box 164">
          <a:extLst>
            <a:ext uri="{FF2B5EF4-FFF2-40B4-BE49-F238E27FC236}">
              <a16:creationId xmlns:a16="http://schemas.microsoft.com/office/drawing/2014/main" id="{00000000-0008-0000-0800-00009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7" name="Text Box 165">
          <a:extLst>
            <a:ext uri="{FF2B5EF4-FFF2-40B4-BE49-F238E27FC236}">
              <a16:creationId xmlns:a16="http://schemas.microsoft.com/office/drawing/2014/main" id="{00000000-0008-0000-0800-00009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8" name="Text Box 166">
          <a:extLst>
            <a:ext uri="{FF2B5EF4-FFF2-40B4-BE49-F238E27FC236}">
              <a16:creationId xmlns:a16="http://schemas.microsoft.com/office/drawing/2014/main" id="{00000000-0008-0000-0800-00009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9" name="Text Box 167">
          <a:extLst>
            <a:ext uri="{FF2B5EF4-FFF2-40B4-BE49-F238E27FC236}">
              <a16:creationId xmlns:a16="http://schemas.microsoft.com/office/drawing/2014/main" id="{00000000-0008-0000-0800-00009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0" name="Text Box 168">
          <a:extLst>
            <a:ext uri="{FF2B5EF4-FFF2-40B4-BE49-F238E27FC236}">
              <a16:creationId xmlns:a16="http://schemas.microsoft.com/office/drawing/2014/main" id="{00000000-0008-0000-0800-00009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1" name="Text Box 169">
          <a:extLst>
            <a:ext uri="{FF2B5EF4-FFF2-40B4-BE49-F238E27FC236}">
              <a16:creationId xmlns:a16="http://schemas.microsoft.com/office/drawing/2014/main" id="{00000000-0008-0000-0800-00009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2" name="Text Box 170">
          <a:extLst>
            <a:ext uri="{FF2B5EF4-FFF2-40B4-BE49-F238E27FC236}">
              <a16:creationId xmlns:a16="http://schemas.microsoft.com/office/drawing/2014/main" id="{00000000-0008-0000-0800-00009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3" name="Text Box 171">
          <a:extLst>
            <a:ext uri="{FF2B5EF4-FFF2-40B4-BE49-F238E27FC236}">
              <a16:creationId xmlns:a16="http://schemas.microsoft.com/office/drawing/2014/main" id="{00000000-0008-0000-0800-00009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4" name="Text Box 172">
          <a:extLst>
            <a:ext uri="{FF2B5EF4-FFF2-40B4-BE49-F238E27FC236}">
              <a16:creationId xmlns:a16="http://schemas.microsoft.com/office/drawing/2014/main" id="{00000000-0008-0000-0800-0000A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5" name="Text Box 173">
          <a:extLst>
            <a:ext uri="{FF2B5EF4-FFF2-40B4-BE49-F238E27FC236}">
              <a16:creationId xmlns:a16="http://schemas.microsoft.com/office/drawing/2014/main" id="{00000000-0008-0000-0800-0000A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6" name="Text Box 174">
          <a:extLst>
            <a:ext uri="{FF2B5EF4-FFF2-40B4-BE49-F238E27FC236}">
              <a16:creationId xmlns:a16="http://schemas.microsoft.com/office/drawing/2014/main" id="{00000000-0008-0000-0800-0000A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7" name="Text Box 175">
          <a:extLst>
            <a:ext uri="{FF2B5EF4-FFF2-40B4-BE49-F238E27FC236}">
              <a16:creationId xmlns:a16="http://schemas.microsoft.com/office/drawing/2014/main" id="{00000000-0008-0000-0800-0000A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8" name="Text Box 176">
          <a:extLst>
            <a:ext uri="{FF2B5EF4-FFF2-40B4-BE49-F238E27FC236}">
              <a16:creationId xmlns:a16="http://schemas.microsoft.com/office/drawing/2014/main" id="{00000000-0008-0000-0800-0000A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9" name="Text Box 177">
          <a:extLst>
            <a:ext uri="{FF2B5EF4-FFF2-40B4-BE49-F238E27FC236}">
              <a16:creationId xmlns:a16="http://schemas.microsoft.com/office/drawing/2014/main" id="{00000000-0008-0000-0800-0000A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0" name="Text Box 178">
          <a:extLst>
            <a:ext uri="{FF2B5EF4-FFF2-40B4-BE49-F238E27FC236}">
              <a16:creationId xmlns:a16="http://schemas.microsoft.com/office/drawing/2014/main" id="{00000000-0008-0000-0800-0000A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1" name="Text Box 179">
          <a:extLst>
            <a:ext uri="{FF2B5EF4-FFF2-40B4-BE49-F238E27FC236}">
              <a16:creationId xmlns:a16="http://schemas.microsoft.com/office/drawing/2014/main" id="{00000000-0008-0000-0800-0000A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2" name="Text Box 180">
          <a:extLst>
            <a:ext uri="{FF2B5EF4-FFF2-40B4-BE49-F238E27FC236}">
              <a16:creationId xmlns:a16="http://schemas.microsoft.com/office/drawing/2014/main" id="{00000000-0008-0000-0800-0000A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3" name="Text Box 181">
          <a:extLst>
            <a:ext uri="{FF2B5EF4-FFF2-40B4-BE49-F238E27FC236}">
              <a16:creationId xmlns:a16="http://schemas.microsoft.com/office/drawing/2014/main" id="{00000000-0008-0000-0800-0000A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4" name="Text Box 182">
          <a:extLst>
            <a:ext uri="{FF2B5EF4-FFF2-40B4-BE49-F238E27FC236}">
              <a16:creationId xmlns:a16="http://schemas.microsoft.com/office/drawing/2014/main" id="{00000000-0008-0000-0800-0000A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5" name="Text Box 183">
          <a:extLst>
            <a:ext uri="{FF2B5EF4-FFF2-40B4-BE49-F238E27FC236}">
              <a16:creationId xmlns:a16="http://schemas.microsoft.com/office/drawing/2014/main" id="{00000000-0008-0000-0800-0000A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6" name="Text Box 184">
          <a:extLst>
            <a:ext uri="{FF2B5EF4-FFF2-40B4-BE49-F238E27FC236}">
              <a16:creationId xmlns:a16="http://schemas.microsoft.com/office/drawing/2014/main" id="{00000000-0008-0000-0800-0000A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7" name="Text Box 185">
          <a:extLst>
            <a:ext uri="{FF2B5EF4-FFF2-40B4-BE49-F238E27FC236}">
              <a16:creationId xmlns:a16="http://schemas.microsoft.com/office/drawing/2014/main" id="{00000000-0008-0000-0800-0000A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8" name="Text Box 186">
          <a:extLst>
            <a:ext uri="{FF2B5EF4-FFF2-40B4-BE49-F238E27FC236}">
              <a16:creationId xmlns:a16="http://schemas.microsoft.com/office/drawing/2014/main" id="{00000000-0008-0000-0800-0000A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9" name="Text Box 187">
          <a:extLst>
            <a:ext uri="{FF2B5EF4-FFF2-40B4-BE49-F238E27FC236}">
              <a16:creationId xmlns:a16="http://schemas.microsoft.com/office/drawing/2014/main" id="{00000000-0008-0000-0800-0000A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0" name="Text Box 188">
          <a:extLst>
            <a:ext uri="{FF2B5EF4-FFF2-40B4-BE49-F238E27FC236}">
              <a16:creationId xmlns:a16="http://schemas.microsoft.com/office/drawing/2014/main" id="{00000000-0008-0000-0800-0000B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1" name="Text Box 189">
          <a:extLst>
            <a:ext uri="{FF2B5EF4-FFF2-40B4-BE49-F238E27FC236}">
              <a16:creationId xmlns:a16="http://schemas.microsoft.com/office/drawing/2014/main" id="{00000000-0008-0000-0800-0000B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2" name="Text Box 190">
          <a:extLst>
            <a:ext uri="{FF2B5EF4-FFF2-40B4-BE49-F238E27FC236}">
              <a16:creationId xmlns:a16="http://schemas.microsoft.com/office/drawing/2014/main" id="{00000000-0008-0000-0800-0000B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3" name="Text Box 191">
          <a:extLst>
            <a:ext uri="{FF2B5EF4-FFF2-40B4-BE49-F238E27FC236}">
              <a16:creationId xmlns:a16="http://schemas.microsoft.com/office/drawing/2014/main" id="{00000000-0008-0000-0800-0000B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4" name="Text Box 192">
          <a:extLst>
            <a:ext uri="{FF2B5EF4-FFF2-40B4-BE49-F238E27FC236}">
              <a16:creationId xmlns:a16="http://schemas.microsoft.com/office/drawing/2014/main" id="{00000000-0008-0000-0800-0000B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5" name="Text Box 193">
          <a:extLst>
            <a:ext uri="{FF2B5EF4-FFF2-40B4-BE49-F238E27FC236}">
              <a16:creationId xmlns:a16="http://schemas.microsoft.com/office/drawing/2014/main" id="{00000000-0008-0000-0800-0000B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6" name="Text Box 194">
          <a:extLst>
            <a:ext uri="{FF2B5EF4-FFF2-40B4-BE49-F238E27FC236}">
              <a16:creationId xmlns:a16="http://schemas.microsoft.com/office/drawing/2014/main" id="{00000000-0008-0000-0800-0000B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7" name="Text Box 195">
          <a:extLst>
            <a:ext uri="{FF2B5EF4-FFF2-40B4-BE49-F238E27FC236}">
              <a16:creationId xmlns:a16="http://schemas.microsoft.com/office/drawing/2014/main" id="{00000000-0008-0000-0800-0000B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8" name="Text Box 196">
          <a:extLst>
            <a:ext uri="{FF2B5EF4-FFF2-40B4-BE49-F238E27FC236}">
              <a16:creationId xmlns:a16="http://schemas.microsoft.com/office/drawing/2014/main" id="{00000000-0008-0000-0800-0000B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9" name="Text Box 197">
          <a:extLst>
            <a:ext uri="{FF2B5EF4-FFF2-40B4-BE49-F238E27FC236}">
              <a16:creationId xmlns:a16="http://schemas.microsoft.com/office/drawing/2014/main" id="{00000000-0008-0000-0800-0000B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0" name="Text Box 198">
          <a:extLst>
            <a:ext uri="{FF2B5EF4-FFF2-40B4-BE49-F238E27FC236}">
              <a16:creationId xmlns:a16="http://schemas.microsoft.com/office/drawing/2014/main" id="{00000000-0008-0000-0800-0000B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1" name="Text Box 199">
          <a:extLst>
            <a:ext uri="{FF2B5EF4-FFF2-40B4-BE49-F238E27FC236}">
              <a16:creationId xmlns:a16="http://schemas.microsoft.com/office/drawing/2014/main" id="{00000000-0008-0000-0800-0000B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2" name="Text Box 200">
          <a:extLst>
            <a:ext uri="{FF2B5EF4-FFF2-40B4-BE49-F238E27FC236}">
              <a16:creationId xmlns:a16="http://schemas.microsoft.com/office/drawing/2014/main" id="{00000000-0008-0000-0800-0000B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3" name="Text Box 201">
          <a:extLst>
            <a:ext uri="{FF2B5EF4-FFF2-40B4-BE49-F238E27FC236}">
              <a16:creationId xmlns:a16="http://schemas.microsoft.com/office/drawing/2014/main" id="{00000000-0008-0000-0800-0000B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4" name="Text Box 202">
          <a:extLst>
            <a:ext uri="{FF2B5EF4-FFF2-40B4-BE49-F238E27FC236}">
              <a16:creationId xmlns:a16="http://schemas.microsoft.com/office/drawing/2014/main" id="{00000000-0008-0000-0800-0000B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5" name="Text Box 203">
          <a:extLst>
            <a:ext uri="{FF2B5EF4-FFF2-40B4-BE49-F238E27FC236}">
              <a16:creationId xmlns:a16="http://schemas.microsoft.com/office/drawing/2014/main" id="{00000000-0008-0000-0800-0000B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6" name="Text Box 204">
          <a:extLst>
            <a:ext uri="{FF2B5EF4-FFF2-40B4-BE49-F238E27FC236}">
              <a16:creationId xmlns:a16="http://schemas.microsoft.com/office/drawing/2014/main" id="{00000000-0008-0000-0800-0000C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7" name="Text Box 205">
          <a:extLst>
            <a:ext uri="{FF2B5EF4-FFF2-40B4-BE49-F238E27FC236}">
              <a16:creationId xmlns:a16="http://schemas.microsoft.com/office/drawing/2014/main" id="{00000000-0008-0000-0800-0000C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8" name="Text Box 206">
          <a:extLst>
            <a:ext uri="{FF2B5EF4-FFF2-40B4-BE49-F238E27FC236}">
              <a16:creationId xmlns:a16="http://schemas.microsoft.com/office/drawing/2014/main" id="{00000000-0008-0000-0800-0000C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9" name="Text Box 207">
          <a:extLst>
            <a:ext uri="{FF2B5EF4-FFF2-40B4-BE49-F238E27FC236}">
              <a16:creationId xmlns:a16="http://schemas.microsoft.com/office/drawing/2014/main" id="{00000000-0008-0000-0800-0000C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0" name="Text Box 208">
          <a:extLst>
            <a:ext uri="{FF2B5EF4-FFF2-40B4-BE49-F238E27FC236}">
              <a16:creationId xmlns:a16="http://schemas.microsoft.com/office/drawing/2014/main" id="{00000000-0008-0000-0800-0000C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1" name="Text Box 209">
          <a:extLst>
            <a:ext uri="{FF2B5EF4-FFF2-40B4-BE49-F238E27FC236}">
              <a16:creationId xmlns:a16="http://schemas.microsoft.com/office/drawing/2014/main" id="{00000000-0008-0000-0800-0000C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2" name="Text Box 210">
          <a:extLst>
            <a:ext uri="{FF2B5EF4-FFF2-40B4-BE49-F238E27FC236}">
              <a16:creationId xmlns:a16="http://schemas.microsoft.com/office/drawing/2014/main" id="{00000000-0008-0000-0800-0000C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3" name="Text Box 211">
          <a:extLst>
            <a:ext uri="{FF2B5EF4-FFF2-40B4-BE49-F238E27FC236}">
              <a16:creationId xmlns:a16="http://schemas.microsoft.com/office/drawing/2014/main" id="{00000000-0008-0000-0800-0000C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4" name="Text Box 212">
          <a:extLst>
            <a:ext uri="{FF2B5EF4-FFF2-40B4-BE49-F238E27FC236}">
              <a16:creationId xmlns:a16="http://schemas.microsoft.com/office/drawing/2014/main" id="{00000000-0008-0000-0800-0000C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5" name="Text Box 213">
          <a:extLst>
            <a:ext uri="{FF2B5EF4-FFF2-40B4-BE49-F238E27FC236}">
              <a16:creationId xmlns:a16="http://schemas.microsoft.com/office/drawing/2014/main" id="{00000000-0008-0000-0800-0000C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6" name="Text Box 214">
          <a:extLst>
            <a:ext uri="{FF2B5EF4-FFF2-40B4-BE49-F238E27FC236}">
              <a16:creationId xmlns:a16="http://schemas.microsoft.com/office/drawing/2014/main" id="{00000000-0008-0000-0800-0000C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7" name="Text Box 215">
          <a:extLst>
            <a:ext uri="{FF2B5EF4-FFF2-40B4-BE49-F238E27FC236}">
              <a16:creationId xmlns:a16="http://schemas.microsoft.com/office/drawing/2014/main" id="{00000000-0008-0000-0800-0000C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8" name="Text Box 216">
          <a:extLst>
            <a:ext uri="{FF2B5EF4-FFF2-40B4-BE49-F238E27FC236}">
              <a16:creationId xmlns:a16="http://schemas.microsoft.com/office/drawing/2014/main" id="{00000000-0008-0000-0800-0000C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9" name="Text Box 217">
          <a:extLst>
            <a:ext uri="{FF2B5EF4-FFF2-40B4-BE49-F238E27FC236}">
              <a16:creationId xmlns:a16="http://schemas.microsoft.com/office/drawing/2014/main" id="{00000000-0008-0000-0800-0000C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0" name="Text Box 218">
          <a:extLst>
            <a:ext uri="{FF2B5EF4-FFF2-40B4-BE49-F238E27FC236}">
              <a16:creationId xmlns:a16="http://schemas.microsoft.com/office/drawing/2014/main" id="{00000000-0008-0000-0800-0000C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1" name="Text Box 219">
          <a:extLst>
            <a:ext uri="{FF2B5EF4-FFF2-40B4-BE49-F238E27FC236}">
              <a16:creationId xmlns:a16="http://schemas.microsoft.com/office/drawing/2014/main" id="{00000000-0008-0000-0800-0000C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2" name="Text Box 220">
          <a:extLst>
            <a:ext uri="{FF2B5EF4-FFF2-40B4-BE49-F238E27FC236}">
              <a16:creationId xmlns:a16="http://schemas.microsoft.com/office/drawing/2014/main" id="{00000000-0008-0000-0800-0000D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3" name="Text Box 221">
          <a:extLst>
            <a:ext uri="{FF2B5EF4-FFF2-40B4-BE49-F238E27FC236}">
              <a16:creationId xmlns:a16="http://schemas.microsoft.com/office/drawing/2014/main" id="{00000000-0008-0000-0800-0000D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4" name="Text Box 222">
          <a:extLst>
            <a:ext uri="{FF2B5EF4-FFF2-40B4-BE49-F238E27FC236}">
              <a16:creationId xmlns:a16="http://schemas.microsoft.com/office/drawing/2014/main" id="{00000000-0008-0000-0800-0000D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5" name="Text Box 223">
          <a:extLst>
            <a:ext uri="{FF2B5EF4-FFF2-40B4-BE49-F238E27FC236}">
              <a16:creationId xmlns:a16="http://schemas.microsoft.com/office/drawing/2014/main" id="{00000000-0008-0000-0800-0000D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6" name="Text Box 224">
          <a:extLst>
            <a:ext uri="{FF2B5EF4-FFF2-40B4-BE49-F238E27FC236}">
              <a16:creationId xmlns:a16="http://schemas.microsoft.com/office/drawing/2014/main" id="{00000000-0008-0000-0800-0000D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7" name="Text Box 225">
          <a:extLst>
            <a:ext uri="{FF2B5EF4-FFF2-40B4-BE49-F238E27FC236}">
              <a16:creationId xmlns:a16="http://schemas.microsoft.com/office/drawing/2014/main" id="{00000000-0008-0000-0800-0000D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8" name="Text Box 226">
          <a:extLst>
            <a:ext uri="{FF2B5EF4-FFF2-40B4-BE49-F238E27FC236}">
              <a16:creationId xmlns:a16="http://schemas.microsoft.com/office/drawing/2014/main" id="{00000000-0008-0000-0800-0000D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19" name="Text Box 227">
          <a:extLst>
            <a:ext uri="{FF2B5EF4-FFF2-40B4-BE49-F238E27FC236}">
              <a16:creationId xmlns:a16="http://schemas.microsoft.com/office/drawing/2014/main" id="{00000000-0008-0000-0800-0000D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0" name="Text Box 228">
          <a:extLst>
            <a:ext uri="{FF2B5EF4-FFF2-40B4-BE49-F238E27FC236}">
              <a16:creationId xmlns:a16="http://schemas.microsoft.com/office/drawing/2014/main" id="{00000000-0008-0000-0800-0000D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1" name="Text Box 229">
          <a:extLst>
            <a:ext uri="{FF2B5EF4-FFF2-40B4-BE49-F238E27FC236}">
              <a16:creationId xmlns:a16="http://schemas.microsoft.com/office/drawing/2014/main" id="{00000000-0008-0000-0800-0000D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2" name="Text Box 230">
          <a:extLst>
            <a:ext uri="{FF2B5EF4-FFF2-40B4-BE49-F238E27FC236}">
              <a16:creationId xmlns:a16="http://schemas.microsoft.com/office/drawing/2014/main" id="{00000000-0008-0000-0800-0000D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3" name="Text Box 231">
          <a:extLst>
            <a:ext uri="{FF2B5EF4-FFF2-40B4-BE49-F238E27FC236}">
              <a16:creationId xmlns:a16="http://schemas.microsoft.com/office/drawing/2014/main" id="{00000000-0008-0000-0800-0000D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4" name="Text Box 232">
          <a:extLst>
            <a:ext uri="{FF2B5EF4-FFF2-40B4-BE49-F238E27FC236}">
              <a16:creationId xmlns:a16="http://schemas.microsoft.com/office/drawing/2014/main" id="{00000000-0008-0000-0800-0000D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5" name="Text Box 233">
          <a:extLst>
            <a:ext uri="{FF2B5EF4-FFF2-40B4-BE49-F238E27FC236}">
              <a16:creationId xmlns:a16="http://schemas.microsoft.com/office/drawing/2014/main" id="{00000000-0008-0000-0800-0000D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6" name="Text Box 234">
          <a:extLst>
            <a:ext uri="{FF2B5EF4-FFF2-40B4-BE49-F238E27FC236}">
              <a16:creationId xmlns:a16="http://schemas.microsoft.com/office/drawing/2014/main" id="{00000000-0008-0000-0800-0000D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7" name="Text Box 235">
          <a:extLst>
            <a:ext uri="{FF2B5EF4-FFF2-40B4-BE49-F238E27FC236}">
              <a16:creationId xmlns:a16="http://schemas.microsoft.com/office/drawing/2014/main" id="{00000000-0008-0000-0800-0000D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8" name="Text Box 236">
          <a:extLst>
            <a:ext uri="{FF2B5EF4-FFF2-40B4-BE49-F238E27FC236}">
              <a16:creationId xmlns:a16="http://schemas.microsoft.com/office/drawing/2014/main" id="{00000000-0008-0000-0800-0000E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9" name="Text Box 237">
          <a:extLst>
            <a:ext uri="{FF2B5EF4-FFF2-40B4-BE49-F238E27FC236}">
              <a16:creationId xmlns:a16="http://schemas.microsoft.com/office/drawing/2014/main" id="{00000000-0008-0000-0800-0000E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0" name="Text Box 238">
          <a:extLst>
            <a:ext uri="{FF2B5EF4-FFF2-40B4-BE49-F238E27FC236}">
              <a16:creationId xmlns:a16="http://schemas.microsoft.com/office/drawing/2014/main" id="{00000000-0008-0000-0800-0000E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1" name="Text Box 239">
          <a:extLst>
            <a:ext uri="{FF2B5EF4-FFF2-40B4-BE49-F238E27FC236}">
              <a16:creationId xmlns:a16="http://schemas.microsoft.com/office/drawing/2014/main" id="{00000000-0008-0000-0800-0000E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2" name="Text Box 240">
          <a:extLst>
            <a:ext uri="{FF2B5EF4-FFF2-40B4-BE49-F238E27FC236}">
              <a16:creationId xmlns:a16="http://schemas.microsoft.com/office/drawing/2014/main" id="{00000000-0008-0000-0800-0000E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3" name="Text Box 241">
          <a:extLst>
            <a:ext uri="{FF2B5EF4-FFF2-40B4-BE49-F238E27FC236}">
              <a16:creationId xmlns:a16="http://schemas.microsoft.com/office/drawing/2014/main" id="{00000000-0008-0000-0800-0000E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4" name="Text Box 242">
          <a:extLst>
            <a:ext uri="{FF2B5EF4-FFF2-40B4-BE49-F238E27FC236}">
              <a16:creationId xmlns:a16="http://schemas.microsoft.com/office/drawing/2014/main" id="{00000000-0008-0000-0800-0000E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5" name="Text Box 243">
          <a:extLst>
            <a:ext uri="{FF2B5EF4-FFF2-40B4-BE49-F238E27FC236}">
              <a16:creationId xmlns:a16="http://schemas.microsoft.com/office/drawing/2014/main" id="{00000000-0008-0000-0800-0000E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6" name="Text Box 244">
          <a:extLst>
            <a:ext uri="{FF2B5EF4-FFF2-40B4-BE49-F238E27FC236}">
              <a16:creationId xmlns:a16="http://schemas.microsoft.com/office/drawing/2014/main" id="{00000000-0008-0000-0800-0000E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7" name="Text Box 245">
          <a:extLst>
            <a:ext uri="{FF2B5EF4-FFF2-40B4-BE49-F238E27FC236}">
              <a16:creationId xmlns:a16="http://schemas.microsoft.com/office/drawing/2014/main" id="{00000000-0008-0000-0800-0000E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8" name="Text Box 246">
          <a:extLst>
            <a:ext uri="{FF2B5EF4-FFF2-40B4-BE49-F238E27FC236}">
              <a16:creationId xmlns:a16="http://schemas.microsoft.com/office/drawing/2014/main" id="{00000000-0008-0000-0800-0000E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9" name="Text Box 247">
          <a:extLst>
            <a:ext uri="{FF2B5EF4-FFF2-40B4-BE49-F238E27FC236}">
              <a16:creationId xmlns:a16="http://schemas.microsoft.com/office/drawing/2014/main" id="{00000000-0008-0000-0800-0000E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0" name="Text Box 248">
          <a:extLst>
            <a:ext uri="{FF2B5EF4-FFF2-40B4-BE49-F238E27FC236}">
              <a16:creationId xmlns:a16="http://schemas.microsoft.com/office/drawing/2014/main" id="{00000000-0008-0000-0800-0000E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1" name="Text Box 249">
          <a:extLst>
            <a:ext uri="{FF2B5EF4-FFF2-40B4-BE49-F238E27FC236}">
              <a16:creationId xmlns:a16="http://schemas.microsoft.com/office/drawing/2014/main" id="{00000000-0008-0000-0800-0000E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2" name="Text Box 250">
          <a:extLst>
            <a:ext uri="{FF2B5EF4-FFF2-40B4-BE49-F238E27FC236}">
              <a16:creationId xmlns:a16="http://schemas.microsoft.com/office/drawing/2014/main" id="{00000000-0008-0000-0800-0000E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3" name="Text Box 251">
          <a:extLst>
            <a:ext uri="{FF2B5EF4-FFF2-40B4-BE49-F238E27FC236}">
              <a16:creationId xmlns:a16="http://schemas.microsoft.com/office/drawing/2014/main" id="{00000000-0008-0000-0800-0000E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4" name="Text Box 252">
          <a:extLst>
            <a:ext uri="{FF2B5EF4-FFF2-40B4-BE49-F238E27FC236}">
              <a16:creationId xmlns:a16="http://schemas.microsoft.com/office/drawing/2014/main" id="{00000000-0008-0000-0800-0000F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5" name="Text Box 253">
          <a:extLst>
            <a:ext uri="{FF2B5EF4-FFF2-40B4-BE49-F238E27FC236}">
              <a16:creationId xmlns:a16="http://schemas.microsoft.com/office/drawing/2014/main" id="{00000000-0008-0000-0800-0000F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6" name="Text Box 254">
          <a:extLst>
            <a:ext uri="{FF2B5EF4-FFF2-40B4-BE49-F238E27FC236}">
              <a16:creationId xmlns:a16="http://schemas.microsoft.com/office/drawing/2014/main" id="{00000000-0008-0000-0800-0000F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7" name="Text Box 255">
          <a:extLst>
            <a:ext uri="{FF2B5EF4-FFF2-40B4-BE49-F238E27FC236}">
              <a16:creationId xmlns:a16="http://schemas.microsoft.com/office/drawing/2014/main" id="{00000000-0008-0000-0800-0000F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8" name="Text Box 256">
          <a:extLst>
            <a:ext uri="{FF2B5EF4-FFF2-40B4-BE49-F238E27FC236}">
              <a16:creationId xmlns:a16="http://schemas.microsoft.com/office/drawing/2014/main" id="{00000000-0008-0000-0800-0000F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9" name="Text Box 257">
          <a:extLst>
            <a:ext uri="{FF2B5EF4-FFF2-40B4-BE49-F238E27FC236}">
              <a16:creationId xmlns:a16="http://schemas.microsoft.com/office/drawing/2014/main" id="{00000000-0008-0000-0800-0000F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0" name="Text Box 258">
          <a:extLst>
            <a:ext uri="{FF2B5EF4-FFF2-40B4-BE49-F238E27FC236}">
              <a16:creationId xmlns:a16="http://schemas.microsoft.com/office/drawing/2014/main" id="{00000000-0008-0000-0800-0000F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1" name="Text Box 259">
          <a:extLst>
            <a:ext uri="{FF2B5EF4-FFF2-40B4-BE49-F238E27FC236}">
              <a16:creationId xmlns:a16="http://schemas.microsoft.com/office/drawing/2014/main" id="{00000000-0008-0000-0800-0000F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2" name="Text Box 260">
          <a:extLst>
            <a:ext uri="{FF2B5EF4-FFF2-40B4-BE49-F238E27FC236}">
              <a16:creationId xmlns:a16="http://schemas.microsoft.com/office/drawing/2014/main" id="{00000000-0008-0000-0800-0000F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3" name="Text Box 261">
          <a:extLst>
            <a:ext uri="{FF2B5EF4-FFF2-40B4-BE49-F238E27FC236}">
              <a16:creationId xmlns:a16="http://schemas.microsoft.com/office/drawing/2014/main" id="{00000000-0008-0000-0800-0000F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4" name="Text Box 262">
          <a:extLst>
            <a:ext uri="{FF2B5EF4-FFF2-40B4-BE49-F238E27FC236}">
              <a16:creationId xmlns:a16="http://schemas.microsoft.com/office/drawing/2014/main" id="{00000000-0008-0000-0800-0000F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5" name="Text Box 263">
          <a:extLst>
            <a:ext uri="{FF2B5EF4-FFF2-40B4-BE49-F238E27FC236}">
              <a16:creationId xmlns:a16="http://schemas.microsoft.com/office/drawing/2014/main" id="{00000000-0008-0000-0800-0000F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6" name="Text Box 264">
          <a:extLst>
            <a:ext uri="{FF2B5EF4-FFF2-40B4-BE49-F238E27FC236}">
              <a16:creationId xmlns:a16="http://schemas.microsoft.com/office/drawing/2014/main" id="{00000000-0008-0000-0800-0000F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7" name="Text Box 265">
          <a:extLst>
            <a:ext uri="{FF2B5EF4-FFF2-40B4-BE49-F238E27FC236}">
              <a16:creationId xmlns:a16="http://schemas.microsoft.com/office/drawing/2014/main" id="{00000000-0008-0000-0800-0000F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8" name="Text Box 266">
          <a:extLst>
            <a:ext uri="{FF2B5EF4-FFF2-40B4-BE49-F238E27FC236}">
              <a16:creationId xmlns:a16="http://schemas.microsoft.com/office/drawing/2014/main" id="{00000000-0008-0000-0800-0000F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9" name="Text Box 267">
          <a:extLst>
            <a:ext uri="{FF2B5EF4-FFF2-40B4-BE49-F238E27FC236}">
              <a16:creationId xmlns:a16="http://schemas.microsoft.com/office/drawing/2014/main" id="{00000000-0008-0000-0800-0000F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0" name="Text Box 268">
          <a:extLst>
            <a:ext uri="{FF2B5EF4-FFF2-40B4-BE49-F238E27FC236}">
              <a16:creationId xmlns:a16="http://schemas.microsoft.com/office/drawing/2014/main" id="{00000000-0008-0000-0800-00000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1" name="Text Box 269">
          <a:extLst>
            <a:ext uri="{FF2B5EF4-FFF2-40B4-BE49-F238E27FC236}">
              <a16:creationId xmlns:a16="http://schemas.microsoft.com/office/drawing/2014/main" id="{00000000-0008-0000-0800-00000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2" name="Text Box 270">
          <a:extLst>
            <a:ext uri="{FF2B5EF4-FFF2-40B4-BE49-F238E27FC236}">
              <a16:creationId xmlns:a16="http://schemas.microsoft.com/office/drawing/2014/main" id="{00000000-0008-0000-0800-00000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3" name="Text Box 271">
          <a:extLst>
            <a:ext uri="{FF2B5EF4-FFF2-40B4-BE49-F238E27FC236}">
              <a16:creationId xmlns:a16="http://schemas.microsoft.com/office/drawing/2014/main" id="{00000000-0008-0000-0800-00000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4" name="Text Box 272">
          <a:extLst>
            <a:ext uri="{FF2B5EF4-FFF2-40B4-BE49-F238E27FC236}">
              <a16:creationId xmlns:a16="http://schemas.microsoft.com/office/drawing/2014/main" id="{00000000-0008-0000-0800-00000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5" name="Text Box 273">
          <a:extLst>
            <a:ext uri="{FF2B5EF4-FFF2-40B4-BE49-F238E27FC236}">
              <a16:creationId xmlns:a16="http://schemas.microsoft.com/office/drawing/2014/main" id="{00000000-0008-0000-0800-00000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6" name="Text Box 274">
          <a:extLst>
            <a:ext uri="{FF2B5EF4-FFF2-40B4-BE49-F238E27FC236}">
              <a16:creationId xmlns:a16="http://schemas.microsoft.com/office/drawing/2014/main" id="{00000000-0008-0000-0800-00000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7" name="Text Box 275">
          <a:extLst>
            <a:ext uri="{FF2B5EF4-FFF2-40B4-BE49-F238E27FC236}">
              <a16:creationId xmlns:a16="http://schemas.microsoft.com/office/drawing/2014/main" id="{00000000-0008-0000-0800-00000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8" name="Text Box 276">
          <a:extLst>
            <a:ext uri="{FF2B5EF4-FFF2-40B4-BE49-F238E27FC236}">
              <a16:creationId xmlns:a16="http://schemas.microsoft.com/office/drawing/2014/main" id="{00000000-0008-0000-0800-00000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9" name="Text Box 277">
          <a:extLst>
            <a:ext uri="{FF2B5EF4-FFF2-40B4-BE49-F238E27FC236}">
              <a16:creationId xmlns:a16="http://schemas.microsoft.com/office/drawing/2014/main" id="{00000000-0008-0000-0800-00000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0" name="Text Box 278">
          <a:extLst>
            <a:ext uri="{FF2B5EF4-FFF2-40B4-BE49-F238E27FC236}">
              <a16:creationId xmlns:a16="http://schemas.microsoft.com/office/drawing/2014/main" id="{00000000-0008-0000-0800-00000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1" name="Text Box 279">
          <a:extLst>
            <a:ext uri="{FF2B5EF4-FFF2-40B4-BE49-F238E27FC236}">
              <a16:creationId xmlns:a16="http://schemas.microsoft.com/office/drawing/2014/main" id="{00000000-0008-0000-0800-00000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2" name="Text Box 280">
          <a:extLst>
            <a:ext uri="{FF2B5EF4-FFF2-40B4-BE49-F238E27FC236}">
              <a16:creationId xmlns:a16="http://schemas.microsoft.com/office/drawing/2014/main" id="{00000000-0008-0000-0800-00000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3" name="Text Box 281">
          <a:extLst>
            <a:ext uri="{FF2B5EF4-FFF2-40B4-BE49-F238E27FC236}">
              <a16:creationId xmlns:a16="http://schemas.microsoft.com/office/drawing/2014/main" id="{00000000-0008-0000-0800-00000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4" name="Text Box 282">
          <a:extLst>
            <a:ext uri="{FF2B5EF4-FFF2-40B4-BE49-F238E27FC236}">
              <a16:creationId xmlns:a16="http://schemas.microsoft.com/office/drawing/2014/main" id="{00000000-0008-0000-0800-00000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5" name="Text Box 283">
          <a:extLst>
            <a:ext uri="{FF2B5EF4-FFF2-40B4-BE49-F238E27FC236}">
              <a16:creationId xmlns:a16="http://schemas.microsoft.com/office/drawing/2014/main" id="{00000000-0008-0000-0800-00000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6" name="Text Box 284">
          <a:extLst>
            <a:ext uri="{FF2B5EF4-FFF2-40B4-BE49-F238E27FC236}">
              <a16:creationId xmlns:a16="http://schemas.microsoft.com/office/drawing/2014/main" id="{00000000-0008-0000-0800-00001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7" name="Text Box 285">
          <a:extLst>
            <a:ext uri="{FF2B5EF4-FFF2-40B4-BE49-F238E27FC236}">
              <a16:creationId xmlns:a16="http://schemas.microsoft.com/office/drawing/2014/main" id="{00000000-0008-0000-0800-00001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8" name="Text Box 286">
          <a:extLst>
            <a:ext uri="{FF2B5EF4-FFF2-40B4-BE49-F238E27FC236}">
              <a16:creationId xmlns:a16="http://schemas.microsoft.com/office/drawing/2014/main" id="{00000000-0008-0000-0800-00001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9" name="Text Box 287">
          <a:extLst>
            <a:ext uri="{FF2B5EF4-FFF2-40B4-BE49-F238E27FC236}">
              <a16:creationId xmlns:a16="http://schemas.microsoft.com/office/drawing/2014/main" id="{00000000-0008-0000-0800-00001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0" name="Text Box 288">
          <a:extLst>
            <a:ext uri="{FF2B5EF4-FFF2-40B4-BE49-F238E27FC236}">
              <a16:creationId xmlns:a16="http://schemas.microsoft.com/office/drawing/2014/main" id="{00000000-0008-0000-0800-00001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1" name="Text Box 289">
          <a:extLst>
            <a:ext uri="{FF2B5EF4-FFF2-40B4-BE49-F238E27FC236}">
              <a16:creationId xmlns:a16="http://schemas.microsoft.com/office/drawing/2014/main" id="{00000000-0008-0000-0800-00001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2" name="Text Box 290">
          <a:extLst>
            <a:ext uri="{FF2B5EF4-FFF2-40B4-BE49-F238E27FC236}">
              <a16:creationId xmlns:a16="http://schemas.microsoft.com/office/drawing/2014/main" id="{00000000-0008-0000-0800-00001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3" name="Text Box 291">
          <a:extLst>
            <a:ext uri="{FF2B5EF4-FFF2-40B4-BE49-F238E27FC236}">
              <a16:creationId xmlns:a16="http://schemas.microsoft.com/office/drawing/2014/main" id="{00000000-0008-0000-0800-00001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4" name="Text Box 292">
          <a:extLst>
            <a:ext uri="{FF2B5EF4-FFF2-40B4-BE49-F238E27FC236}">
              <a16:creationId xmlns:a16="http://schemas.microsoft.com/office/drawing/2014/main" id="{00000000-0008-0000-0800-00001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5" name="Text Box 293">
          <a:extLst>
            <a:ext uri="{FF2B5EF4-FFF2-40B4-BE49-F238E27FC236}">
              <a16:creationId xmlns:a16="http://schemas.microsoft.com/office/drawing/2014/main" id="{00000000-0008-0000-0800-00001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6" name="Text Box 294">
          <a:extLst>
            <a:ext uri="{FF2B5EF4-FFF2-40B4-BE49-F238E27FC236}">
              <a16:creationId xmlns:a16="http://schemas.microsoft.com/office/drawing/2014/main" id="{00000000-0008-0000-0800-00001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7" name="Text Box 295">
          <a:extLst>
            <a:ext uri="{FF2B5EF4-FFF2-40B4-BE49-F238E27FC236}">
              <a16:creationId xmlns:a16="http://schemas.microsoft.com/office/drawing/2014/main" id="{00000000-0008-0000-0800-00001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8" name="Text Box 296">
          <a:extLst>
            <a:ext uri="{FF2B5EF4-FFF2-40B4-BE49-F238E27FC236}">
              <a16:creationId xmlns:a16="http://schemas.microsoft.com/office/drawing/2014/main" id="{00000000-0008-0000-0800-00001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89" name="Text Box 297">
          <a:extLst>
            <a:ext uri="{FF2B5EF4-FFF2-40B4-BE49-F238E27FC236}">
              <a16:creationId xmlns:a16="http://schemas.microsoft.com/office/drawing/2014/main" id="{00000000-0008-0000-0800-00001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0" name="Text Box 298">
          <a:extLst>
            <a:ext uri="{FF2B5EF4-FFF2-40B4-BE49-F238E27FC236}">
              <a16:creationId xmlns:a16="http://schemas.microsoft.com/office/drawing/2014/main" id="{00000000-0008-0000-0800-00001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1" name="Text Box 299">
          <a:extLst>
            <a:ext uri="{FF2B5EF4-FFF2-40B4-BE49-F238E27FC236}">
              <a16:creationId xmlns:a16="http://schemas.microsoft.com/office/drawing/2014/main" id="{00000000-0008-0000-0800-00001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2" name="Text Box 300">
          <a:extLst>
            <a:ext uri="{FF2B5EF4-FFF2-40B4-BE49-F238E27FC236}">
              <a16:creationId xmlns:a16="http://schemas.microsoft.com/office/drawing/2014/main" id="{00000000-0008-0000-0800-00002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3" name="Text Box 301">
          <a:extLst>
            <a:ext uri="{FF2B5EF4-FFF2-40B4-BE49-F238E27FC236}">
              <a16:creationId xmlns:a16="http://schemas.microsoft.com/office/drawing/2014/main" id="{00000000-0008-0000-0800-00002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4" name="Text Box 302">
          <a:extLst>
            <a:ext uri="{FF2B5EF4-FFF2-40B4-BE49-F238E27FC236}">
              <a16:creationId xmlns:a16="http://schemas.microsoft.com/office/drawing/2014/main" id="{00000000-0008-0000-0800-00002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5" name="Text Box 303">
          <a:extLst>
            <a:ext uri="{FF2B5EF4-FFF2-40B4-BE49-F238E27FC236}">
              <a16:creationId xmlns:a16="http://schemas.microsoft.com/office/drawing/2014/main" id="{00000000-0008-0000-0800-00002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6" name="Text Box 304">
          <a:extLst>
            <a:ext uri="{FF2B5EF4-FFF2-40B4-BE49-F238E27FC236}">
              <a16:creationId xmlns:a16="http://schemas.microsoft.com/office/drawing/2014/main" id="{00000000-0008-0000-0800-00002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7" name="Text Box 305">
          <a:extLst>
            <a:ext uri="{FF2B5EF4-FFF2-40B4-BE49-F238E27FC236}">
              <a16:creationId xmlns:a16="http://schemas.microsoft.com/office/drawing/2014/main" id="{00000000-0008-0000-0800-00002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8" name="Text Box 306">
          <a:extLst>
            <a:ext uri="{FF2B5EF4-FFF2-40B4-BE49-F238E27FC236}">
              <a16:creationId xmlns:a16="http://schemas.microsoft.com/office/drawing/2014/main" id="{00000000-0008-0000-0800-00002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9" name="Text Box 307">
          <a:extLst>
            <a:ext uri="{FF2B5EF4-FFF2-40B4-BE49-F238E27FC236}">
              <a16:creationId xmlns:a16="http://schemas.microsoft.com/office/drawing/2014/main" id="{00000000-0008-0000-0800-00002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0" name="Text Box 308">
          <a:extLst>
            <a:ext uri="{FF2B5EF4-FFF2-40B4-BE49-F238E27FC236}">
              <a16:creationId xmlns:a16="http://schemas.microsoft.com/office/drawing/2014/main" id="{00000000-0008-0000-0800-00002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1" name="Text Box 309">
          <a:extLst>
            <a:ext uri="{FF2B5EF4-FFF2-40B4-BE49-F238E27FC236}">
              <a16:creationId xmlns:a16="http://schemas.microsoft.com/office/drawing/2014/main" id="{00000000-0008-0000-0800-00002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2" name="Text Box 310">
          <a:extLst>
            <a:ext uri="{FF2B5EF4-FFF2-40B4-BE49-F238E27FC236}">
              <a16:creationId xmlns:a16="http://schemas.microsoft.com/office/drawing/2014/main" id="{00000000-0008-0000-0800-00002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3" name="Text Box 311">
          <a:extLst>
            <a:ext uri="{FF2B5EF4-FFF2-40B4-BE49-F238E27FC236}">
              <a16:creationId xmlns:a16="http://schemas.microsoft.com/office/drawing/2014/main" id="{00000000-0008-0000-0800-00002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4" name="Text Box 312">
          <a:extLst>
            <a:ext uri="{FF2B5EF4-FFF2-40B4-BE49-F238E27FC236}">
              <a16:creationId xmlns:a16="http://schemas.microsoft.com/office/drawing/2014/main" id="{00000000-0008-0000-0800-00002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5" name="Text Box 313">
          <a:extLst>
            <a:ext uri="{FF2B5EF4-FFF2-40B4-BE49-F238E27FC236}">
              <a16:creationId xmlns:a16="http://schemas.microsoft.com/office/drawing/2014/main" id="{00000000-0008-0000-0800-00002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6" name="Text Box 314">
          <a:extLst>
            <a:ext uri="{FF2B5EF4-FFF2-40B4-BE49-F238E27FC236}">
              <a16:creationId xmlns:a16="http://schemas.microsoft.com/office/drawing/2014/main" id="{00000000-0008-0000-0800-00002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7" name="Text Box 315">
          <a:extLst>
            <a:ext uri="{FF2B5EF4-FFF2-40B4-BE49-F238E27FC236}">
              <a16:creationId xmlns:a16="http://schemas.microsoft.com/office/drawing/2014/main" id="{00000000-0008-0000-0800-00002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8" name="Text Box 316">
          <a:extLst>
            <a:ext uri="{FF2B5EF4-FFF2-40B4-BE49-F238E27FC236}">
              <a16:creationId xmlns:a16="http://schemas.microsoft.com/office/drawing/2014/main" id="{00000000-0008-0000-0800-00003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9" name="Text Box 317">
          <a:extLst>
            <a:ext uri="{FF2B5EF4-FFF2-40B4-BE49-F238E27FC236}">
              <a16:creationId xmlns:a16="http://schemas.microsoft.com/office/drawing/2014/main" id="{00000000-0008-0000-0800-00003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0" name="Text Box 318">
          <a:extLst>
            <a:ext uri="{FF2B5EF4-FFF2-40B4-BE49-F238E27FC236}">
              <a16:creationId xmlns:a16="http://schemas.microsoft.com/office/drawing/2014/main" id="{00000000-0008-0000-0800-00003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1" name="Text Box 319">
          <a:extLst>
            <a:ext uri="{FF2B5EF4-FFF2-40B4-BE49-F238E27FC236}">
              <a16:creationId xmlns:a16="http://schemas.microsoft.com/office/drawing/2014/main" id="{00000000-0008-0000-0800-00003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2" name="Text Box 320">
          <a:extLst>
            <a:ext uri="{FF2B5EF4-FFF2-40B4-BE49-F238E27FC236}">
              <a16:creationId xmlns:a16="http://schemas.microsoft.com/office/drawing/2014/main" id="{00000000-0008-0000-0800-00003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64807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171449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372850" y="4667250"/>
          <a:ext cx="104775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3" name="Text Box 29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4" name="Text Box 30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5" name="Text Box 31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6" name="Text Box 32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7" name="Text Box 33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8" name="Text Box 34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9" name="Text Box 35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0" name="Text Box 36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1" name="Text Box 37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2" name="Text Box 38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3" name="Text Box 39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4" name="Text Box 40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5" name="Text Box 41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6" name="Text Box 4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7" name="Text Box 43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8" name="Text Box 44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9" name="Text Box 45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0" name="Text Box 46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1" name="Text Box 47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2" name="Text Box 4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3" name="Text Box 49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4" name="Text Box 50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5" name="Text Box 51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6" name="Text Box 5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7" name="Text Box 53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8" name="Text Box 54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9" name="Text Box 55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0" name="Text Box 56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1" name="Text Box 57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2" name="Text Box 58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3" name="Text Box 59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4" name="Text Box 6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5" name="Text Box 61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6" name="Text Box 62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7" name="Text Box 63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8" name="Text Box 64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9" name="Text Box 65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0" name="Text Box 66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1" name="Text Box 67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2" name="Text Box 68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3" name="Text Box 69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4" name="Text Box 7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5" name="Text Box 71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6" name="Text Box 72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7" name="Text Box 73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8" name="Text Box 74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9" name="Text Box 75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0" name="Text Box 76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1" name="Text Box 77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2" name="Text Box 78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3" name="Text Box 79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4" name="Text Box 80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5" name="Text Box 81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6" name="Text Box 8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7" name="Text Box 8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8" name="Text Box 84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9" name="Text Box 85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0" name="Text Box 86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1" name="Text Box 87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2" name="Text Box 8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3" name="Text Box 89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4" name="Text Box 90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5" name="Text Box 91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6" name="Text Box 92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7" name="Text Box 93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8" name="Text Box 9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9" name="Text Box 9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0" name="Text Box 96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1" name="Text Box 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2" name="Text Box 10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3" name="Text Box 101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4" name="Text Box 102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5" name="Text Box 103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6" name="Text Box 104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7" name="Text Box 105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8" name="Text Box 106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9" name="Text Box 107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0" name="Text Box 108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1" name="Text Box 109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2" name="Text Box 110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3" name="Text Box 111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4" name="Text Box 119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5" name="Text Box 120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6" name="Text Box 121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7" name="Text Box 12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8" name="Text Box 12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9" name="Text Box 124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0" name="Text Box 125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1" name="Text Box 126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2" name="Text Box 127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3" name="Text Box 12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4" name="Text Box 129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5" name="Text Box 130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6" name="Text Box 133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7" name="Text Box 134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8" name="Text Box 135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9" name="Text Box 136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0" name="Text Box 137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1" name="Text Box 138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2" name="Text Box 139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3" name="Text Box 140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4" name="Text Box 141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5" name="Text Box 142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6" name="Text Box 143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7" name="Text Box 144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8" name="Text Box 145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9" name="Text Box 146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0" name="Text Box 147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1" name="Text Box 14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2" name="Text Box 14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3" name="Text Box 15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4" name="Text Box 151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5" name="Text Box 152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6" name="Text Box 153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7" name="Text Box 15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8" name="Text Box 155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9" name="Text Box 156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0" name="Text Box 157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1" name="Text Box 158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2" name="Text Box 159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3" name="Text Box 160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4" name="Text Box 161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5" name="Text Box 162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6" name="Text Box 16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7" name="Text Box 164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8" name="Text Box 165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9" name="Text Box 166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0" name="Text Box 167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1" name="Text Box 168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2" name="Text Box 169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3" name="Text Box 170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4" name="Text Box 171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5" name="Text Box 172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6" name="Text Box 17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7" name="Text Box 174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8" name="Text Box 175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9" name="Text Box 176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0" name="Text Box 177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1" name="Text Box 178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2" name="Text Box 179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3" name="Text Box 180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4" name="Text Box 181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5" name="Text Box 182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6" name="Text Box 18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7" name="Text Box 184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8" name="Text Box 185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9" name="Text Box 186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0" name="Text Box 187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1" name="Text Box 188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2" name="Text Box 189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3" name="Text Box 190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4" name="Text Box 191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5" name="Text Box 19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6" name="Text Box 193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7" name="Text Box 194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8" name="Text Box 195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9" name="Text Box 196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0" name="Text Box 197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1" name="Text Box 198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2" name="Text Box 199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3" name="Text Box 200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4" name="Text Box 201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5" name="Text Box 202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6" name="Text Box 203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7" name="Text Box 204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8" name="Text Box 205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9" name="Text Box 206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0" name="Text Box 207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1" name="Text Box 208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2" name="Text Box 20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3" name="Text Box 210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4" name="Text Box 211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5" name="Text Box 21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6" name="Text Box 213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7" name="Text Box 214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8" name="Text Box 215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9" name="Text Box 216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0" name="Text Box 217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1" name="Text Box 21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2" name="Text Box 219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3" name="Text Box 220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4" name="Text Box 221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5" name="Text Box 22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6" name="Text Box 223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7" name="Text Box 224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8" name="Text Box 225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9" name="Text Box 226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0" name="Text Box 227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1" name="Text Box 228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2" name="Text Box 229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3" name="Text Box 230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4" name="Text Box 231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5" name="Text Box 232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6" name="Text Box 233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7" name="Text Box 234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8" name="Text Box 235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9" name="Text Box 2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0" name="Text Box 2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1" name="Text Box 238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2" name="Text Box 239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3" name="Text Box 240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4" name="Text Box 241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5" name="Text Box 242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6" name="Text Box 243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7" name="Text Box 244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8" name="Text Box 245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9" name="Text Box 246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0" name="Text Box 247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1" name="Text Box 248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2" name="Text Box 24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3" name="Text Box 250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4" name="Text Box 251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5" name="Text Box 25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6" name="Text Box 25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7" name="Text Box 254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8" name="Text Box 255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9" name="Text Box 256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0" name="Text Box 257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1" name="Text Box 2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2" name="Text Box 259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3" name="Text Box 260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4" name="Text Box 261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5" name="Text Box 262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6" name="Text Box 263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7" name="Text Box 26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8" name="Text Box 265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9" name="Text Box 266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0" name="Text Box 267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1" name="Text Box 268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2" name="Text Box 269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3" name="Text Box 270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4" name="Text Box 271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5" name="Text Box 272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6" name="Text Box 273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7" name="Text Box 274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8" name="Text Box 275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9" name="Text Box 276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0" name="Text Box 277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1" name="Text Box 278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2" name="Text Box 279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3" name="Text Box 280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4" name="Text Box 281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5" name="Text Box 28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6" name="Text Box 283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7" name="Text Box 284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8" name="Text Box 285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9" name="Text Box 286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0" name="Text Box 287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1" name="Text Box 28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2" name="Text Box 289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3" name="Text Box 290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4" name="Text Box 291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5" name="Text Box 292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6" name="Text Box 293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7" name="Text Box 294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8" name="Text Box 295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9" name="Text Box 296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0" name="Text Box 297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1" name="Text Box 298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2" name="Text Box 299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3" name="Text Box 300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4" name="Text Box 301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5" name="Text Box 302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6" name="Text Box 303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7" name="Text Box 304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8" name="Text Box 305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9" name="Text Box 306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0" name="Text Box 307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1" name="Text Box 308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2" name="Text Box 309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3" name="Text Box 310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4" name="Text Box 311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5" name="Text Box 312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6" name="Text Box 313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7" name="Text Box 314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8" name="Text Box 315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9" name="Text Box 316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0" name="Text Box 317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1" name="Text Box 318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2" name="Text Box 319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3" name="Text Box 320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4" name="Text Box 2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5" name="Text Box 29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6" name="Text Box 30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7" name="Text Box 31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8" name="Text Box 32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9" name="Text Box 33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0" name="Text Box 3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1" name="Text Box 35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2" name="Text Box 36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3" name="Text Box 37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4" name="Text Box 38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5" name="Text Box 39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6" name="Text Box 40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7" name="Text Box 41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8" name="Text Box 42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9" name="Text Box 43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0" name="Text Box 44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1" name="Text Box 45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2" name="Text Box 46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3" name="Text Box 47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4" name="Text Box 48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5" name="Text Box 49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6" name="Text Box 50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7" name="Text Box 51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8" name="Text Box 5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9" name="Text Box 53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0" name="Text Box 54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1" name="Text Box 55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2" name="Text Box 56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3" name="Text Box 57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4" name="Text Box 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5" name="Text Box 59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6" name="Text Box 60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7" name="Text Box 61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8" name="Text Box 62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9" name="Text Box 63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0" name="Text Box 64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1" name="Text Box 65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2" name="Text Box 66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3" name="Text Box 67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4" name="Text Box 68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5" name="Text Box 69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6" name="Text Box 70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7" name="Text Box 71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8" name="Text Box 72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9" name="Text Box 73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0" name="Text Box 74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1" name="Text Box 75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2" name="Text Box 76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3" name="Text Box 77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4" name="Text Box 78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5" name="Text Box 79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6" name="Text Box 80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7" name="Text Box 81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8" name="Text Box 82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9" name="Text Box 83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0" name="Text Box 84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1" name="Text Box 85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2" name="Text Box 86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3" name="Text Box 87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4" name="Text Box 88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5" name="Text Box 89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6" name="Text Box 90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7" name="Text Box 91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8" name="Text Box 92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9" name="Text Box 93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0" name="Text Box 94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1" name="Text Box 95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2" name="Text Box 96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3" name="Text Box 97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4" name="Text Box 100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5" name="Text Box 101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6" name="Text Box 102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7" name="Text Box 103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8" name="Text Box 104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9" name="Text Box 105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0" name="Text Box 106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1" name="Text Box 107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2" name="Text Box 108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3" name="Text Box 109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4" name="Text Box 110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5" name="Text Box 111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6" name="Text Box 119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7" name="Text Box 120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8" name="Text Box 121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9" name="Text Box 12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0" name="Text Box 123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1" name="Text Box 124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2" name="Text Box 125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3" name="Text Box 126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4" name="Text Box 127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5" name="Text Box 12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6" name="Text Box 129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7" name="Text Box 130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8" name="Text Box 133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9" name="Text Box 134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0" name="Text Box 135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1" name="Text Box 136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2" name="Text Box 137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3" name="Text Box 138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4" name="Text Box 139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5" name="Text Box 140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6" name="Text Box 141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7" name="Text Box 142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8" name="Text Box 143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9" name="Text Box 144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0" name="Text Box 145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1" name="Text Box 146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2" name="Text Box 147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3" name="Text Box 148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4" name="Text Box 149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5" name="Text Box 150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6" name="Text Box 151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7" name="Text Box 152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8" name="Text Box 153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9" name="Text Box 154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0" name="Text Box 155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1" name="Text Box 156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2" name="Text Box 157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3" name="Text Box 158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4" name="Text Box 159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5" name="Text Box 160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6" name="Text Box 161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7" name="Text Box 16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8" name="Text Box 163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9" name="Text Box 164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0" name="Text Box 165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1" name="Text Box 166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2" name="Text Box 167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3" name="Text Box 16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4" name="Text Box 169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5" name="Text Box 170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6" name="Text Box 171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7" name="Text Box 172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8" name="Text Box 173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9" name="Text Box 174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0" name="Text Box 175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1" name="Text Box 176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2" name="Text Box 177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3" name="Text Box 178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4" name="Text Box 179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5" name="Text Box 180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6" name="Text Box 181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7" name="Text Box 182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8" name="Text Box 183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9" name="Text Box 184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0" name="Text Box 185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1" name="Text Box 186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2" name="Text Box 187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3" name="Text Box 188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4" name="Text Box 189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5" name="Text Box 190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6" name="Text Box 191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7" name="Text Box 19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8" name="Text Box 193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9" name="Text Box 194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0" name="Text Box 195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1" name="Text Box 196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2" name="Text Box 197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3" name="Text Box 19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4" name="Text Box 199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5" name="Text Box 200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6" name="Text Box 201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7" name="Text Box 202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8" name="Text Box 203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9" name="Text Box 20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0" name="Text Box 205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1" name="Text Box 206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2" name="Text Box 207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3" name="Text Box 208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4" name="Text Box 209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5" name="Text Box 210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6" name="Text Box 211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7" name="Text Box 212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8" name="Text Box 213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9" name="Text Box 214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0" name="Text Box 215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1" name="Text Box 216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2" name="Text Box 217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3" name="Text Box 218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4" name="Text Box 219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5" name="Text Box 220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6" name="Text Box 221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7" name="Text Box 22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8" name="Text Box 223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9" name="Text Box 224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0" name="Text Box 225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1" name="Text Box 226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2" name="Text Box 227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3" name="Text Box 22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4" name="Text Box 229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5" name="Text Box 230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6" name="Text Box 231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7" name="Text Box 232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8" name="Text Box 233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9" name="Text Box 234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0" name="Text Box 235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1" name="Text Box 236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2" name="Text Box 237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3" name="Text Box 238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4" name="Text Box 239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5" name="Text Box 240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6" name="Text Box 241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7" name="Text Box 242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8" name="Text Box 243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9" name="Text Box 244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0" name="Text Box 245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1" name="Text Box 246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2" name="Text Box 247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3" name="Text Box 248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4" name="Text Box 249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5" name="Text Box 250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6" name="Text Box 251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7" name="Text Box 252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8" name="Text Box 253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9" name="Text Box 254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0" name="Text Box 255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1" name="Text Box 256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2" name="Text Box 257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3" name="Text Box 258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4" name="Text Box 259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5" name="Text Box 260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6" name="Text Box 261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7" name="Text Box 26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8" name="Text Box 263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9" name="Text Box 264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0" name="Text Box 265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1" name="Text Box 266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2" name="Text Box 267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3" name="Text Box 26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4" name="Text Box 269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5" name="Text Box 270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6" name="Text Box 271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7" name="Text Box 272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8" name="Text Box 273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9" name="Text Box 27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0" name="Text Box 275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1" name="Text Box 276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2" name="Text Box 277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3" name="Text Box 278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4" name="Text Box 279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5" name="Text Box 280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6" name="Text Box 281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7" name="Text Box 282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8" name="Text Box 283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9" name="Text Box 284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0" name="Text Box 285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1" name="Text Box 286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2" name="Text Box 287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3" name="Text Box 288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4" name="Text Box 289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5" name="Text Box 290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6" name="Text Box 291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7" name="Text Box 29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8" name="Text Box 293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9" name="Text Box 294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0" name="Text Box 295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1" name="Text Box 296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2" name="Text Box 297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3" name="Text Box 29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4" name="Text Box 299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5" name="Text Box 300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6" name="Text Box 301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7" name="Text Box 302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8" name="Text Box 303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9" name="Text Box 304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0" name="Text Box 305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1" name="Text Box 306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2" name="Text Box 307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3" name="Text Box 308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4" name="Text Box 309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5" name="Text Box 310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6" name="Text Box 311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7" name="Text Box 312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8" name="Text Box 313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9" name="Text Box 314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0" name="Text Box 315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1" name="Text Box 316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2" name="Text Box 317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3" name="Text Box 318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4" name="Text Box 319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5" name="Text Box 320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6" name="Text Box 28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7" name="Text Box 29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8" name="Text Box 30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9" name="Text Box 31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0" name="Text Box 3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1" name="Text Box 33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2" name="Text Box 34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3" name="Text Box 35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4" name="Text Box 36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5" name="Text Box 37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6" name="Text Box 3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7" name="Text Box 39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8" name="Text Box 40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9" name="Text Box 41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0" name="Text Box 42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1" name="Text Box 43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2" name="Text Box 4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3" name="Text Box 45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4" name="Text Box 46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5" name="Text Box 47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6" name="Text Box 4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7" name="Text Box 49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8" name="Text Box 50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9" name="Text Box 51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0" name="Text Box 52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1" name="Text Box 53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2" name="Text Box 54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3" name="Text Box 55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4" name="Text Box 56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5" name="Text Box 57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6" name="Text Box 58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7" name="Text Box 59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8" name="Text Box 60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9" name="Text Box 61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0" name="Text Box 62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1" name="Text Box 63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2" name="Text Box 64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3" name="Text Box 65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4" name="Text Box 66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5" name="Text Box 67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6" name="Text Box 68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7" name="Text Box 69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8" name="Text Box 70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9" name="Text Box 71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0" name="Text Box 7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1" name="Text Box 73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2" name="Text Box 74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3" name="Text Box 75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4" name="Text Box 76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5" name="Text Box 77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6" name="Text Box 7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7" name="Text Box 79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8" name="Text Box 80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9" name="Text Box 81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0" name="Text Box 82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1" name="Text Box 83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2" name="Text Box 84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3" name="Text Box 85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4" name="Text Box 86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5" name="Text Box 87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6" name="Text Box 88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7" name="Text Box 89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8" name="Text Box 90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9" name="Text Box 91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0" name="Text Box 92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1" name="Text Box 93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2" name="Text Box 94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3" name="Text Box 95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4" name="Text Box 96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5" name="Text Box 97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6" name="Text Box 100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7" name="Text Box 101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8" name="Text Box 1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9" name="Text Box 103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0" name="Text Box 104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1" name="Text Box 105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2" name="Text Box 106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3" name="Text Box 107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4" name="Text Box 108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5" name="Text Box 109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6" name="Text Box 110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7" name="Text Box 111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8" name="Text Box 119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9" name="Text Box 120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0" name="Text Box 121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1" name="Text Box 122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2" name="Text Box 123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3" name="Text Box 12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4" name="Text Box 125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5" name="Text Box 126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6" name="Text Box 127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7" name="Text Box 128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8" name="Text Box 129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9" name="Text Box 130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0" name="Text Box 133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1" name="Text Box 134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2" name="Text Box 135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3" name="Text Box 136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4" name="Text Box 137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5" name="Text Box 138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6" name="Text Box 139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7" name="Text Box 140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8" name="Text Box 141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9" name="Text Box 14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0" name="Text Box 143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1" name="Text Box 144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2" name="Text Box 145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3" name="Text Box 146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4" name="Text Box 147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5" name="Text Box 148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6" name="Text Box 149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7" name="Text Box 150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8" name="Text Box 151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9" name="Text Box 152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0" name="Text Box 153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1" name="Text Box 154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2" name="Text Box 155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3" name="Text Box 156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4" name="Text Box 157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5" name="Text Box 158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6" name="Text Box 159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7" name="Text Box 160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8" name="Text Box 161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9" name="Text Box 16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0" name="Text Box 163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1" name="Text Box 164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2" name="Text Box 165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3" name="Text Box 166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4" name="Text Box 167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5" name="Text Box 16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6" name="Text Box 169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7" name="Text Box 170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8" name="Text Box 171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9" name="Text Box 172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0" name="Text Box 173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1" name="Text Box 174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2" name="Text Box 175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3" name="Text Box 176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4" name="Text Box 177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5" name="Text Box 178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6" name="Text Box 179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7" name="Text Box 180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8" name="Text Box 181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9" name="Text Box 182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0" name="Text Box 183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1" name="Text Box 184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2" name="Text Box 185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3" name="Text Box 186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4" name="Text Box 187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5" name="Text Box 188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6" name="Text Box 189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7" name="Text Box 190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8" name="Text Box 191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9" name="Text Box 192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0" name="Text Box 193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1" name="Text Box 194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2" name="Text Box 195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3" name="Text Box 196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4" name="Text Box 197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5" name="Text Box 198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6" name="Text Box 199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7" name="Text Box 200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8" name="Text Box 201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9" name="Text Box 2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0" name="Text Box 203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1" name="Text Box 204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2" name="Text Box 205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3" name="Text Box 206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4" name="Text Box 207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5" name="Text Box 20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6" name="Text Box 209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7" name="Text Box 210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8" name="Text Box 211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9" name="Text Box 212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0" name="Text Box 213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1" name="Text Box 21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2" name="Text Box 215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3" name="Text Box 216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4" name="Text Box 217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5" name="Text Box 218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6" name="Text Box 219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7" name="Text Box 220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8" name="Text Box 221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9" name="Text Box 222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0" name="Text Box 223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1" name="Text Box 224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2" name="Text Box 225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3" name="Text Box 226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4" name="Text Box 227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5" name="Text Box 228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6" name="Text Box 229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7" name="Text Box 230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8" name="Text Box 231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9" name="Text Box 23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0" name="Text Box 233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1" name="Text Box 234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2" name="Text Box 235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3" name="Text Box 236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4" name="Text Box 237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5" name="Text Box 23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6" name="Text Box 239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7" name="Text Box 240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8" name="Text Box 241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9" name="Text Box 242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0" name="Text Box 243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1" name="Text Box 244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2" name="Text Box 245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3" name="Text Box 246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4" name="Text Box 247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5" name="Text Box 248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6" name="Text Box 249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7" name="Text Box 250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8" name="Text Box 251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9" name="Text Box 252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0" name="Text Box 253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1" name="Text Box 254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2" name="Text Box 255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3" name="Text Box 256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4" name="Text Box 257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5" name="Text Box 258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6" name="Text Box 259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7" name="Text Box 260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8" name="Text Box 261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9" name="Text Box 262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0" name="Text Box 263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1" name="Text Box 264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2" name="Text Box 265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3" name="Text Box 266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4" name="Text Box 267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5" name="Text Box 268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6" name="Text Box 269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7" name="Text Box 270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8" name="Text Box 271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9" name="Text Box 27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0" name="Text Box 273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1" name="Text Box 274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2" name="Text Box 275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3" name="Text Box 276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4" name="Text Box 277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5" name="Text Box 27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6" name="Text Box 279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7" name="Text Box 280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8" name="Text Box 281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9" name="Text Box 282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0" name="Text Box 283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1" name="Text Box 28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2" name="Text Box 285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3" name="Text Box 286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4" name="Text Box 287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5" name="Text Box 288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6" name="Text Box 289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7" name="Text Box 290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8" name="Text Box 291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9" name="Text Box 292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0" name="Text Box 293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1" name="Text Box 294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2" name="Text Box 295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3" name="Text Box 296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4" name="Text Box 297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5" name="Text Box 298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6" name="Text Box 299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7" name="Text Box 300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8" name="Text Box 301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9" name="Text Box 3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0" name="Text Box 303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1" name="Text Box 304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2" name="Text Box 305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3" name="Text Box 306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4" name="Text Box 307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5" name="Text Box 30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6" name="Text Box 309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7" name="Text Box 310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8" name="Text Box 311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9" name="Text Box 312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0" name="Text Box 313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1" name="Text Box 314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2" name="Text Box 315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3" name="Text Box 316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4" name="Text Box 317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5" name="Text Box 31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6" name="Text Box 319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7" name="Text Box 320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8" name="Text Box 28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9" name="Text Box 29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0" name="Text Box 30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1" name="Text Box 31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2" name="Text Box 32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3" name="Text Box 33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4" name="Text Box 34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5" name="Text Box 35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6" name="Text Box 36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7" name="Text Box 37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8" name="Text Box 38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9" name="Text Box 39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0" name="Text Box 40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1" name="Text Box 41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2" name="Text Box 42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3" name="Text Box 43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4" name="Text Box 44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5" name="Text Box 45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6" name="Text Box 46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7" name="Text Box 47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8" name="Text Box 48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9" name="Text Box 49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0" name="Text Box 50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1" name="Text Box 51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2" name="Text Box 5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3" name="Text Box 53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4" name="Text Box 54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5" name="Text Box 55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6" name="Text Box 56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7" name="Text Box 57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8" name="Text Box 58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9" name="Text Box 59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0" name="Text Box 60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1" name="Text Box 61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2" name="Text Box 62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3" name="Text Box 63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4" name="Text Box 64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5" name="Text Box 65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6" name="Text Box 66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7" name="Text Box 67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8" name="Text Box 68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9" name="Text Box 69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0" name="Text Box 70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1" name="Text Box 71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2" name="Text Box 7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3" name="Text Box 73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4" name="Text Box 74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5" name="Text Box 75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6" name="Text Box 76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7" name="Text Box 77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8" name="Text Box 78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9" name="Text Box 79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0" name="Text Box 80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1" name="Text Box 81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2" name="Text Box 82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3" name="Text Box 83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4" name="Text Box 8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5" name="Text Box 85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6" name="Text Box 86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7" name="Text Box 87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8" name="Text Box 88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9" name="Text Box 89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0" name="Text Box 90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1" name="Text Box 91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2" name="Text Box 9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3" name="Text Box 93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4" name="Text Box 94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5" name="Text Box 95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6" name="Text Box 96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7" name="Text Box 97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8" name="Text Box 100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9" name="Text Box 101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0" name="Text Box 102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1" name="Text Box 103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2" name="Text Box 104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3" name="Text Box 105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4" name="Text Box 106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5" name="Text Box 107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6" name="Text Box 108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7" name="Text Box 109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8" name="Text Box 110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9" name="Text Box 111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0" name="Text Box 119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1" name="Text Box 120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2" name="Text Box 121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3" name="Text Box 122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4" name="Text Box 123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5" name="Text Box 12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6" name="Text Box 125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7" name="Text Box 126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8" name="Text Box 127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9" name="Text Box 128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0" name="Text Box 129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1" name="Text Box 130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2" name="Text Box 133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3" name="Text Box 134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4" name="Text Box 135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5" name="Text Box 136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6" name="Text Box 137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7" name="Text Box 138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8" name="Text Box 139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9" name="Text Box 140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0" name="Text Box 141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1" name="Text Box 14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2" name="Text Box 143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3" name="Text Box 144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4" name="Text Box 145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5" name="Text Box 146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6" name="Text Box 147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7" name="Text Box 14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8" name="Text Box 149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9" name="Text Box 150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0" name="Text Box 151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1" name="Text Box 152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2" name="Text Box 153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3" name="Text Box 15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4" name="Text Box 155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5" name="Text Box 156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6" name="Text Box 157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7" name="Text Box 158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8" name="Text Box 159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9" name="Text Box 160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0" name="Text Box 161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1" name="Text Box 162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2" name="Text Box 163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3" name="Text Box 164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4" name="Text Box 165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5" name="Text Box 166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6" name="Text Box 167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7" name="Text Box 168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8" name="Text Box 169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9" name="Text Box 170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0" name="Text Box 171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1" name="Text Box 17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2" name="Text Box 173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3" name="Text Box 174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4" name="Text Box 175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5" name="Text Box 176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6" name="Text Box 177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7" name="Text Box 17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8" name="Text Box 179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9" name="Text Box 180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0" name="Text Box 181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1" name="Text Box 182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2" name="Text Box 183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3" name="Text Box 184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4" name="Text Box 185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5" name="Text Box 186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6" name="Text Box 187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7" name="Text Box 188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8" name="Text Box 189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9" name="Text Box 190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0" name="Text Box 191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1" name="Text Box 192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2" name="Text Box 193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3" name="Text Box 194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4" name="Text Box 195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5" name="Text Box 196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6" name="Text Box 197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7" name="Text Box 198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8" name="Text Box 199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9" name="Text Box 200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0" name="Text Box 201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1" name="Text Box 202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2" name="Text Box 203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3" name="Text Box 204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4" name="Text Box 205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5" name="Text Box 206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6" name="Text Box 207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7" name="Text Box 208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8" name="Text Box 209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9" name="Text Box 210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0" name="Text Box 211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1" name="Text Box 21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2" name="Text Box 213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3" name="Text Box 214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4" name="Text Box 215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5" name="Text Box 216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6" name="Text Box 217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7" name="Text Box 21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8" name="Text Box 219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9" name="Text Box 220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0" name="Text Box 221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1" name="Text Box 222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2" name="Text Box 223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3" name="Text Box 22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4" name="Text Box 225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5" name="Text Box 226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6" name="Text Box 227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7" name="Text Box 228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8" name="Text Box 229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9" name="Text Box 230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0" name="Text Box 231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1" name="Text Box 232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2" name="Text Box 233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3" name="Text Box 234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4" name="Text Box 235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5" name="Text Box 236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6" name="Text Box 237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7" name="Text Box 238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8" name="Text Box 239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9" name="Text Box 240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0" name="Text Box 241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1" name="Text Box 24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2" name="Text Box 243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3" name="Text Box 244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4" name="Text Box 245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5" name="Text Box 246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6" name="Text Box 247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7" name="Text Box 24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8" name="Text Box 249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9" name="Text Box 250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0" name="Text Box 251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1" name="Text Box 252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2" name="Text Box 253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3" name="Text Box 254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4" name="Text Box 255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5" name="Text Box 256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6" name="Text Box 257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7" name="Text Box 258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8" name="Text Box 259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9" name="Text Box 260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0" name="Text Box 261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1" name="Text Box 262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2" name="Text Box 263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3" name="Text Box 264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4" name="Text Box 265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5" name="Text Box 266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6" name="Text Box 267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7" name="Text Box 268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8" name="Text Box 269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9" name="Text Box 270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0" name="Text Box 271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1" name="Text Box 272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2" name="Text Box 273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3" name="Text Box 274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4" name="Text Box 275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5" name="Text Box 276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6" name="Text Box 277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7" name="Text Box 278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8" name="Text Box 279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9" name="Text Box 280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0" name="Text Box 281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1" name="Text Box 28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2" name="Text Box 283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3" name="Text Box 284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4" name="Text Box 285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5" name="Text Box 286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6" name="Text Box 287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7" name="Text Box 288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8" name="Text Box 289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9" name="Text Box 290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0" name="Text Box 291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1" name="Text Box 29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2" name="Text Box 293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3" name="Text Box 294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4" name="Text Box 295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5" name="Text Box 296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6" name="Text Box 297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7" name="Text Box 298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8" name="Text Box 299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9" name="Text Box 300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0" name="Text Box 301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1" name="Text Box 302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2" name="Text Box 303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3" name="Text Box 30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4" name="Text Box 305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5" name="Text Box 306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6" name="Text Box 307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7" name="Text Box 308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8" name="Text Box 309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9" name="Text Box 310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0" name="Text Box 311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1" name="Text Box 312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2" name="Text Box 313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3" name="Text Box 314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4" name="Text Box 315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5" name="Text Box 316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6" name="Text Box 317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7" name="Text Box 318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8" name="Text Box 319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9" name="Text Box 320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0" name="Text Box 2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1" name="Text Box 29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2" name="Text Box 30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3" name="Text Box 31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4" name="Text Box 32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5" name="Text Box 33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6" name="Text Box 34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7" name="Text Box 35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8" name="Text Box 36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9" name="Text Box 37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0" name="Text Box 38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1" name="Text Box 39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2" name="Text Box 40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3" name="Text Box 41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4" name="Text Box 42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5" name="Text Box 43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6" name="Text Box 44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7" name="Text Box 45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8" name="Text Box 46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9" name="Text Box 47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0" name="Text Box 48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1" name="Text Box 49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2" name="Text Box 50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3" name="Text Box 51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4" name="Text Box 5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5" name="Text Box 53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6" name="Text Box 54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7" name="Text Box 55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8" name="Text Box 56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9" name="Text Box 57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0" name="Text Box 58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1" name="Text Box 59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2" name="Text Box 60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3" name="Text Box 61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4" name="Text Box 62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5" name="Text Box 63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6" name="Text Box 64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7" name="Text Box 65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8" name="Text Box 66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9" name="Text Box 67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0" name="Text Box 6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1" name="Text Box 69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2" name="Text Box 70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3" name="Text Box 71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4" name="Text Box 72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5" name="Text Box 73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6" name="Text Box 74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7" name="Text Box 75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8" name="Text Box 76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9" name="Text Box 77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0" name="Text Box 78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1" name="Text Box 79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2" name="Text Box 80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3" name="Text Box 81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4" name="Text Box 82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5" name="Text Box 83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6" name="Text Box 84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7" name="Text Box 85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8" name="Text Box 86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9" name="Text Box 87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0" name="Text Box 88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1" name="Text Box 89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2" name="Text Box 90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3" name="Text Box 91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4" name="Text Box 9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5" name="Text Box 93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6" name="Text Box 94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7" name="Text Box 95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8" name="Text Box 96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9" name="Text Box 97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0" name="Text Box 100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1" name="Text Box 101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2" name="Text Box 102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3" name="Text Box 103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4" name="Text Box 104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5" name="Text Box 105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6" name="Text Box 106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7" name="Text Box 107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8" name="Text Box 108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9" name="Text Box 109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0" name="Text Box 110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1" name="Text Box 111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2" name="Text Box 119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3" name="Text Box 120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4" name="Text Box 121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5" name="Text Box 12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6" name="Text Box 123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7" name="Text Box 124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8" name="Text Box 125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9" name="Text Box 126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0" name="Text Box 127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1" name="Text Box 12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2" name="Text Box 129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3" name="Text Box 130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4" name="Text Box 133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5" name="Text Box 134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6" name="Text Box 135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7" name="Text Box 136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8" name="Text Box 137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9" name="Text Box 138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0" name="Text Box 139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1" name="Text Box 140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2" name="Text Box 141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3" name="Text Box 142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4" name="Text Box 143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5" name="Text Box 144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6" name="Text Box 145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7" name="Text Box 146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8" name="Text Box 147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9" name="Text Box 148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0" name="Text Box 149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1" name="Text Box 150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2" name="Text Box 151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3" name="Text Box 15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4" name="Text Box 153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5" name="Text Box 154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6" name="Text Box 155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7" name="Text Box 156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8" name="Text Box 157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9" name="Text Box 1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0" name="Text Box 159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1" name="Text Box 160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2" name="Text Box 161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3" name="Text Box 162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4" name="Text Box 163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5" name="Text Box 16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6" name="Text Box 165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7" name="Text Box 166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8" name="Text Box 167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9" name="Text Box 168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0" name="Text Box 169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1" name="Text Box 170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2" name="Text Box 171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3" name="Text Box 172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4" name="Text Box 173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5" name="Text Box 174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6" name="Text Box 175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7" name="Text Box 176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8" name="Text Box 177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9" name="Text Box 178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0" name="Text Box 179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1" name="Text Box 180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2" name="Text Box 181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3" name="Text Box 18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4" name="Text Box 183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5" name="Text Box 184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6" name="Text Box 185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7" name="Text Box 186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8" name="Text Box 187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9" name="Text Box 18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0" name="Text Box 189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1" name="Text Box 190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2" name="Text Box 191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3" name="Text Box 192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4" name="Text Box 193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5" name="Text Box 194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6" name="Text Box 195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7" name="Text Box 196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8" name="Text Box 197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9" name="Text Box 198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0" name="Text Box 199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1" name="Text Box 200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2" name="Text Box 201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3" name="Text Box 202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4" name="Text Box 203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5" name="Text Box 204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6" name="Text Box 205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7" name="Text Box 206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8" name="Text Box 207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9" name="Text Box 208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0" name="Text Box 209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1" name="Text Box 210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2" name="Text Box 211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3" name="Text Box 212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4" name="Text Box 213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5" name="Text Box 214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6" name="Text Box 215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7" name="Text Box 216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8" name="Text Box 217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9" name="Text Box 218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0" name="Text Box 219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1" name="Text Box 220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2" name="Text Box 221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3" name="Text Box 22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4" name="Text Box 223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5" name="Text Box 224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6" name="Text Box 225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7" name="Text Box 226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8" name="Text Box 227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9" name="Text Box 22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0" name="Text Box 229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1" name="Text Box 230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2" name="Text Box 231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3" name="Text Box 232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4" name="Text Box 233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5" name="Text Box 23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6" name="Text Box 235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7" name="Text Box 236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8" name="Text Box 237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9" name="Text Box 238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0" name="Text Box 239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1" name="Text Box 240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2" name="Text Box 241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3" name="Text Box 242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4" name="Text Box 243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5" name="Text Box 244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6" name="Text Box 245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7" name="Text Box 246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8" name="Text Box 247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9" name="Text Box 248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0" name="Text Box 249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1" name="Text Box 250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2" name="Text Box 251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3" name="Text Box 25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4" name="Text Box 253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5" name="Text Box 254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6" name="Text Box 255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7" name="Text Box 256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8" name="Text Box 257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9" name="Text Box 2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0" name="Text Box 259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1" name="Text Box 260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2" name="Text Box 261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3" name="Text Box 262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4" name="Text Box 263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5" name="Text Box 264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6" name="Text Box 265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7" name="Text Box 266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8" name="Text Box 267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9" name="Text Box 26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0" name="Text Box 269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1" name="Text Box 270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2" name="Text Box 271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3" name="Text Box 272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4" name="Text Box 273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5" name="Text Box 274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6" name="Text Box 275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7" name="Text Box 276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8" name="Text Box 277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9" name="Text Box 278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0" name="Text Box 279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1" name="Text Box 280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2" name="Text Box 281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3" name="Text Box 282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4" name="Text Box 283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5" name="Text Box 284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6" name="Text Box 285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7" name="Text Box 286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8" name="Text Box 287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9" name="Text Box 288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0" name="Text Box 289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1" name="Text Box 290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2" name="Text Box 291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3" name="Text Box 292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4" name="Text Box 293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5" name="Text Box 294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6" name="Text Box 295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7" name="Text Box 296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8" name="Text Box 297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9" name="Text Box 298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0" name="Text Box 299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1" name="Text Box 300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2" name="Text Box 301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3" name="Text Box 302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4" name="Text Box 303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5" name="Text Box 30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6" name="Text Box 305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7" name="Text Box 306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8" name="Text Box 307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9" name="Text Box 308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0" name="Text Box 309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1" name="Text Box 310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2" name="Text Box 311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3" name="Text Box 312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4" name="Text Box 313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5" name="Text Box 314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6" name="Text Box 315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7" name="Text Box 316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8" name="Text Box 317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9" name="Text Box 318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0" name="Text Box 319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1" name="Text Box 320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F0"/>
  </sheetPr>
  <dimension ref="A1:T120"/>
  <sheetViews>
    <sheetView tabSelected="1" workbookViewId="0">
      <pane ySplit="2" topLeftCell="A3" activePane="bottomLeft" state="frozen"/>
      <selection pane="bottomLeft" activeCell="F32" sqref="F32"/>
    </sheetView>
  </sheetViews>
  <sheetFormatPr baseColWidth="10" defaultRowHeight="14" x14ac:dyDescent="0.3"/>
  <cols>
    <col min="1" max="1" width="4.69921875" customWidth="1"/>
    <col min="2" max="2" width="20.69921875" customWidth="1"/>
    <col min="3" max="3" width="8.69921875" customWidth="1"/>
    <col min="4" max="4" width="20.69921875" customWidth="1"/>
    <col min="5" max="5" width="8.69921875" customWidth="1"/>
    <col min="6" max="6" width="20.69921875" customWidth="1"/>
    <col min="7" max="7" width="8.69921875" customWidth="1"/>
    <col min="8" max="8" width="10.69921875" customWidth="1"/>
    <col min="9" max="9" width="15.69921875" customWidth="1"/>
    <col min="10" max="19" width="10.69921875" customWidth="1"/>
  </cols>
  <sheetData>
    <row r="1" spans="1:19" ht="25" customHeight="1" x14ac:dyDescent="0.3">
      <c r="H1" s="80" t="s">
        <v>310</v>
      </c>
      <c r="I1" s="80"/>
      <c r="J1" s="80"/>
      <c r="K1" s="80" t="s">
        <v>309</v>
      </c>
      <c r="L1" s="80"/>
      <c r="M1" s="80"/>
      <c r="N1" s="80"/>
      <c r="O1" s="80"/>
      <c r="P1" s="80" t="s">
        <v>308</v>
      </c>
      <c r="Q1" s="80"/>
      <c r="R1" s="80"/>
      <c r="S1" s="80"/>
    </row>
    <row r="2" spans="1:19" ht="25" customHeight="1" x14ac:dyDescent="0.3">
      <c r="A2" s="78" t="s">
        <v>0</v>
      </c>
      <c r="B2" s="78" t="s">
        <v>215</v>
      </c>
      <c r="C2" s="78" t="s">
        <v>214</v>
      </c>
      <c r="D2" s="78" t="s">
        <v>216</v>
      </c>
      <c r="E2" s="78" t="s">
        <v>214</v>
      </c>
      <c r="F2" s="78" t="s">
        <v>213</v>
      </c>
      <c r="G2" s="78" t="s">
        <v>214</v>
      </c>
      <c r="H2" s="78" t="s">
        <v>292</v>
      </c>
      <c r="I2" s="78" t="s">
        <v>295</v>
      </c>
      <c r="J2" s="78" t="s">
        <v>296</v>
      </c>
      <c r="K2" s="78" t="s">
        <v>301</v>
      </c>
      <c r="L2" s="78" t="s">
        <v>302</v>
      </c>
      <c r="M2" s="78" t="s">
        <v>303</v>
      </c>
      <c r="N2" s="78" t="s">
        <v>304</v>
      </c>
      <c r="O2" s="78" t="s">
        <v>305</v>
      </c>
      <c r="P2" s="78" t="s">
        <v>306</v>
      </c>
      <c r="Q2" s="78" t="s">
        <v>304</v>
      </c>
      <c r="R2" s="78" t="s">
        <v>305</v>
      </c>
      <c r="S2" s="78" t="s">
        <v>307</v>
      </c>
    </row>
    <row r="3" spans="1:19" ht="25" hidden="1" customHeight="1" x14ac:dyDescent="0.3">
      <c r="A3" s="76">
        <v>1</v>
      </c>
      <c r="B3" s="77" t="s">
        <v>297</v>
      </c>
      <c r="C3" s="76">
        <v>0</v>
      </c>
      <c r="D3" s="77" t="s">
        <v>229</v>
      </c>
      <c r="E3" s="76">
        <v>1</v>
      </c>
      <c r="F3" s="77" t="s">
        <v>244</v>
      </c>
      <c r="G3" s="76">
        <v>1</v>
      </c>
      <c r="H3" s="76" t="s">
        <v>293</v>
      </c>
      <c r="I3" s="76" t="str">
        <f t="shared" ref="I3:I9" si="0">CONCATENATE("T_","0",C3,"_0",E3,"_0",G3)</f>
        <v>T_00_01_01</v>
      </c>
      <c r="J3" s="76">
        <v>1</v>
      </c>
      <c r="K3" s="76">
        <v>1</v>
      </c>
      <c r="L3" s="76">
        <v>1</v>
      </c>
      <c r="M3" s="76">
        <v>1</v>
      </c>
      <c r="N3" s="76">
        <v>1</v>
      </c>
      <c r="O3" s="76">
        <v>1</v>
      </c>
      <c r="P3" s="76"/>
      <c r="Q3" s="76"/>
      <c r="R3" s="76"/>
      <c r="S3" s="76"/>
    </row>
    <row r="4" spans="1:19" ht="25" hidden="1" customHeight="1" x14ac:dyDescent="0.3">
      <c r="A4" s="76">
        <v>2</v>
      </c>
      <c r="B4" s="77" t="s">
        <v>297</v>
      </c>
      <c r="C4" s="76">
        <v>0</v>
      </c>
      <c r="D4" s="77" t="s">
        <v>285</v>
      </c>
      <c r="E4" s="76">
        <v>2</v>
      </c>
      <c r="F4" s="77" t="s">
        <v>287</v>
      </c>
      <c r="G4" s="76">
        <v>1</v>
      </c>
      <c r="H4" s="76" t="s">
        <v>293</v>
      </c>
      <c r="I4" s="76" t="str">
        <f t="shared" si="0"/>
        <v>T_00_02_01</v>
      </c>
      <c r="J4" s="76">
        <v>1</v>
      </c>
      <c r="K4" s="76">
        <v>1</v>
      </c>
      <c r="L4" s="76">
        <v>1</v>
      </c>
      <c r="M4" s="76">
        <v>1</v>
      </c>
      <c r="N4" s="76">
        <v>1</v>
      </c>
      <c r="O4" s="76">
        <v>1</v>
      </c>
      <c r="P4" s="76"/>
      <c r="Q4" s="76"/>
      <c r="R4" s="76"/>
      <c r="S4" s="76"/>
    </row>
    <row r="5" spans="1:19" ht="25" hidden="1" customHeight="1" x14ac:dyDescent="0.3">
      <c r="A5" s="76">
        <v>3</v>
      </c>
      <c r="B5" s="77" t="s">
        <v>297</v>
      </c>
      <c r="C5" s="76">
        <v>0</v>
      </c>
      <c r="D5" s="77" t="s">
        <v>285</v>
      </c>
      <c r="E5" s="76">
        <v>2</v>
      </c>
      <c r="F5" s="77" t="s">
        <v>288</v>
      </c>
      <c r="G5" s="76">
        <v>2</v>
      </c>
      <c r="H5" s="76" t="s">
        <v>293</v>
      </c>
      <c r="I5" s="76" t="str">
        <f t="shared" si="0"/>
        <v>T_00_02_02</v>
      </c>
      <c r="J5" s="76">
        <v>1</v>
      </c>
      <c r="K5" s="76">
        <v>1</v>
      </c>
      <c r="L5" s="76">
        <v>1</v>
      </c>
      <c r="M5" s="76">
        <v>1</v>
      </c>
      <c r="N5" s="76">
        <v>1</v>
      </c>
      <c r="O5" s="76">
        <v>1</v>
      </c>
      <c r="P5" s="76"/>
      <c r="Q5" s="76"/>
      <c r="R5" s="76"/>
      <c r="S5" s="76"/>
    </row>
    <row r="6" spans="1:19" ht="25" hidden="1" customHeight="1" x14ac:dyDescent="0.3">
      <c r="A6" s="76">
        <v>4</v>
      </c>
      <c r="B6" s="77" t="s">
        <v>297</v>
      </c>
      <c r="C6" s="76">
        <v>0</v>
      </c>
      <c r="D6" s="77" t="s">
        <v>285</v>
      </c>
      <c r="E6" s="76">
        <v>2</v>
      </c>
      <c r="F6" s="77" t="s">
        <v>289</v>
      </c>
      <c r="G6" s="76">
        <v>3</v>
      </c>
      <c r="H6" s="76" t="s">
        <v>293</v>
      </c>
      <c r="I6" s="76" t="str">
        <f t="shared" si="0"/>
        <v>T_00_02_03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  <c r="O6" s="76">
        <v>1</v>
      </c>
      <c r="P6" s="76"/>
      <c r="Q6" s="76"/>
      <c r="R6" s="76"/>
      <c r="S6" s="76"/>
    </row>
    <row r="7" spans="1:19" ht="25" hidden="1" customHeight="1" x14ac:dyDescent="0.3">
      <c r="A7" s="76">
        <v>5</v>
      </c>
      <c r="B7" s="77" t="s">
        <v>297</v>
      </c>
      <c r="C7" s="76">
        <v>0</v>
      </c>
      <c r="D7" s="77" t="s">
        <v>285</v>
      </c>
      <c r="E7" s="76">
        <v>2</v>
      </c>
      <c r="F7" s="77" t="s">
        <v>290</v>
      </c>
      <c r="G7" s="76">
        <v>4</v>
      </c>
      <c r="H7" s="76" t="s">
        <v>294</v>
      </c>
      <c r="I7" s="76" t="str">
        <f t="shared" si="0"/>
        <v>T_00_02_04</v>
      </c>
      <c r="J7" s="76">
        <v>0</v>
      </c>
      <c r="K7" s="76">
        <v>1</v>
      </c>
      <c r="L7" s="76">
        <v>1</v>
      </c>
      <c r="M7" s="76">
        <v>1</v>
      </c>
      <c r="N7" s="76">
        <v>1</v>
      </c>
      <c r="O7" s="76">
        <v>1</v>
      </c>
      <c r="P7" s="76"/>
      <c r="Q7" s="76"/>
      <c r="R7" s="76"/>
      <c r="S7" s="76"/>
    </row>
    <row r="8" spans="1:19" ht="25" hidden="1" customHeight="1" x14ac:dyDescent="0.3">
      <c r="A8" s="76">
        <v>6</v>
      </c>
      <c r="B8" s="77" t="s">
        <v>297</v>
      </c>
      <c r="C8" s="76">
        <v>0</v>
      </c>
      <c r="D8" s="77" t="s">
        <v>285</v>
      </c>
      <c r="E8" s="76">
        <v>2</v>
      </c>
      <c r="F8" s="77" t="s">
        <v>291</v>
      </c>
      <c r="G8" s="76">
        <v>5</v>
      </c>
      <c r="H8" s="76" t="s">
        <v>294</v>
      </c>
      <c r="I8" s="76" t="str">
        <f t="shared" si="0"/>
        <v>T_00_02_05</v>
      </c>
      <c r="J8" s="76">
        <v>0</v>
      </c>
      <c r="K8" s="76">
        <v>1</v>
      </c>
      <c r="L8" s="76">
        <v>1</v>
      </c>
      <c r="M8" s="76">
        <v>1</v>
      </c>
      <c r="N8" s="76">
        <v>1</v>
      </c>
      <c r="O8" s="76">
        <v>1</v>
      </c>
      <c r="P8" s="76"/>
      <c r="Q8" s="76"/>
      <c r="R8" s="76"/>
      <c r="S8" s="76"/>
    </row>
    <row r="9" spans="1:19" ht="25" hidden="1" customHeight="1" x14ac:dyDescent="0.3">
      <c r="A9" s="76">
        <v>7</v>
      </c>
      <c r="B9" s="77" t="s">
        <v>297</v>
      </c>
      <c r="C9" s="76">
        <v>0</v>
      </c>
      <c r="D9" s="77" t="s">
        <v>286</v>
      </c>
      <c r="E9" s="76">
        <v>3</v>
      </c>
      <c r="F9" s="79" t="s">
        <v>343</v>
      </c>
      <c r="G9" s="76">
        <v>1</v>
      </c>
      <c r="H9" s="76" t="s">
        <v>293</v>
      </c>
      <c r="I9" s="76" t="str">
        <f t="shared" si="0"/>
        <v>T_00_03_01</v>
      </c>
      <c r="J9" s="76">
        <v>1</v>
      </c>
      <c r="K9" s="76">
        <v>1</v>
      </c>
      <c r="L9" s="76">
        <v>1</v>
      </c>
      <c r="M9" s="76">
        <v>1</v>
      </c>
      <c r="N9" s="76">
        <v>1</v>
      </c>
      <c r="O9" s="76">
        <v>1</v>
      </c>
      <c r="P9" s="76"/>
      <c r="Q9" s="76"/>
      <c r="R9" s="76"/>
      <c r="S9" s="76"/>
    </row>
    <row r="10" spans="1:19" ht="25" hidden="1" customHeight="1" x14ac:dyDescent="0.3">
      <c r="A10" s="76">
        <v>8</v>
      </c>
      <c r="B10" s="77" t="s">
        <v>297</v>
      </c>
      <c r="C10" s="76">
        <v>0</v>
      </c>
      <c r="D10" s="77" t="s">
        <v>312</v>
      </c>
      <c r="E10" s="76">
        <v>4</v>
      </c>
      <c r="F10" s="79" t="s">
        <v>313</v>
      </c>
      <c r="G10" s="76">
        <v>1</v>
      </c>
      <c r="H10" s="76" t="s">
        <v>293</v>
      </c>
      <c r="I10" s="76" t="str">
        <f t="shared" ref="I10" si="1">CONCATENATE("T_","0",C10,"_0",E10,"_0",G10)</f>
        <v>T_00_04_01</v>
      </c>
      <c r="J10" s="76">
        <v>1</v>
      </c>
      <c r="K10" s="76">
        <v>1</v>
      </c>
      <c r="L10" s="76">
        <v>1</v>
      </c>
      <c r="M10" s="76">
        <v>1</v>
      </c>
      <c r="N10" s="76">
        <v>1</v>
      </c>
      <c r="O10" s="76">
        <v>1</v>
      </c>
      <c r="P10" s="76"/>
      <c r="Q10" s="76"/>
      <c r="R10" s="76"/>
      <c r="S10" s="76"/>
    </row>
    <row r="11" spans="1:19" ht="25" hidden="1" customHeight="1" x14ac:dyDescent="0.3">
      <c r="A11" s="76">
        <v>9</v>
      </c>
      <c r="B11" s="77" t="s">
        <v>217</v>
      </c>
      <c r="C11" s="76">
        <v>1</v>
      </c>
      <c r="D11" s="77" t="s">
        <v>237</v>
      </c>
      <c r="E11" s="76">
        <v>1</v>
      </c>
      <c r="F11" s="77" t="s">
        <v>238</v>
      </c>
      <c r="G11" s="76">
        <v>1</v>
      </c>
      <c r="H11" s="76" t="s">
        <v>294</v>
      </c>
      <c r="I11" s="76" t="str">
        <f t="shared" ref="I11" si="2">CONCATENATE("T_","0",C11,"_0",E11,"_0",G11)</f>
        <v>T_01_01_01</v>
      </c>
      <c r="J11" s="76">
        <v>0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/>
      <c r="Q11" s="76"/>
      <c r="R11" s="76"/>
      <c r="S11" s="76"/>
    </row>
    <row r="12" spans="1:19" ht="25" hidden="1" customHeight="1" x14ac:dyDescent="0.3">
      <c r="A12" s="76">
        <v>10</v>
      </c>
      <c r="B12" s="77" t="s">
        <v>217</v>
      </c>
      <c r="C12" s="76">
        <v>1</v>
      </c>
      <c r="D12" s="77" t="s">
        <v>237</v>
      </c>
      <c r="E12" s="76">
        <v>1</v>
      </c>
      <c r="F12" s="77" t="s">
        <v>240</v>
      </c>
      <c r="G12" s="76">
        <v>2</v>
      </c>
      <c r="H12" s="76" t="s">
        <v>294</v>
      </c>
      <c r="I12" s="76" t="str">
        <f>CONCATENATE("T_","0",C12,"_0",E12,"_0",G12)</f>
        <v>T_01_01_02</v>
      </c>
      <c r="J12" s="76">
        <v>0</v>
      </c>
      <c r="K12" s="76">
        <v>1</v>
      </c>
      <c r="L12" s="76">
        <v>1</v>
      </c>
      <c r="M12" s="76">
        <v>1</v>
      </c>
      <c r="N12" s="76">
        <v>1</v>
      </c>
      <c r="O12" s="76">
        <v>1</v>
      </c>
      <c r="P12" s="76"/>
      <c r="Q12" s="76"/>
      <c r="R12" s="76"/>
      <c r="S12" s="76"/>
    </row>
    <row r="13" spans="1:19" ht="25" hidden="1" customHeight="1" x14ac:dyDescent="0.3">
      <c r="A13" s="76">
        <v>11</v>
      </c>
      <c r="B13" s="77" t="s">
        <v>217</v>
      </c>
      <c r="C13" s="76">
        <v>1</v>
      </c>
      <c r="D13" s="77" t="s">
        <v>237</v>
      </c>
      <c r="E13" s="76">
        <v>1</v>
      </c>
      <c r="F13" s="77" t="s">
        <v>242</v>
      </c>
      <c r="G13" s="76">
        <v>3</v>
      </c>
      <c r="H13" s="76" t="s">
        <v>294</v>
      </c>
      <c r="I13" s="76" t="str">
        <f t="shared" ref="I13:I34" si="3">CONCATENATE("T_","0",C13,"_0",E13,"_0",G13)</f>
        <v>T_01_01_03</v>
      </c>
      <c r="J13" s="76">
        <v>0</v>
      </c>
      <c r="K13" s="76">
        <v>1</v>
      </c>
      <c r="L13" s="76">
        <v>1</v>
      </c>
      <c r="M13" s="76">
        <v>1</v>
      </c>
      <c r="N13" s="76">
        <v>1</v>
      </c>
      <c r="O13" s="76">
        <v>1</v>
      </c>
      <c r="P13" s="76"/>
      <c r="Q13" s="76"/>
      <c r="R13" s="76"/>
      <c r="S13" s="76"/>
    </row>
    <row r="14" spans="1:19" ht="25" hidden="1" customHeight="1" x14ac:dyDescent="0.3">
      <c r="A14" s="76">
        <v>12</v>
      </c>
      <c r="B14" s="77" t="s">
        <v>217</v>
      </c>
      <c r="C14" s="76">
        <v>1</v>
      </c>
      <c r="D14" s="77" t="s">
        <v>237</v>
      </c>
      <c r="E14" s="76">
        <v>1</v>
      </c>
      <c r="F14" s="77" t="s">
        <v>239</v>
      </c>
      <c r="G14" s="76">
        <v>4</v>
      </c>
      <c r="H14" s="76" t="s">
        <v>293</v>
      </c>
      <c r="I14" s="76" t="str">
        <f t="shared" si="3"/>
        <v>T_01_01_04</v>
      </c>
      <c r="J14" s="76">
        <v>1</v>
      </c>
      <c r="K14" s="76">
        <v>1</v>
      </c>
      <c r="L14" s="76">
        <v>1</v>
      </c>
      <c r="M14" s="76">
        <v>1</v>
      </c>
      <c r="N14" s="76">
        <v>1</v>
      </c>
      <c r="O14" s="76">
        <v>1</v>
      </c>
      <c r="P14" s="76"/>
      <c r="Q14" s="76"/>
      <c r="R14" s="76"/>
      <c r="S14" s="76"/>
    </row>
    <row r="15" spans="1:19" ht="25" hidden="1" customHeight="1" x14ac:dyDescent="0.3">
      <c r="A15" s="76">
        <v>13</v>
      </c>
      <c r="B15" s="77" t="s">
        <v>217</v>
      </c>
      <c r="C15" s="76">
        <v>1</v>
      </c>
      <c r="D15" s="77" t="s">
        <v>237</v>
      </c>
      <c r="E15" s="76">
        <v>1</v>
      </c>
      <c r="F15" s="77" t="s">
        <v>241</v>
      </c>
      <c r="G15" s="76">
        <v>5</v>
      </c>
      <c r="H15" s="76" t="s">
        <v>294</v>
      </c>
      <c r="I15" s="76" t="str">
        <f t="shared" si="3"/>
        <v>T_01_01_05</v>
      </c>
      <c r="J15" s="76">
        <v>0</v>
      </c>
      <c r="K15" s="76">
        <v>1</v>
      </c>
      <c r="L15" s="76">
        <v>1</v>
      </c>
      <c r="M15" s="76">
        <v>1</v>
      </c>
      <c r="N15" s="76">
        <v>1</v>
      </c>
      <c r="O15" s="76">
        <v>1</v>
      </c>
      <c r="P15" s="76"/>
      <c r="Q15" s="76"/>
      <c r="R15" s="76"/>
      <c r="S15" s="76"/>
    </row>
    <row r="16" spans="1:19" ht="25" hidden="1" customHeight="1" x14ac:dyDescent="0.3">
      <c r="A16" s="76">
        <v>14</v>
      </c>
      <c r="B16" s="77" t="s">
        <v>217</v>
      </c>
      <c r="C16" s="76">
        <v>1</v>
      </c>
      <c r="D16" s="77" t="s">
        <v>237</v>
      </c>
      <c r="E16" s="76">
        <v>1</v>
      </c>
      <c r="F16" s="79" t="s">
        <v>243</v>
      </c>
      <c r="G16" s="76">
        <v>6</v>
      </c>
      <c r="H16" s="76" t="s">
        <v>293</v>
      </c>
      <c r="I16" s="76" t="str">
        <f t="shared" si="3"/>
        <v>T_01_01_06</v>
      </c>
      <c r="J16" s="76">
        <v>1</v>
      </c>
      <c r="K16" s="76">
        <v>1</v>
      </c>
      <c r="L16" s="76">
        <v>1</v>
      </c>
      <c r="M16" s="76">
        <v>1</v>
      </c>
      <c r="N16" s="76">
        <v>1</v>
      </c>
      <c r="O16" s="76">
        <v>1</v>
      </c>
      <c r="P16" s="76"/>
      <c r="Q16" s="76"/>
      <c r="R16" s="76"/>
      <c r="S16" s="76"/>
    </row>
    <row r="17" spans="1:19" ht="25" hidden="1" customHeight="1" x14ac:dyDescent="0.3">
      <c r="A17" s="76">
        <v>15</v>
      </c>
      <c r="B17" s="77" t="s">
        <v>217</v>
      </c>
      <c r="C17" s="76">
        <v>1</v>
      </c>
      <c r="D17" s="77" t="s">
        <v>237</v>
      </c>
      <c r="E17" s="76">
        <v>1</v>
      </c>
      <c r="F17" s="77" t="s">
        <v>299</v>
      </c>
      <c r="G17" s="76">
        <v>7</v>
      </c>
      <c r="H17" s="76" t="s">
        <v>293</v>
      </c>
      <c r="I17" s="76" t="s">
        <v>298</v>
      </c>
      <c r="J17" s="76">
        <v>1</v>
      </c>
      <c r="K17" s="76">
        <v>1</v>
      </c>
      <c r="L17" s="76">
        <v>1</v>
      </c>
      <c r="M17" s="76">
        <v>1</v>
      </c>
      <c r="N17" s="76">
        <v>1</v>
      </c>
      <c r="O17" s="76">
        <v>1</v>
      </c>
      <c r="P17" s="76"/>
      <c r="Q17" s="76"/>
      <c r="R17" s="76"/>
      <c r="S17" s="76"/>
    </row>
    <row r="18" spans="1:19" ht="25" hidden="1" customHeight="1" x14ac:dyDescent="0.3">
      <c r="A18" s="76">
        <v>16</v>
      </c>
      <c r="B18" s="77" t="s">
        <v>217</v>
      </c>
      <c r="C18" s="76">
        <v>1</v>
      </c>
      <c r="D18" s="77" t="s">
        <v>230</v>
      </c>
      <c r="E18" s="76">
        <v>2</v>
      </c>
      <c r="F18" s="77" t="s">
        <v>232</v>
      </c>
      <c r="G18" s="76">
        <v>1</v>
      </c>
      <c r="H18" s="76" t="s">
        <v>294</v>
      </c>
      <c r="I18" s="76" t="str">
        <f t="shared" si="3"/>
        <v>T_01_02_01</v>
      </c>
      <c r="J18" s="76">
        <v>0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/>
      <c r="Q18" s="76"/>
      <c r="R18" s="76"/>
      <c r="S18" s="76"/>
    </row>
    <row r="19" spans="1:19" ht="25" hidden="1" customHeight="1" x14ac:dyDescent="0.3">
      <c r="A19" s="76">
        <v>17</v>
      </c>
      <c r="B19" s="77" t="s">
        <v>217</v>
      </c>
      <c r="C19" s="76">
        <v>1</v>
      </c>
      <c r="D19" s="77" t="s">
        <v>230</v>
      </c>
      <c r="E19" s="76">
        <v>2</v>
      </c>
      <c r="F19" s="77" t="s">
        <v>233</v>
      </c>
      <c r="G19" s="76">
        <v>2</v>
      </c>
      <c r="H19" s="76" t="s">
        <v>294</v>
      </c>
      <c r="I19" s="76" t="str">
        <f t="shared" si="3"/>
        <v>T_01_02_02</v>
      </c>
      <c r="J19" s="76">
        <v>0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/>
      <c r="Q19" s="76"/>
      <c r="R19" s="76"/>
      <c r="S19" s="76"/>
    </row>
    <row r="20" spans="1:19" ht="25" hidden="1" customHeight="1" x14ac:dyDescent="0.3">
      <c r="A20" s="76">
        <v>18</v>
      </c>
      <c r="B20" s="77" t="s">
        <v>217</v>
      </c>
      <c r="C20" s="76">
        <v>1</v>
      </c>
      <c r="D20" s="77" t="s">
        <v>230</v>
      </c>
      <c r="E20" s="76">
        <v>2</v>
      </c>
      <c r="F20" s="77" t="s">
        <v>234</v>
      </c>
      <c r="G20" s="76">
        <v>3</v>
      </c>
      <c r="H20" s="76" t="s">
        <v>293</v>
      </c>
      <c r="I20" s="76" t="str">
        <f t="shared" si="3"/>
        <v>T_01_02_03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/>
      <c r="Q20" s="76"/>
      <c r="R20" s="76"/>
      <c r="S20" s="76"/>
    </row>
    <row r="21" spans="1:19" ht="25" hidden="1" customHeight="1" x14ac:dyDescent="0.3">
      <c r="A21" s="76">
        <v>19</v>
      </c>
      <c r="B21" s="77" t="s">
        <v>217</v>
      </c>
      <c r="C21" s="76">
        <v>1</v>
      </c>
      <c r="D21" s="77" t="s">
        <v>231</v>
      </c>
      <c r="E21" s="76">
        <v>3</v>
      </c>
      <c r="F21" s="77" t="s">
        <v>235</v>
      </c>
      <c r="G21" s="76">
        <v>1</v>
      </c>
      <c r="H21" s="76" t="s">
        <v>294</v>
      </c>
      <c r="I21" s="76" t="str">
        <f t="shared" si="3"/>
        <v>T_01_03_01</v>
      </c>
      <c r="J21" s="76">
        <v>0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/>
      <c r="Q21" s="76"/>
      <c r="R21" s="76"/>
      <c r="S21" s="76"/>
    </row>
    <row r="22" spans="1:19" ht="25" hidden="1" customHeight="1" x14ac:dyDescent="0.3">
      <c r="A22" s="76">
        <v>20</v>
      </c>
      <c r="B22" s="77" t="s">
        <v>217</v>
      </c>
      <c r="C22" s="76">
        <v>1</v>
      </c>
      <c r="D22" s="77" t="s">
        <v>231</v>
      </c>
      <c r="E22" s="76">
        <v>3</v>
      </c>
      <c r="F22" s="77" t="s">
        <v>236</v>
      </c>
      <c r="G22" s="76">
        <v>2</v>
      </c>
      <c r="H22" s="76" t="s">
        <v>293</v>
      </c>
      <c r="I22" s="76" t="str">
        <f t="shared" si="3"/>
        <v>T_01_03_02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/>
      <c r="Q22" s="76"/>
      <c r="R22" s="76"/>
      <c r="S22" s="76"/>
    </row>
    <row r="23" spans="1:19" ht="25" customHeight="1" x14ac:dyDescent="0.3">
      <c r="A23" s="76">
        <v>21</v>
      </c>
      <c r="B23" s="77" t="s">
        <v>217</v>
      </c>
      <c r="C23" s="76">
        <v>1</v>
      </c>
      <c r="D23" s="77" t="s">
        <v>218</v>
      </c>
      <c r="E23" s="76">
        <v>4</v>
      </c>
      <c r="F23" s="77" t="s">
        <v>219</v>
      </c>
      <c r="G23" s="76">
        <v>1</v>
      </c>
      <c r="H23" s="76" t="s">
        <v>294</v>
      </c>
      <c r="I23" s="76" t="str">
        <f t="shared" si="3"/>
        <v>T_01_04_01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  <c r="O23" s="76">
        <v>1</v>
      </c>
      <c r="P23" s="76"/>
      <c r="Q23" s="76"/>
      <c r="R23" s="76"/>
      <c r="S23" s="76"/>
    </row>
    <row r="24" spans="1:19" ht="25" customHeight="1" x14ac:dyDescent="0.3">
      <c r="A24" s="76">
        <v>22</v>
      </c>
      <c r="B24" s="77" t="s">
        <v>217</v>
      </c>
      <c r="C24" s="76">
        <v>1</v>
      </c>
      <c r="D24" s="77" t="s">
        <v>218</v>
      </c>
      <c r="E24" s="76">
        <v>4</v>
      </c>
      <c r="F24" s="77" t="s">
        <v>220</v>
      </c>
      <c r="G24" s="76">
        <v>2</v>
      </c>
      <c r="H24" s="76" t="s">
        <v>294</v>
      </c>
      <c r="I24" s="76" t="str">
        <f t="shared" si="3"/>
        <v>T_01_04_02</v>
      </c>
      <c r="J24" s="76">
        <v>0</v>
      </c>
      <c r="K24" s="76">
        <v>1</v>
      </c>
      <c r="L24" s="76">
        <v>1</v>
      </c>
      <c r="M24" s="76">
        <v>1</v>
      </c>
      <c r="N24" s="76">
        <v>1</v>
      </c>
      <c r="O24" s="76">
        <v>1</v>
      </c>
      <c r="P24" s="76"/>
      <c r="Q24" s="76"/>
      <c r="R24" s="76"/>
      <c r="S24" s="76"/>
    </row>
    <row r="25" spans="1:19" ht="25" customHeight="1" x14ac:dyDescent="0.3">
      <c r="A25" s="76">
        <v>23</v>
      </c>
      <c r="B25" s="77" t="s">
        <v>217</v>
      </c>
      <c r="C25" s="76">
        <v>1</v>
      </c>
      <c r="D25" s="77" t="s">
        <v>218</v>
      </c>
      <c r="E25" s="76">
        <v>4</v>
      </c>
      <c r="F25" s="77" t="s">
        <v>221</v>
      </c>
      <c r="G25" s="76">
        <v>3</v>
      </c>
      <c r="H25" s="76" t="s">
        <v>294</v>
      </c>
      <c r="I25" s="76" t="str">
        <f t="shared" si="3"/>
        <v>T_01_04_03</v>
      </c>
      <c r="J25" s="76">
        <v>0</v>
      </c>
      <c r="K25" s="76">
        <v>1</v>
      </c>
      <c r="L25" s="76">
        <v>1</v>
      </c>
      <c r="M25" s="76">
        <v>1</v>
      </c>
      <c r="N25" s="76">
        <v>1</v>
      </c>
      <c r="O25" s="76">
        <v>1</v>
      </c>
      <c r="P25" s="76"/>
      <c r="Q25" s="76"/>
      <c r="R25" s="76"/>
      <c r="S25" s="76"/>
    </row>
    <row r="26" spans="1:19" ht="25" customHeight="1" x14ac:dyDescent="0.3">
      <c r="A26" s="76">
        <v>24</v>
      </c>
      <c r="B26" s="77" t="s">
        <v>217</v>
      </c>
      <c r="C26" s="76">
        <v>1</v>
      </c>
      <c r="D26" s="77" t="s">
        <v>218</v>
      </c>
      <c r="E26" s="76">
        <v>4</v>
      </c>
      <c r="F26" s="77" t="s">
        <v>227</v>
      </c>
      <c r="G26" s="76">
        <v>4</v>
      </c>
      <c r="H26" s="76" t="s">
        <v>294</v>
      </c>
      <c r="I26" s="76" t="str">
        <f t="shared" si="3"/>
        <v>T_01_04_04</v>
      </c>
      <c r="J26" s="76">
        <v>0</v>
      </c>
      <c r="K26" s="76">
        <v>1</v>
      </c>
      <c r="L26" s="76">
        <v>1</v>
      </c>
      <c r="M26" s="76">
        <v>1</v>
      </c>
      <c r="N26" s="76">
        <v>1</v>
      </c>
      <c r="O26" s="76">
        <v>1</v>
      </c>
      <c r="P26" s="76"/>
      <c r="Q26" s="76"/>
      <c r="R26" s="76"/>
      <c r="S26" s="76"/>
    </row>
    <row r="27" spans="1:19" ht="25" customHeight="1" x14ac:dyDescent="0.3">
      <c r="A27" s="76">
        <v>25</v>
      </c>
      <c r="B27" s="77" t="s">
        <v>217</v>
      </c>
      <c r="C27" s="76">
        <v>1</v>
      </c>
      <c r="D27" s="77" t="s">
        <v>218</v>
      </c>
      <c r="E27" s="76">
        <v>4</v>
      </c>
      <c r="F27" s="79" t="s">
        <v>228</v>
      </c>
      <c r="G27" s="76">
        <v>5</v>
      </c>
      <c r="H27" s="76" t="s">
        <v>294</v>
      </c>
      <c r="I27" s="76" t="str">
        <f t="shared" si="3"/>
        <v>T_01_04_05</v>
      </c>
      <c r="J27" s="76">
        <v>0</v>
      </c>
      <c r="K27" s="76">
        <v>1</v>
      </c>
      <c r="L27" s="76">
        <v>1</v>
      </c>
      <c r="M27" s="76">
        <v>1</v>
      </c>
      <c r="N27" s="76">
        <v>1</v>
      </c>
      <c r="O27" s="76">
        <v>1</v>
      </c>
      <c r="P27" s="76"/>
      <c r="Q27" s="76"/>
      <c r="R27" s="76"/>
      <c r="S27" s="76"/>
    </row>
    <row r="28" spans="1:19" ht="25" customHeight="1" x14ac:dyDescent="0.3">
      <c r="A28" s="76">
        <v>26</v>
      </c>
      <c r="B28" s="77" t="s">
        <v>217</v>
      </c>
      <c r="C28" s="76">
        <v>1</v>
      </c>
      <c r="D28" s="77" t="s">
        <v>218</v>
      </c>
      <c r="E28" s="76">
        <v>4</v>
      </c>
      <c r="F28" s="77" t="s">
        <v>223</v>
      </c>
      <c r="G28" s="76">
        <v>6</v>
      </c>
      <c r="H28" s="76" t="s">
        <v>294</v>
      </c>
      <c r="I28" s="76" t="str">
        <f t="shared" si="3"/>
        <v>T_01_04_06</v>
      </c>
      <c r="J28" s="76">
        <v>0</v>
      </c>
      <c r="K28" s="76">
        <v>1</v>
      </c>
      <c r="L28" s="76">
        <v>1</v>
      </c>
      <c r="M28" s="76">
        <v>1</v>
      </c>
      <c r="N28" s="76">
        <v>1</v>
      </c>
      <c r="O28" s="76">
        <v>1</v>
      </c>
      <c r="P28" s="76"/>
      <c r="Q28" s="76"/>
      <c r="R28" s="76"/>
      <c r="S28" s="76"/>
    </row>
    <row r="29" spans="1:19" ht="25" customHeight="1" x14ac:dyDescent="0.3">
      <c r="A29" s="76">
        <v>27</v>
      </c>
      <c r="B29" s="77" t="s">
        <v>217</v>
      </c>
      <c r="C29" s="76">
        <v>1</v>
      </c>
      <c r="D29" s="77" t="s">
        <v>218</v>
      </c>
      <c r="E29" s="76">
        <v>4</v>
      </c>
      <c r="F29" s="77" t="s">
        <v>222</v>
      </c>
      <c r="G29" s="76">
        <v>7</v>
      </c>
      <c r="H29" s="76" t="s">
        <v>293</v>
      </c>
      <c r="I29" s="76" t="str">
        <f t="shared" si="3"/>
        <v>T_01_04_07</v>
      </c>
      <c r="J29" s="76">
        <v>1</v>
      </c>
      <c r="K29" s="76">
        <v>1</v>
      </c>
      <c r="L29" s="76">
        <v>1</v>
      </c>
      <c r="M29" s="76">
        <v>1</v>
      </c>
      <c r="N29" s="76">
        <v>1</v>
      </c>
      <c r="O29" s="76">
        <v>1</v>
      </c>
      <c r="P29" s="76"/>
      <c r="Q29" s="76"/>
      <c r="R29" s="76"/>
      <c r="S29" s="76"/>
    </row>
    <row r="30" spans="1:19" ht="25" customHeight="1" x14ac:dyDescent="0.3">
      <c r="A30" s="76">
        <v>28</v>
      </c>
      <c r="B30" s="77" t="s">
        <v>217</v>
      </c>
      <c r="C30" s="76">
        <v>1</v>
      </c>
      <c r="D30" s="77" t="s">
        <v>218</v>
      </c>
      <c r="E30" s="76">
        <v>4</v>
      </c>
      <c r="F30" s="77" t="s">
        <v>224</v>
      </c>
      <c r="G30" s="76">
        <v>8</v>
      </c>
      <c r="H30" s="76" t="s">
        <v>293</v>
      </c>
      <c r="I30" s="76" t="str">
        <f t="shared" si="3"/>
        <v>T_01_04_08</v>
      </c>
      <c r="J30" s="76">
        <v>1</v>
      </c>
      <c r="K30" s="76">
        <v>1</v>
      </c>
      <c r="L30" s="76">
        <v>1</v>
      </c>
      <c r="M30" s="76">
        <v>1</v>
      </c>
      <c r="N30" s="76">
        <v>1</v>
      </c>
      <c r="O30" s="76">
        <v>1</v>
      </c>
      <c r="P30" s="76"/>
      <c r="Q30" s="76"/>
      <c r="R30" s="76"/>
      <c r="S30" s="76"/>
    </row>
    <row r="31" spans="1:19" ht="25" customHeight="1" x14ac:dyDescent="0.3">
      <c r="A31" s="76">
        <v>29</v>
      </c>
      <c r="B31" s="77" t="s">
        <v>217</v>
      </c>
      <c r="C31" s="76">
        <v>1</v>
      </c>
      <c r="D31" s="77" t="s">
        <v>218</v>
      </c>
      <c r="E31" s="76">
        <v>4</v>
      </c>
      <c r="F31" s="77" t="s">
        <v>226</v>
      </c>
      <c r="G31" s="76">
        <v>9</v>
      </c>
      <c r="H31" s="76" t="s">
        <v>293</v>
      </c>
      <c r="I31" s="76" t="str">
        <f t="shared" si="3"/>
        <v>T_01_04_09</v>
      </c>
      <c r="J31" s="76">
        <v>1</v>
      </c>
      <c r="K31" s="76">
        <v>1</v>
      </c>
      <c r="L31" s="76">
        <v>1</v>
      </c>
      <c r="M31" s="76">
        <v>1</v>
      </c>
      <c r="N31" s="76">
        <v>1</v>
      </c>
      <c r="O31" s="76">
        <v>1</v>
      </c>
      <c r="P31" s="76"/>
      <c r="Q31" s="76"/>
      <c r="R31" s="76"/>
      <c r="S31" s="76"/>
    </row>
    <row r="32" spans="1:19" ht="25" customHeight="1" x14ac:dyDescent="0.3">
      <c r="A32" s="76">
        <v>30</v>
      </c>
      <c r="B32" s="77" t="s">
        <v>217</v>
      </c>
      <c r="C32" s="76">
        <v>1</v>
      </c>
      <c r="D32" s="77" t="s">
        <v>218</v>
      </c>
      <c r="E32" s="76">
        <v>4</v>
      </c>
      <c r="F32" s="79" t="s">
        <v>225</v>
      </c>
      <c r="G32" s="76">
        <v>10</v>
      </c>
      <c r="H32" s="76" t="s">
        <v>293</v>
      </c>
      <c r="I32" s="76" t="str">
        <f>CONCATENATE("T_","0",C32,"_0",E32,"_",G32)</f>
        <v>T_01_04_10</v>
      </c>
      <c r="J32" s="76">
        <v>1</v>
      </c>
      <c r="K32" s="76">
        <v>1</v>
      </c>
      <c r="L32" s="76">
        <v>1</v>
      </c>
      <c r="M32" s="76">
        <v>1</v>
      </c>
      <c r="N32" s="76">
        <v>1</v>
      </c>
      <c r="O32" s="76">
        <v>1</v>
      </c>
      <c r="P32" s="76"/>
      <c r="Q32" s="76"/>
      <c r="R32" s="76"/>
      <c r="S32" s="76"/>
    </row>
    <row r="33" spans="1:19" ht="25" hidden="1" customHeight="1" x14ac:dyDescent="0.3">
      <c r="A33" s="76">
        <v>31</v>
      </c>
      <c r="B33" s="77" t="s">
        <v>246</v>
      </c>
      <c r="C33" s="76">
        <v>2</v>
      </c>
      <c r="D33" s="77" t="s">
        <v>300</v>
      </c>
      <c r="E33" s="76">
        <v>1</v>
      </c>
      <c r="F33" s="79" t="s">
        <v>245</v>
      </c>
      <c r="G33" s="76">
        <v>1</v>
      </c>
      <c r="H33" s="76" t="s">
        <v>294</v>
      </c>
      <c r="I33" s="76" t="str">
        <f>CONCATENATE("T_","0",C33,"_0",E33,"_0",G33)</f>
        <v>T_02_01_01</v>
      </c>
      <c r="J33" s="76">
        <v>0</v>
      </c>
      <c r="K33" s="76">
        <v>1</v>
      </c>
      <c r="L33" s="76">
        <v>1</v>
      </c>
      <c r="M33" s="76">
        <v>1</v>
      </c>
      <c r="N33" s="76">
        <v>1</v>
      </c>
      <c r="O33" s="76">
        <v>1</v>
      </c>
      <c r="P33" s="76"/>
      <c r="Q33" s="76"/>
      <c r="R33" s="76"/>
      <c r="S33" s="76"/>
    </row>
    <row r="34" spans="1:19" ht="25" hidden="1" customHeight="1" x14ac:dyDescent="0.3">
      <c r="A34" s="76">
        <v>32</v>
      </c>
      <c r="B34" s="77" t="s">
        <v>246</v>
      </c>
      <c r="C34" s="76">
        <v>2</v>
      </c>
      <c r="D34" s="77" t="s">
        <v>300</v>
      </c>
      <c r="E34" s="76">
        <v>1</v>
      </c>
      <c r="F34" s="77" t="s">
        <v>247</v>
      </c>
      <c r="G34" s="76">
        <v>2</v>
      </c>
      <c r="H34" s="76" t="s">
        <v>294</v>
      </c>
      <c r="I34" s="76" t="str">
        <f t="shared" si="3"/>
        <v>T_02_01_02</v>
      </c>
      <c r="J34" s="76">
        <v>0</v>
      </c>
      <c r="K34" s="76">
        <v>1</v>
      </c>
      <c r="L34" s="76">
        <v>1</v>
      </c>
      <c r="M34" s="76">
        <v>1</v>
      </c>
      <c r="N34" s="76">
        <v>1</v>
      </c>
      <c r="O34" s="76">
        <v>1</v>
      </c>
      <c r="P34" s="76"/>
      <c r="Q34" s="76"/>
      <c r="R34" s="76"/>
      <c r="S34" s="76"/>
    </row>
    <row r="35" spans="1:19" ht="25" hidden="1" customHeight="1" x14ac:dyDescent="0.3">
      <c r="A35" s="76">
        <v>33</v>
      </c>
      <c r="B35" s="77" t="s">
        <v>246</v>
      </c>
      <c r="C35" s="76">
        <v>2</v>
      </c>
      <c r="D35" s="77" t="s">
        <v>300</v>
      </c>
      <c r="E35" s="76">
        <v>1</v>
      </c>
      <c r="F35" s="77" t="s">
        <v>248</v>
      </c>
      <c r="G35" s="76">
        <v>3</v>
      </c>
      <c r="H35" s="76" t="s">
        <v>294</v>
      </c>
      <c r="I35" s="76" t="str">
        <f>CONCATENATE("T_","0",C35,"_0",E35,"_0",G35)</f>
        <v>T_02_01_03</v>
      </c>
      <c r="J35" s="76">
        <v>0</v>
      </c>
      <c r="K35" s="76">
        <v>1</v>
      </c>
      <c r="L35" s="76">
        <v>1</v>
      </c>
      <c r="M35" s="76">
        <v>1</v>
      </c>
      <c r="N35" s="76">
        <v>1</v>
      </c>
      <c r="O35" s="76">
        <v>1</v>
      </c>
      <c r="P35" s="76"/>
      <c r="Q35" s="76"/>
      <c r="R35" s="76"/>
      <c r="S35" s="76"/>
    </row>
    <row r="36" spans="1:19" ht="25" hidden="1" customHeight="1" x14ac:dyDescent="0.3">
      <c r="A36" s="76">
        <v>34</v>
      </c>
      <c r="B36" s="77" t="s">
        <v>246</v>
      </c>
      <c r="C36" s="76">
        <v>2</v>
      </c>
      <c r="D36" s="77" t="s">
        <v>300</v>
      </c>
      <c r="E36" s="76">
        <v>1</v>
      </c>
      <c r="F36" s="77" t="s">
        <v>249</v>
      </c>
      <c r="G36" s="76">
        <v>4</v>
      </c>
      <c r="H36" s="76" t="s">
        <v>294</v>
      </c>
      <c r="I36" s="76" t="str">
        <f t="shared" ref="I36:I92" si="4">CONCATENATE("T_","0",C36,"_0",E36,"_0",G36)</f>
        <v>T_02_01_04</v>
      </c>
      <c r="J36" s="76">
        <v>0</v>
      </c>
      <c r="K36" s="76">
        <v>1</v>
      </c>
      <c r="L36" s="76">
        <v>1</v>
      </c>
      <c r="M36" s="76">
        <v>1</v>
      </c>
      <c r="N36" s="76">
        <v>1</v>
      </c>
      <c r="O36" s="76">
        <v>1</v>
      </c>
      <c r="P36" s="76"/>
      <c r="Q36" s="76"/>
      <c r="R36" s="76"/>
      <c r="S36" s="76"/>
    </row>
    <row r="37" spans="1:19" ht="25" hidden="1" customHeight="1" x14ac:dyDescent="0.3">
      <c r="A37" s="76">
        <v>35</v>
      </c>
      <c r="B37" s="77" t="s">
        <v>246</v>
      </c>
      <c r="C37" s="76">
        <v>2</v>
      </c>
      <c r="D37" s="77" t="s">
        <v>300</v>
      </c>
      <c r="E37" s="76">
        <v>1</v>
      </c>
      <c r="F37" s="77" t="s">
        <v>250</v>
      </c>
      <c r="G37" s="76">
        <v>5</v>
      </c>
      <c r="H37" s="76" t="s">
        <v>294</v>
      </c>
      <c r="I37" s="76" t="str">
        <f t="shared" si="4"/>
        <v>T_02_01_05</v>
      </c>
      <c r="J37" s="76">
        <v>0</v>
      </c>
      <c r="K37" s="76">
        <v>1</v>
      </c>
      <c r="L37" s="76">
        <v>1</v>
      </c>
      <c r="M37" s="76">
        <v>1</v>
      </c>
      <c r="N37" s="76">
        <v>1</v>
      </c>
      <c r="O37" s="76">
        <v>1</v>
      </c>
      <c r="P37" s="76"/>
      <c r="Q37" s="76"/>
      <c r="R37" s="76"/>
      <c r="S37" s="76"/>
    </row>
    <row r="38" spans="1:19" ht="25" hidden="1" customHeight="1" x14ac:dyDescent="0.3">
      <c r="A38" s="76">
        <v>36</v>
      </c>
      <c r="B38" s="77" t="s">
        <v>246</v>
      </c>
      <c r="C38" s="76">
        <v>2</v>
      </c>
      <c r="D38" s="77" t="s">
        <v>252</v>
      </c>
      <c r="E38" s="76">
        <v>2</v>
      </c>
      <c r="F38" s="77" t="s">
        <v>259</v>
      </c>
      <c r="G38" s="76">
        <v>1</v>
      </c>
      <c r="H38" s="76" t="s">
        <v>294</v>
      </c>
      <c r="I38" s="76" t="str">
        <f t="shared" si="4"/>
        <v>T_02_02_01</v>
      </c>
      <c r="J38" s="76">
        <v>0</v>
      </c>
      <c r="K38" s="76">
        <v>1</v>
      </c>
      <c r="L38" s="76">
        <v>1</v>
      </c>
      <c r="M38" s="76">
        <v>1</v>
      </c>
      <c r="N38" s="76">
        <v>1</v>
      </c>
      <c r="O38" s="76">
        <v>1</v>
      </c>
      <c r="P38" s="76"/>
      <c r="Q38" s="76"/>
      <c r="R38" s="76"/>
      <c r="S38" s="76"/>
    </row>
    <row r="39" spans="1:19" ht="25" hidden="1" customHeight="1" x14ac:dyDescent="0.3">
      <c r="A39" s="76">
        <v>37</v>
      </c>
      <c r="B39" s="77" t="s">
        <v>246</v>
      </c>
      <c r="C39" s="76">
        <v>2</v>
      </c>
      <c r="D39" s="77" t="s">
        <v>252</v>
      </c>
      <c r="E39" s="76">
        <v>2</v>
      </c>
      <c r="F39" s="77" t="s">
        <v>261</v>
      </c>
      <c r="G39" s="76">
        <v>2</v>
      </c>
      <c r="H39" s="76" t="s">
        <v>294</v>
      </c>
      <c r="I39" s="76" t="str">
        <f t="shared" si="4"/>
        <v>T_02_02_02</v>
      </c>
      <c r="J39" s="76">
        <v>0</v>
      </c>
      <c r="K39" s="76">
        <v>1</v>
      </c>
      <c r="L39" s="76">
        <v>1</v>
      </c>
      <c r="M39" s="76">
        <v>1</v>
      </c>
      <c r="N39" s="76">
        <v>1</v>
      </c>
      <c r="O39" s="76">
        <v>1</v>
      </c>
      <c r="P39" s="76"/>
      <c r="Q39" s="76"/>
      <c r="R39" s="76"/>
      <c r="S39" s="76"/>
    </row>
    <row r="40" spans="1:19" ht="25" hidden="1" customHeight="1" x14ac:dyDescent="0.3">
      <c r="A40" s="76">
        <v>38</v>
      </c>
      <c r="B40" s="77" t="s">
        <v>246</v>
      </c>
      <c r="C40" s="76">
        <v>2</v>
      </c>
      <c r="D40" s="77" t="s">
        <v>252</v>
      </c>
      <c r="E40" s="76">
        <v>2</v>
      </c>
      <c r="F40" s="77" t="s">
        <v>260</v>
      </c>
      <c r="G40" s="76">
        <v>3</v>
      </c>
      <c r="H40" s="76" t="s">
        <v>293</v>
      </c>
      <c r="I40" s="76" t="str">
        <f t="shared" si="4"/>
        <v>T_02_02_03</v>
      </c>
      <c r="J40" s="76">
        <v>1</v>
      </c>
      <c r="K40" s="76">
        <v>1</v>
      </c>
      <c r="L40" s="76">
        <v>1</v>
      </c>
      <c r="M40" s="76">
        <v>1</v>
      </c>
      <c r="N40" s="76">
        <v>1</v>
      </c>
      <c r="O40" s="76">
        <v>1</v>
      </c>
      <c r="P40" s="76"/>
      <c r="Q40" s="76"/>
      <c r="R40" s="76"/>
      <c r="S40" s="76"/>
    </row>
    <row r="41" spans="1:19" ht="25" hidden="1" customHeight="1" x14ac:dyDescent="0.3">
      <c r="A41" s="76">
        <v>39</v>
      </c>
      <c r="B41" s="77" t="s">
        <v>246</v>
      </c>
      <c r="C41" s="76">
        <v>2</v>
      </c>
      <c r="D41" s="77" t="s">
        <v>252</v>
      </c>
      <c r="E41" s="76">
        <v>2</v>
      </c>
      <c r="F41" s="77" t="s">
        <v>256</v>
      </c>
      <c r="G41" s="76">
        <v>4</v>
      </c>
      <c r="H41" s="76" t="s">
        <v>294</v>
      </c>
      <c r="I41" s="76" t="str">
        <f t="shared" si="4"/>
        <v>T_02_02_04</v>
      </c>
      <c r="J41" s="76">
        <v>0</v>
      </c>
      <c r="K41" s="76">
        <v>1</v>
      </c>
      <c r="L41" s="76">
        <v>1</v>
      </c>
      <c r="M41" s="76">
        <v>1</v>
      </c>
      <c r="N41" s="76">
        <v>1</v>
      </c>
      <c r="O41" s="76">
        <v>1</v>
      </c>
      <c r="P41" s="76"/>
      <c r="Q41" s="76"/>
      <c r="R41" s="76"/>
      <c r="S41" s="76"/>
    </row>
    <row r="42" spans="1:19" ht="25" hidden="1" customHeight="1" x14ac:dyDescent="0.3">
      <c r="A42" s="76">
        <v>40</v>
      </c>
      <c r="B42" s="77" t="s">
        <v>246</v>
      </c>
      <c r="C42" s="76">
        <v>2</v>
      </c>
      <c r="D42" s="77" t="s">
        <v>252</v>
      </c>
      <c r="E42" s="76">
        <v>2</v>
      </c>
      <c r="F42" s="77" t="s">
        <v>257</v>
      </c>
      <c r="G42" s="76">
        <v>5</v>
      </c>
      <c r="H42" s="76" t="s">
        <v>294</v>
      </c>
      <c r="I42" s="76" t="str">
        <f t="shared" si="4"/>
        <v>T_02_02_05</v>
      </c>
      <c r="J42" s="76">
        <v>0</v>
      </c>
      <c r="K42" s="76">
        <v>1</v>
      </c>
      <c r="L42" s="76">
        <v>1</v>
      </c>
      <c r="M42" s="76">
        <v>1</v>
      </c>
      <c r="N42" s="76">
        <v>1</v>
      </c>
      <c r="O42" s="76">
        <v>1</v>
      </c>
      <c r="P42" s="76"/>
      <c r="Q42" s="76"/>
      <c r="R42" s="76"/>
      <c r="S42" s="76"/>
    </row>
    <row r="43" spans="1:19" ht="25" hidden="1" customHeight="1" x14ac:dyDescent="0.3">
      <c r="A43" s="76">
        <v>41</v>
      </c>
      <c r="B43" s="77" t="s">
        <v>246</v>
      </c>
      <c r="C43" s="76">
        <v>2</v>
      </c>
      <c r="D43" s="77" t="s">
        <v>252</v>
      </c>
      <c r="E43" s="76">
        <v>2</v>
      </c>
      <c r="F43" s="77" t="s">
        <v>258</v>
      </c>
      <c r="G43" s="76">
        <v>6</v>
      </c>
      <c r="H43" s="76" t="s">
        <v>294</v>
      </c>
      <c r="I43" s="76" t="str">
        <f t="shared" si="4"/>
        <v>T_02_02_06</v>
      </c>
      <c r="J43" s="76">
        <v>0</v>
      </c>
      <c r="K43" s="76">
        <v>1</v>
      </c>
      <c r="L43" s="76">
        <v>1</v>
      </c>
      <c r="M43" s="76">
        <v>1</v>
      </c>
      <c r="N43" s="76">
        <v>1</v>
      </c>
      <c r="O43" s="76">
        <v>1</v>
      </c>
      <c r="P43" s="76"/>
      <c r="Q43" s="76"/>
      <c r="R43" s="76"/>
      <c r="S43" s="76"/>
    </row>
    <row r="44" spans="1:19" ht="25" hidden="1" customHeight="1" x14ac:dyDescent="0.3">
      <c r="A44" s="76">
        <v>42</v>
      </c>
      <c r="B44" s="77" t="s">
        <v>246</v>
      </c>
      <c r="C44" s="76">
        <v>2</v>
      </c>
      <c r="D44" s="77" t="s">
        <v>252</v>
      </c>
      <c r="E44" s="76">
        <v>2</v>
      </c>
      <c r="F44" s="77" t="s">
        <v>264</v>
      </c>
      <c r="G44" s="76">
        <v>7</v>
      </c>
      <c r="H44" s="76" t="s">
        <v>293</v>
      </c>
      <c r="I44" s="76" t="str">
        <f t="shared" si="4"/>
        <v>T_02_02_07</v>
      </c>
      <c r="J44" s="76">
        <v>1</v>
      </c>
      <c r="K44" s="76">
        <v>1</v>
      </c>
      <c r="L44" s="76">
        <v>1</v>
      </c>
      <c r="M44" s="76">
        <v>1</v>
      </c>
      <c r="N44" s="76">
        <v>1</v>
      </c>
      <c r="O44" s="76">
        <v>1</v>
      </c>
      <c r="P44" s="76"/>
      <c r="Q44" s="76"/>
      <c r="R44" s="76"/>
      <c r="S44" s="76"/>
    </row>
    <row r="45" spans="1:19" ht="25" hidden="1" customHeight="1" x14ac:dyDescent="0.3">
      <c r="A45" s="76">
        <v>43</v>
      </c>
      <c r="B45" s="77" t="s">
        <v>246</v>
      </c>
      <c r="C45" s="76">
        <v>2</v>
      </c>
      <c r="D45" s="77" t="s">
        <v>252</v>
      </c>
      <c r="E45" s="76">
        <v>2</v>
      </c>
      <c r="F45" s="77" t="s">
        <v>262</v>
      </c>
      <c r="G45" s="76">
        <v>8</v>
      </c>
      <c r="H45" s="76" t="s">
        <v>293</v>
      </c>
      <c r="I45" s="76" t="str">
        <f t="shared" si="4"/>
        <v>T_02_02_08</v>
      </c>
      <c r="J45" s="76">
        <v>1</v>
      </c>
      <c r="K45" s="76">
        <v>1</v>
      </c>
      <c r="L45" s="76">
        <v>1</v>
      </c>
      <c r="M45" s="76">
        <v>1</v>
      </c>
      <c r="N45" s="76">
        <v>1</v>
      </c>
      <c r="O45" s="76">
        <v>1</v>
      </c>
      <c r="P45" s="76"/>
      <c r="Q45" s="76"/>
      <c r="R45" s="76"/>
      <c r="S45" s="76"/>
    </row>
    <row r="46" spans="1:19" ht="25" hidden="1" customHeight="1" x14ac:dyDescent="0.3">
      <c r="A46" s="76">
        <v>44</v>
      </c>
      <c r="B46" s="77" t="s">
        <v>246</v>
      </c>
      <c r="C46" s="76">
        <v>2</v>
      </c>
      <c r="D46" s="77" t="s">
        <v>252</v>
      </c>
      <c r="E46" s="76">
        <v>2</v>
      </c>
      <c r="F46" s="79" t="s">
        <v>263</v>
      </c>
      <c r="G46" s="76">
        <v>9</v>
      </c>
      <c r="H46" s="76" t="s">
        <v>293</v>
      </c>
      <c r="I46" s="76" t="str">
        <f t="shared" si="4"/>
        <v>T_02_02_09</v>
      </c>
      <c r="J46" s="76">
        <v>1</v>
      </c>
      <c r="K46" s="76">
        <v>1</v>
      </c>
      <c r="L46" s="76">
        <v>1</v>
      </c>
      <c r="M46" s="76">
        <v>1</v>
      </c>
      <c r="N46" s="76">
        <v>1</v>
      </c>
      <c r="O46" s="76">
        <v>1</v>
      </c>
      <c r="P46" s="76"/>
      <c r="Q46" s="76"/>
      <c r="R46" s="76"/>
      <c r="S46" s="76"/>
    </row>
    <row r="47" spans="1:19" ht="25" hidden="1" customHeight="1" x14ac:dyDescent="0.3">
      <c r="A47" s="76">
        <v>45</v>
      </c>
      <c r="B47" s="77" t="s">
        <v>246</v>
      </c>
      <c r="C47" s="76">
        <v>2</v>
      </c>
      <c r="D47" s="77" t="s">
        <v>251</v>
      </c>
      <c r="E47" s="76">
        <v>3</v>
      </c>
      <c r="F47" s="77" t="s">
        <v>265</v>
      </c>
      <c r="G47" s="76">
        <v>1</v>
      </c>
      <c r="H47" s="76" t="s">
        <v>294</v>
      </c>
      <c r="I47" s="76" t="str">
        <f t="shared" si="4"/>
        <v>T_02_03_01</v>
      </c>
      <c r="J47" s="76">
        <v>0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/>
      <c r="Q47" s="76"/>
      <c r="R47" s="76"/>
      <c r="S47" s="76"/>
    </row>
    <row r="48" spans="1:19" ht="25" hidden="1" customHeight="1" x14ac:dyDescent="0.3">
      <c r="A48" s="76">
        <v>46</v>
      </c>
      <c r="B48" s="77" t="s">
        <v>246</v>
      </c>
      <c r="C48" s="76">
        <v>2</v>
      </c>
      <c r="D48" s="77" t="s">
        <v>251</v>
      </c>
      <c r="E48" s="76">
        <v>3</v>
      </c>
      <c r="F48" s="77" t="s">
        <v>266</v>
      </c>
      <c r="G48" s="76">
        <v>2</v>
      </c>
      <c r="H48" s="76" t="s">
        <v>294</v>
      </c>
      <c r="I48" s="76" t="str">
        <f t="shared" si="4"/>
        <v>T_02_03_02</v>
      </c>
      <c r="J48" s="76">
        <v>0</v>
      </c>
      <c r="K48" s="76">
        <v>1</v>
      </c>
      <c r="L48" s="76">
        <v>1</v>
      </c>
      <c r="M48" s="76">
        <v>1</v>
      </c>
      <c r="N48" s="76">
        <v>1</v>
      </c>
      <c r="O48" s="76">
        <v>1</v>
      </c>
      <c r="P48" s="76"/>
      <c r="Q48" s="76"/>
      <c r="R48" s="76"/>
      <c r="S48" s="76"/>
    </row>
    <row r="49" spans="1:19" ht="25" hidden="1" customHeight="1" x14ac:dyDescent="0.3">
      <c r="A49" s="76">
        <v>47</v>
      </c>
      <c r="B49" s="77" t="s">
        <v>246</v>
      </c>
      <c r="C49" s="76">
        <v>2</v>
      </c>
      <c r="D49" s="77" t="s">
        <v>251</v>
      </c>
      <c r="E49" s="76">
        <v>3</v>
      </c>
      <c r="F49" s="77" t="s">
        <v>267</v>
      </c>
      <c r="G49" s="76">
        <v>3</v>
      </c>
      <c r="H49" s="76" t="s">
        <v>294</v>
      </c>
      <c r="I49" s="76" t="str">
        <f t="shared" si="4"/>
        <v>T_02_03_03</v>
      </c>
      <c r="J49" s="76">
        <v>0</v>
      </c>
      <c r="K49" s="76">
        <v>1</v>
      </c>
      <c r="L49" s="76">
        <v>1</v>
      </c>
      <c r="M49" s="76">
        <v>1</v>
      </c>
      <c r="N49" s="76">
        <v>1</v>
      </c>
      <c r="O49" s="76">
        <v>1</v>
      </c>
      <c r="P49" s="76"/>
      <c r="Q49" s="76"/>
      <c r="R49" s="76"/>
      <c r="S49" s="76"/>
    </row>
    <row r="50" spans="1:19" ht="25" hidden="1" customHeight="1" x14ac:dyDescent="0.3">
      <c r="A50" s="76">
        <v>48</v>
      </c>
      <c r="B50" s="77" t="s">
        <v>246</v>
      </c>
      <c r="C50" s="76">
        <v>2</v>
      </c>
      <c r="D50" s="77" t="s">
        <v>251</v>
      </c>
      <c r="E50" s="76">
        <v>3</v>
      </c>
      <c r="F50" s="77" t="s">
        <v>268</v>
      </c>
      <c r="G50" s="76">
        <v>4</v>
      </c>
      <c r="H50" s="76" t="s">
        <v>293</v>
      </c>
      <c r="I50" s="76" t="str">
        <f t="shared" si="4"/>
        <v>T_02_03_04</v>
      </c>
      <c r="J50" s="76">
        <v>1</v>
      </c>
      <c r="K50" s="76">
        <v>1</v>
      </c>
      <c r="L50" s="76">
        <v>1</v>
      </c>
      <c r="M50" s="76">
        <v>1</v>
      </c>
      <c r="N50" s="76">
        <v>1</v>
      </c>
      <c r="O50" s="76">
        <v>1</v>
      </c>
      <c r="P50" s="76"/>
      <c r="Q50" s="76"/>
      <c r="R50" s="76"/>
      <c r="S50" s="76"/>
    </row>
    <row r="51" spans="1:19" ht="25" hidden="1" customHeight="1" x14ac:dyDescent="0.3">
      <c r="A51" s="76">
        <v>49</v>
      </c>
      <c r="B51" s="77" t="s">
        <v>246</v>
      </c>
      <c r="C51" s="76">
        <v>2</v>
      </c>
      <c r="D51" s="77" t="s">
        <v>251</v>
      </c>
      <c r="E51" s="76">
        <v>3</v>
      </c>
      <c r="F51" s="77" t="s">
        <v>269</v>
      </c>
      <c r="G51" s="76">
        <v>5</v>
      </c>
      <c r="H51" s="76" t="s">
        <v>293</v>
      </c>
      <c r="I51" s="76" t="str">
        <f t="shared" si="4"/>
        <v>T_02_03_05</v>
      </c>
      <c r="J51" s="76">
        <v>1</v>
      </c>
      <c r="K51" s="76">
        <v>1</v>
      </c>
      <c r="L51" s="76">
        <v>1</v>
      </c>
      <c r="M51" s="76">
        <v>1</v>
      </c>
      <c r="N51" s="76">
        <v>1</v>
      </c>
      <c r="O51" s="76">
        <v>1</v>
      </c>
      <c r="P51" s="76"/>
      <c r="Q51" s="76"/>
      <c r="R51" s="76"/>
      <c r="S51" s="76"/>
    </row>
    <row r="52" spans="1:19" ht="25" hidden="1" customHeight="1" x14ac:dyDescent="0.3">
      <c r="A52" s="76">
        <v>50</v>
      </c>
      <c r="B52" s="77" t="s">
        <v>246</v>
      </c>
      <c r="C52" s="76">
        <v>2</v>
      </c>
      <c r="D52" s="77" t="s">
        <v>251</v>
      </c>
      <c r="E52" s="76">
        <v>3</v>
      </c>
      <c r="F52" s="77" t="s">
        <v>311</v>
      </c>
      <c r="G52" s="76">
        <v>6</v>
      </c>
      <c r="H52" s="76" t="s">
        <v>293</v>
      </c>
      <c r="I52" s="76" t="str">
        <f t="shared" si="4"/>
        <v>T_02_03_06</v>
      </c>
      <c r="J52" s="76">
        <v>1</v>
      </c>
      <c r="K52" s="76">
        <v>1</v>
      </c>
      <c r="L52" s="76">
        <v>1</v>
      </c>
      <c r="M52" s="76">
        <v>1</v>
      </c>
      <c r="N52" s="76">
        <v>1</v>
      </c>
      <c r="O52" s="76">
        <v>1</v>
      </c>
      <c r="P52" s="76"/>
      <c r="Q52" s="76"/>
      <c r="R52" s="76"/>
      <c r="S52" s="76"/>
    </row>
    <row r="53" spans="1:19" ht="25" hidden="1" customHeight="1" x14ac:dyDescent="0.3">
      <c r="A53" s="76">
        <v>51</v>
      </c>
      <c r="B53" s="77" t="s">
        <v>246</v>
      </c>
      <c r="C53" s="76">
        <v>2</v>
      </c>
      <c r="D53" s="77" t="s">
        <v>251</v>
      </c>
      <c r="E53" s="76">
        <v>3</v>
      </c>
      <c r="F53" s="77" t="s">
        <v>270</v>
      </c>
      <c r="G53" s="76">
        <v>7</v>
      </c>
      <c r="H53" s="76" t="s">
        <v>293</v>
      </c>
      <c r="I53" s="76" t="str">
        <f t="shared" si="4"/>
        <v>T_02_03_07</v>
      </c>
      <c r="J53" s="76">
        <v>1</v>
      </c>
      <c r="K53" s="76">
        <v>1</v>
      </c>
      <c r="L53" s="76">
        <v>1</v>
      </c>
      <c r="M53" s="76">
        <v>1</v>
      </c>
      <c r="N53" s="76">
        <v>1</v>
      </c>
      <c r="O53" s="76">
        <v>1</v>
      </c>
      <c r="P53" s="76"/>
      <c r="Q53" s="76"/>
      <c r="R53" s="76"/>
      <c r="S53" s="76"/>
    </row>
    <row r="54" spans="1:19" ht="25" hidden="1" customHeight="1" x14ac:dyDescent="0.3">
      <c r="A54" s="76">
        <v>52</v>
      </c>
      <c r="B54" s="77" t="s">
        <v>246</v>
      </c>
      <c r="C54" s="76">
        <v>2</v>
      </c>
      <c r="D54" s="77" t="s">
        <v>253</v>
      </c>
      <c r="E54" s="76">
        <v>4</v>
      </c>
      <c r="F54" s="77" t="s">
        <v>271</v>
      </c>
      <c r="G54" s="76">
        <v>1</v>
      </c>
      <c r="H54" s="76" t="s">
        <v>294</v>
      </c>
      <c r="I54" s="76" t="str">
        <f t="shared" si="4"/>
        <v>T_02_04_01</v>
      </c>
      <c r="J54" s="76">
        <v>0</v>
      </c>
      <c r="K54" s="76">
        <v>1</v>
      </c>
      <c r="L54" s="76">
        <v>1</v>
      </c>
      <c r="M54" s="76">
        <v>1</v>
      </c>
      <c r="N54" s="76">
        <v>1</v>
      </c>
      <c r="O54" s="76">
        <v>1</v>
      </c>
      <c r="P54" s="76"/>
      <c r="Q54" s="76"/>
      <c r="R54" s="76"/>
      <c r="S54" s="76"/>
    </row>
    <row r="55" spans="1:19" ht="25" hidden="1" customHeight="1" x14ac:dyDescent="0.3">
      <c r="A55" s="76">
        <v>53</v>
      </c>
      <c r="B55" s="77" t="s">
        <v>246</v>
      </c>
      <c r="C55" s="76">
        <v>2</v>
      </c>
      <c r="D55" s="77" t="s">
        <v>253</v>
      </c>
      <c r="E55" s="76">
        <v>4</v>
      </c>
      <c r="F55" s="77" t="s">
        <v>272</v>
      </c>
      <c r="G55" s="76">
        <v>2</v>
      </c>
      <c r="H55" s="76" t="s">
        <v>294</v>
      </c>
      <c r="I55" s="76" t="str">
        <f t="shared" si="4"/>
        <v>T_02_04_02</v>
      </c>
      <c r="J55" s="76">
        <v>0</v>
      </c>
      <c r="K55" s="76">
        <v>1</v>
      </c>
      <c r="L55" s="76">
        <v>1</v>
      </c>
      <c r="M55" s="76">
        <v>1</v>
      </c>
      <c r="N55" s="76">
        <v>1</v>
      </c>
      <c r="O55" s="76">
        <v>1</v>
      </c>
      <c r="P55" s="76"/>
      <c r="Q55" s="76"/>
      <c r="R55" s="76"/>
      <c r="S55" s="76"/>
    </row>
    <row r="56" spans="1:19" ht="25" hidden="1" customHeight="1" x14ac:dyDescent="0.3">
      <c r="A56" s="76">
        <v>54</v>
      </c>
      <c r="B56" s="77" t="s">
        <v>246</v>
      </c>
      <c r="C56" s="76">
        <v>2</v>
      </c>
      <c r="D56" s="77" t="s">
        <v>253</v>
      </c>
      <c r="E56" s="76">
        <v>4</v>
      </c>
      <c r="F56" s="79" t="s">
        <v>273</v>
      </c>
      <c r="G56" s="76">
        <v>3</v>
      </c>
      <c r="H56" s="76" t="s">
        <v>294</v>
      </c>
      <c r="I56" s="76" t="str">
        <f t="shared" si="4"/>
        <v>T_02_04_03</v>
      </c>
      <c r="J56" s="76">
        <v>0</v>
      </c>
      <c r="K56" s="76">
        <v>1</v>
      </c>
      <c r="L56" s="76">
        <v>1</v>
      </c>
      <c r="M56" s="76">
        <v>1</v>
      </c>
      <c r="N56" s="76">
        <v>1</v>
      </c>
      <c r="O56" s="76">
        <v>1</v>
      </c>
      <c r="P56" s="76"/>
      <c r="Q56" s="76"/>
      <c r="R56" s="76"/>
      <c r="S56" s="76"/>
    </row>
    <row r="57" spans="1:19" ht="25" hidden="1" customHeight="1" x14ac:dyDescent="0.3">
      <c r="A57" s="76">
        <v>55</v>
      </c>
      <c r="B57" s="77" t="s">
        <v>246</v>
      </c>
      <c r="C57" s="76">
        <v>2</v>
      </c>
      <c r="D57" s="77" t="s">
        <v>253</v>
      </c>
      <c r="E57" s="76">
        <v>4</v>
      </c>
      <c r="F57" s="77" t="s">
        <v>274</v>
      </c>
      <c r="G57" s="76">
        <v>4</v>
      </c>
      <c r="H57" s="76" t="s">
        <v>293</v>
      </c>
      <c r="I57" s="76" t="str">
        <f t="shared" si="4"/>
        <v>T_02_04_04</v>
      </c>
      <c r="J57" s="76">
        <v>1</v>
      </c>
      <c r="K57" s="76">
        <v>1</v>
      </c>
      <c r="L57" s="76">
        <v>1</v>
      </c>
      <c r="M57" s="76">
        <v>1</v>
      </c>
      <c r="N57" s="76">
        <v>1</v>
      </c>
      <c r="O57" s="76">
        <v>1</v>
      </c>
      <c r="P57" s="76"/>
      <c r="Q57" s="76"/>
      <c r="R57" s="76"/>
      <c r="S57" s="76"/>
    </row>
    <row r="58" spans="1:19" ht="25" hidden="1" customHeight="1" x14ac:dyDescent="0.3">
      <c r="A58" s="76">
        <v>56</v>
      </c>
      <c r="B58" s="77" t="s">
        <v>246</v>
      </c>
      <c r="C58" s="76">
        <v>2</v>
      </c>
      <c r="D58" s="77" t="s">
        <v>253</v>
      </c>
      <c r="E58" s="76">
        <v>4</v>
      </c>
      <c r="F58" s="79" t="s">
        <v>275</v>
      </c>
      <c r="G58" s="76">
        <v>5</v>
      </c>
      <c r="H58" s="76" t="s">
        <v>293</v>
      </c>
      <c r="I58" s="76" t="str">
        <f t="shared" si="4"/>
        <v>T_02_04_05</v>
      </c>
      <c r="J58" s="76">
        <v>1</v>
      </c>
      <c r="K58" s="76">
        <v>1</v>
      </c>
      <c r="L58" s="76">
        <v>1</v>
      </c>
      <c r="M58" s="76">
        <v>1</v>
      </c>
      <c r="N58" s="76">
        <v>1</v>
      </c>
      <c r="O58" s="76">
        <v>1</v>
      </c>
      <c r="P58" s="76"/>
      <c r="Q58" s="76"/>
      <c r="R58" s="76"/>
      <c r="S58" s="76"/>
    </row>
    <row r="59" spans="1:19" ht="25" hidden="1" customHeight="1" x14ac:dyDescent="0.3">
      <c r="A59" s="76">
        <v>57</v>
      </c>
      <c r="B59" s="77" t="s">
        <v>246</v>
      </c>
      <c r="C59" s="76">
        <v>2</v>
      </c>
      <c r="D59" s="77" t="s">
        <v>255</v>
      </c>
      <c r="E59" s="76">
        <v>5</v>
      </c>
      <c r="F59" s="79" t="s">
        <v>276</v>
      </c>
      <c r="G59" s="76">
        <v>1</v>
      </c>
      <c r="H59" s="76" t="s">
        <v>294</v>
      </c>
      <c r="I59" s="76" t="str">
        <f t="shared" si="4"/>
        <v>T_02_05_01</v>
      </c>
      <c r="J59" s="76">
        <v>0</v>
      </c>
      <c r="K59" s="76">
        <v>1</v>
      </c>
      <c r="L59" s="76">
        <v>1</v>
      </c>
      <c r="M59" s="76">
        <v>1</v>
      </c>
      <c r="N59" s="76">
        <v>1</v>
      </c>
      <c r="O59" s="76">
        <v>1</v>
      </c>
      <c r="P59" s="76"/>
      <c r="Q59" s="76"/>
      <c r="R59" s="76"/>
      <c r="S59" s="76"/>
    </row>
    <row r="60" spans="1:19" ht="25" hidden="1" customHeight="1" x14ac:dyDescent="0.3">
      <c r="A60" s="76">
        <v>58</v>
      </c>
      <c r="B60" s="77" t="s">
        <v>246</v>
      </c>
      <c r="C60" s="76">
        <v>2</v>
      </c>
      <c r="D60" s="77" t="s">
        <v>255</v>
      </c>
      <c r="E60" s="76">
        <v>5</v>
      </c>
      <c r="F60" s="77" t="s">
        <v>277</v>
      </c>
      <c r="G60" s="76">
        <v>2</v>
      </c>
      <c r="H60" s="76" t="s">
        <v>294</v>
      </c>
      <c r="I60" s="76" t="str">
        <f t="shared" si="4"/>
        <v>T_02_05_02</v>
      </c>
      <c r="J60" s="76">
        <v>0</v>
      </c>
      <c r="K60" s="76">
        <v>1</v>
      </c>
      <c r="L60" s="76">
        <v>1</v>
      </c>
      <c r="M60" s="76">
        <v>1</v>
      </c>
      <c r="N60" s="76">
        <v>1</v>
      </c>
      <c r="O60" s="76">
        <v>1</v>
      </c>
      <c r="P60" s="76"/>
      <c r="Q60" s="76"/>
      <c r="R60" s="76"/>
      <c r="S60" s="76"/>
    </row>
    <row r="61" spans="1:19" ht="25" hidden="1" customHeight="1" x14ac:dyDescent="0.3">
      <c r="A61" s="76">
        <v>59</v>
      </c>
      <c r="B61" s="77" t="s">
        <v>246</v>
      </c>
      <c r="C61" s="76">
        <v>2</v>
      </c>
      <c r="D61" s="77" t="s">
        <v>255</v>
      </c>
      <c r="E61" s="76">
        <v>5</v>
      </c>
      <c r="F61" s="79" t="s">
        <v>278</v>
      </c>
      <c r="G61" s="76">
        <v>3</v>
      </c>
      <c r="H61" s="76" t="s">
        <v>294</v>
      </c>
      <c r="I61" s="76" t="str">
        <f t="shared" si="4"/>
        <v>T_02_05_03</v>
      </c>
      <c r="J61" s="76">
        <v>0</v>
      </c>
      <c r="K61" s="76">
        <v>1</v>
      </c>
      <c r="L61" s="76">
        <v>1</v>
      </c>
      <c r="M61" s="76">
        <v>1</v>
      </c>
      <c r="N61" s="76">
        <v>1</v>
      </c>
      <c r="O61" s="76">
        <v>1</v>
      </c>
      <c r="P61" s="76"/>
      <c r="Q61" s="76"/>
      <c r="R61" s="76"/>
      <c r="S61" s="76"/>
    </row>
    <row r="62" spans="1:19" ht="25" hidden="1" customHeight="1" x14ac:dyDescent="0.3">
      <c r="A62" s="76">
        <v>60</v>
      </c>
      <c r="B62" s="77" t="s">
        <v>246</v>
      </c>
      <c r="C62" s="76">
        <v>2</v>
      </c>
      <c r="D62" s="77" t="s">
        <v>255</v>
      </c>
      <c r="E62" s="76">
        <v>5</v>
      </c>
      <c r="F62" s="77" t="s">
        <v>279</v>
      </c>
      <c r="G62" s="76">
        <v>4</v>
      </c>
      <c r="H62" s="76" t="s">
        <v>293</v>
      </c>
      <c r="I62" s="76" t="str">
        <f t="shared" si="4"/>
        <v>T_02_05_04</v>
      </c>
      <c r="J62" s="76">
        <v>1</v>
      </c>
      <c r="K62" s="76">
        <v>1</v>
      </c>
      <c r="L62" s="76">
        <v>1</v>
      </c>
      <c r="M62" s="76">
        <v>1</v>
      </c>
      <c r="N62" s="76">
        <v>1</v>
      </c>
      <c r="O62" s="76">
        <v>1</v>
      </c>
      <c r="P62" s="76"/>
      <c r="Q62" s="76"/>
      <c r="R62" s="76"/>
      <c r="S62" s="76"/>
    </row>
    <row r="63" spans="1:19" ht="25" hidden="1" customHeight="1" x14ac:dyDescent="0.3">
      <c r="A63" s="76">
        <v>61</v>
      </c>
      <c r="B63" s="77" t="s">
        <v>246</v>
      </c>
      <c r="C63" s="76">
        <v>2</v>
      </c>
      <c r="D63" s="77" t="s">
        <v>255</v>
      </c>
      <c r="E63" s="76">
        <v>5</v>
      </c>
      <c r="F63" s="79" t="s">
        <v>280</v>
      </c>
      <c r="G63" s="76">
        <v>5</v>
      </c>
      <c r="H63" s="76" t="s">
        <v>293</v>
      </c>
      <c r="I63" s="76" t="str">
        <f t="shared" si="4"/>
        <v>T_02_05_05</v>
      </c>
      <c r="J63" s="76">
        <v>1</v>
      </c>
      <c r="K63" s="76">
        <v>1</v>
      </c>
      <c r="L63" s="76">
        <v>1</v>
      </c>
      <c r="M63" s="76">
        <v>1</v>
      </c>
      <c r="N63" s="76">
        <v>1</v>
      </c>
      <c r="O63" s="76">
        <v>1</v>
      </c>
      <c r="P63" s="76"/>
      <c r="Q63" s="76"/>
      <c r="R63" s="76"/>
      <c r="S63" s="76"/>
    </row>
    <row r="64" spans="1:19" ht="25" hidden="1" customHeight="1" x14ac:dyDescent="0.3">
      <c r="A64" s="76">
        <v>62</v>
      </c>
      <c r="B64" s="77" t="s">
        <v>246</v>
      </c>
      <c r="C64" s="76">
        <v>2</v>
      </c>
      <c r="D64" s="77" t="s">
        <v>254</v>
      </c>
      <c r="E64" s="76">
        <v>6</v>
      </c>
      <c r="F64" s="77" t="s">
        <v>282</v>
      </c>
      <c r="G64" s="76">
        <v>1</v>
      </c>
      <c r="H64" s="76" t="s">
        <v>294</v>
      </c>
      <c r="I64" s="76" t="str">
        <f t="shared" si="4"/>
        <v>T_02_06_01</v>
      </c>
      <c r="J64" s="76">
        <v>0</v>
      </c>
      <c r="K64" s="76">
        <v>1</v>
      </c>
      <c r="L64" s="76">
        <v>1</v>
      </c>
      <c r="M64" s="76">
        <v>1</v>
      </c>
      <c r="N64" s="76">
        <v>1</v>
      </c>
      <c r="O64" s="76">
        <v>1</v>
      </c>
      <c r="P64" s="76"/>
      <c r="Q64" s="76"/>
      <c r="R64" s="76"/>
      <c r="S64" s="76"/>
    </row>
    <row r="65" spans="1:19" ht="25" hidden="1" customHeight="1" x14ac:dyDescent="0.3">
      <c r="A65" s="76">
        <v>63</v>
      </c>
      <c r="B65" s="77" t="s">
        <v>246</v>
      </c>
      <c r="C65" s="76">
        <v>2</v>
      </c>
      <c r="D65" s="77" t="s">
        <v>254</v>
      </c>
      <c r="E65" s="76">
        <v>6</v>
      </c>
      <c r="F65" s="77" t="s">
        <v>281</v>
      </c>
      <c r="G65" s="76">
        <v>2</v>
      </c>
      <c r="H65" s="76" t="s">
        <v>294</v>
      </c>
      <c r="I65" s="76" t="str">
        <f t="shared" si="4"/>
        <v>T_02_06_02</v>
      </c>
      <c r="J65" s="76">
        <v>0</v>
      </c>
      <c r="K65" s="76">
        <v>1</v>
      </c>
      <c r="L65" s="76">
        <v>1</v>
      </c>
      <c r="M65" s="76">
        <v>1</v>
      </c>
      <c r="N65" s="76">
        <v>1</v>
      </c>
      <c r="O65" s="76">
        <v>1</v>
      </c>
      <c r="P65" s="76"/>
      <c r="Q65" s="76"/>
      <c r="R65" s="76"/>
      <c r="S65" s="76"/>
    </row>
    <row r="66" spans="1:19" ht="25" hidden="1" customHeight="1" x14ac:dyDescent="0.3">
      <c r="A66" s="76">
        <v>64</v>
      </c>
      <c r="B66" s="77" t="s">
        <v>246</v>
      </c>
      <c r="C66" s="76">
        <v>2</v>
      </c>
      <c r="D66" s="77" t="s">
        <v>254</v>
      </c>
      <c r="E66" s="76">
        <v>6</v>
      </c>
      <c r="F66" s="79" t="s">
        <v>283</v>
      </c>
      <c r="G66" s="76">
        <v>3</v>
      </c>
      <c r="H66" s="76" t="s">
        <v>294</v>
      </c>
      <c r="I66" s="76" t="str">
        <f t="shared" si="4"/>
        <v>T_02_06_03</v>
      </c>
      <c r="J66" s="76">
        <v>0</v>
      </c>
      <c r="K66" s="76">
        <v>1</v>
      </c>
      <c r="L66" s="76">
        <v>1</v>
      </c>
      <c r="M66" s="76">
        <v>1</v>
      </c>
      <c r="N66" s="76">
        <v>1</v>
      </c>
      <c r="O66" s="76">
        <v>1</v>
      </c>
      <c r="P66" s="76"/>
      <c r="Q66" s="76"/>
      <c r="R66" s="76"/>
      <c r="S66" s="76"/>
    </row>
    <row r="67" spans="1:19" ht="25" hidden="1" customHeight="1" x14ac:dyDescent="0.3">
      <c r="A67" s="76">
        <v>65</v>
      </c>
      <c r="B67" s="77" t="s">
        <v>246</v>
      </c>
      <c r="C67" s="76">
        <v>2</v>
      </c>
      <c r="D67" s="77" t="s">
        <v>254</v>
      </c>
      <c r="E67" s="76">
        <v>6</v>
      </c>
      <c r="F67" s="77" t="s">
        <v>284</v>
      </c>
      <c r="G67" s="76">
        <v>4</v>
      </c>
      <c r="H67" s="76" t="s">
        <v>293</v>
      </c>
      <c r="I67" s="76" t="str">
        <f t="shared" si="4"/>
        <v>T_02_06_04</v>
      </c>
      <c r="J67" s="76">
        <v>1</v>
      </c>
      <c r="K67" s="76">
        <v>1</v>
      </c>
      <c r="L67" s="76">
        <v>1</v>
      </c>
      <c r="M67" s="76">
        <v>1</v>
      </c>
      <c r="N67" s="76">
        <v>1</v>
      </c>
      <c r="O67" s="76">
        <v>1</v>
      </c>
      <c r="P67" s="76"/>
      <c r="Q67" s="76"/>
      <c r="R67" s="76"/>
      <c r="S67" s="76"/>
    </row>
    <row r="68" spans="1:19" ht="25" hidden="1" customHeight="1" x14ac:dyDescent="0.3">
      <c r="A68" s="76">
        <v>66</v>
      </c>
      <c r="B68" s="77" t="s">
        <v>314</v>
      </c>
      <c r="C68" s="76">
        <v>3</v>
      </c>
      <c r="D68" s="77" t="s">
        <v>341</v>
      </c>
      <c r="E68" s="76">
        <v>1</v>
      </c>
      <c r="F68" s="77" t="s">
        <v>335</v>
      </c>
      <c r="G68" s="76">
        <v>1</v>
      </c>
      <c r="H68" s="76" t="s">
        <v>294</v>
      </c>
      <c r="I68" s="76" t="str">
        <f t="shared" ref="I68:I75" si="5">CONCATENATE("T_","0",C68,"_0",E68,"_0",G68)</f>
        <v>T_03_01_01</v>
      </c>
      <c r="J68" s="76">
        <v>0</v>
      </c>
      <c r="K68" s="76">
        <v>1</v>
      </c>
      <c r="L68" s="76">
        <v>1</v>
      </c>
      <c r="M68" s="76">
        <v>1</v>
      </c>
      <c r="N68" s="76">
        <v>1</v>
      </c>
      <c r="O68" s="76">
        <v>1</v>
      </c>
      <c r="P68" s="76"/>
      <c r="Q68" s="76"/>
      <c r="R68" s="76"/>
      <c r="S68" s="76"/>
    </row>
    <row r="69" spans="1:19" ht="25" hidden="1" customHeight="1" x14ac:dyDescent="0.3">
      <c r="A69" s="76">
        <v>67</v>
      </c>
      <c r="B69" s="77" t="s">
        <v>314</v>
      </c>
      <c r="C69" s="76">
        <v>3</v>
      </c>
      <c r="D69" s="77" t="s">
        <v>341</v>
      </c>
      <c r="E69" s="76">
        <v>1</v>
      </c>
      <c r="F69" s="77" t="s">
        <v>340</v>
      </c>
      <c r="G69" s="76">
        <v>2</v>
      </c>
      <c r="H69" s="76" t="s">
        <v>294</v>
      </c>
      <c r="I69" s="76" t="str">
        <f t="shared" si="5"/>
        <v>T_03_01_02</v>
      </c>
      <c r="J69" s="76">
        <v>0</v>
      </c>
      <c r="K69" s="76">
        <v>1</v>
      </c>
      <c r="L69" s="76">
        <v>1</v>
      </c>
      <c r="M69" s="76">
        <v>1</v>
      </c>
      <c r="N69" s="76">
        <v>1</v>
      </c>
      <c r="O69" s="76">
        <v>1</v>
      </c>
      <c r="P69" s="76"/>
      <c r="Q69" s="76"/>
      <c r="R69" s="76"/>
      <c r="S69" s="76"/>
    </row>
    <row r="70" spans="1:19" ht="25" hidden="1" customHeight="1" x14ac:dyDescent="0.3">
      <c r="A70" s="76">
        <v>68</v>
      </c>
      <c r="B70" s="77" t="s">
        <v>314</v>
      </c>
      <c r="C70" s="76">
        <v>3</v>
      </c>
      <c r="D70" s="77" t="s">
        <v>341</v>
      </c>
      <c r="E70" s="76">
        <v>1</v>
      </c>
      <c r="F70" s="77" t="s">
        <v>336</v>
      </c>
      <c r="G70" s="76">
        <v>3</v>
      </c>
      <c r="H70" s="76" t="s">
        <v>294</v>
      </c>
      <c r="I70" s="76" t="str">
        <f t="shared" si="5"/>
        <v>T_03_01_03</v>
      </c>
      <c r="J70" s="76">
        <v>0</v>
      </c>
      <c r="K70" s="76">
        <v>1</v>
      </c>
      <c r="L70" s="76">
        <v>1</v>
      </c>
      <c r="M70" s="76">
        <v>1</v>
      </c>
      <c r="N70" s="76">
        <v>1</v>
      </c>
      <c r="O70" s="76">
        <v>1</v>
      </c>
      <c r="P70" s="76"/>
      <c r="Q70" s="76"/>
      <c r="R70" s="76"/>
      <c r="S70" s="76"/>
    </row>
    <row r="71" spans="1:19" ht="25" hidden="1" customHeight="1" x14ac:dyDescent="0.3">
      <c r="A71" s="76">
        <v>69</v>
      </c>
      <c r="B71" s="77" t="s">
        <v>314</v>
      </c>
      <c r="C71" s="76">
        <v>3</v>
      </c>
      <c r="D71" s="77" t="s">
        <v>341</v>
      </c>
      <c r="E71" s="76">
        <v>1</v>
      </c>
      <c r="F71" s="77" t="s">
        <v>321</v>
      </c>
      <c r="G71" s="76">
        <v>4</v>
      </c>
      <c r="H71" s="76" t="s">
        <v>294</v>
      </c>
      <c r="I71" s="76" t="str">
        <f t="shared" si="5"/>
        <v>T_03_01_04</v>
      </c>
      <c r="J71" s="76">
        <v>0</v>
      </c>
      <c r="K71" s="76">
        <v>1</v>
      </c>
      <c r="L71" s="76">
        <v>1</v>
      </c>
      <c r="M71" s="76">
        <v>1</v>
      </c>
      <c r="N71" s="76">
        <v>1</v>
      </c>
      <c r="O71" s="76">
        <v>1</v>
      </c>
      <c r="P71" s="76"/>
      <c r="Q71" s="76"/>
      <c r="R71" s="76"/>
      <c r="S71" s="76"/>
    </row>
    <row r="72" spans="1:19" ht="25" hidden="1" customHeight="1" x14ac:dyDescent="0.3">
      <c r="A72" s="76">
        <v>70</v>
      </c>
      <c r="B72" s="77" t="s">
        <v>314</v>
      </c>
      <c r="C72" s="76">
        <v>3</v>
      </c>
      <c r="D72" s="77" t="s">
        <v>341</v>
      </c>
      <c r="E72" s="76">
        <v>1</v>
      </c>
      <c r="F72" s="77" t="s">
        <v>337</v>
      </c>
      <c r="G72" s="76">
        <v>5</v>
      </c>
      <c r="H72" s="76" t="s">
        <v>294</v>
      </c>
      <c r="I72" s="76" t="str">
        <f t="shared" si="5"/>
        <v>T_03_01_05</v>
      </c>
      <c r="J72" s="76">
        <v>0</v>
      </c>
      <c r="K72" s="76">
        <v>1</v>
      </c>
      <c r="L72" s="76">
        <v>1</v>
      </c>
      <c r="M72" s="76">
        <v>1</v>
      </c>
      <c r="N72" s="76">
        <v>1</v>
      </c>
      <c r="O72" s="76">
        <v>1</v>
      </c>
      <c r="P72" s="76"/>
      <c r="Q72" s="76"/>
      <c r="R72" s="76"/>
      <c r="S72" s="76"/>
    </row>
    <row r="73" spans="1:19" ht="25" hidden="1" customHeight="1" x14ac:dyDescent="0.3">
      <c r="A73" s="76">
        <v>71</v>
      </c>
      <c r="B73" s="77" t="s">
        <v>314</v>
      </c>
      <c r="C73" s="76">
        <v>3</v>
      </c>
      <c r="D73" s="77" t="s">
        <v>341</v>
      </c>
      <c r="E73" s="76">
        <v>1</v>
      </c>
      <c r="F73" s="77" t="s">
        <v>338</v>
      </c>
      <c r="G73" s="76">
        <v>6</v>
      </c>
      <c r="H73" s="76" t="s">
        <v>294</v>
      </c>
      <c r="I73" s="76" t="str">
        <f t="shared" si="5"/>
        <v>T_03_01_06</v>
      </c>
      <c r="J73" s="76">
        <v>0</v>
      </c>
      <c r="K73" s="76">
        <v>1</v>
      </c>
      <c r="L73" s="76">
        <v>1</v>
      </c>
      <c r="M73" s="76">
        <v>1</v>
      </c>
      <c r="N73" s="76">
        <v>1</v>
      </c>
      <c r="O73" s="76">
        <v>1</v>
      </c>
      <c r="P73" s="76"/>
      <c r="Q73" s="76"/>
      <c r="R73" s="76"/>
      <c r="S73" s="76"/>
    </row>
    <row r="74" spans="1:19" ht="25" hidden="1" customHeight="1" x14ac:dyDescent="0.3">
      <c r="A74" s="76">
        <v>72</v>
      </c>
      <c r="B74" s="77" t="s">
        <v>314</v>
      </c>
      <c r="C74" s="76">
        <v>3</v>
      </c>
      <c r="D74" s="77" t="s">
        <v>341</v>
      </c>
      <c r="E74" s="76">
        <v>1</v>
      </c>
      <c r="F74" s="77" t="s">
        <v>339</v>
      </c>
      <c r="G74" s="76">
        <v>7</v>
      </c>
      <c r="H74" s="76" t="s">
        <v>294</v>
      </c>
      <c r="I74" s="76" t="str">
        <f t="shared" si="5"/>
        <v>T_03_01_07</v>
      </c>
      <c r="J74" s="76">
        <v>0</v>
      </c>
      <c r="K74" s="76">
        <v>1</v>
      </c>
      <c r="L74" s="76">
        <v>1</v>
      </c>
      <c r="M74" s="76">
        <v>1</v>
      </c>
      <c r="N74" s="76">
        <v>1</v>
      </c>
      <c r="O74" s="76">
        <v>1</v>
      </c>
      <c r="P74" s="76"/>
      <c r="Q74" s="76"/>
      <c r="R74" s="76"/>
      <c r="S74" s="76"/>
    </row>
    <row r="75" spans="1:19" ht="25" hidden="1" customHeight="1" x14ac:dyDescent="0.3">
      <c r="A75" s="76">
        <v>73</v>
      </c>
      <c r="B75" s="77" t="s">
        <v>314</v>
      </c>
      <c r="C75" s="76">
        <v>3</v>
      </c>
      <c r="D75" s="77" t="s">
        <v>341</v>
      </c>
      <c r="E75" s="76">
        <v>1</v>
      </c>
      <c r="F75" s="77" t="s">
        <v>322</v>
      </c>
      <c r="G75" s="76">
        <v>8</v>
      </c>
      <c r="H75" s="76" t="s">
        <v>294</v>
      </c>
      <c r="I75" s="76" t="str">
        <f t="shared" si="5"/>
        <v>T_03_01_08</v>
      </c>
      <c r="J75" s="76">
        <v>0</v>
      </c>
      <c r="K75" s="76">
        <v>1</v>
      </c>
      <c r="L75" s="76">
        <v>1</v>
      </c>
      <c r="M75" s="76">
        <v>1</v>
      </c>
      <c r="N75" s="76">
        <v>1</v>
      </c>
      <c r="O75" s="76">
        <v>1</v>
      </c>
      <c r="P75" s="76"/>
      <c r="Q75" s="76"/>
      <c r="R75" s="76"/>
      <c r="S75" s="76"/>
    </row>
    <row r="76" spans="1:19" ht="25" hidden="1" customHeight="1" x14ac:dyDescent="0.3">
      <c r="A76" s="76">
        <v>74</v>
      </c>
      <c r="B76" s="77" t="s">
        <v>314</v>
      </c>
      <c r="C76" s="76">
        <v>3</v>
      </c>
      <c r="D76" s="77" t="s">
        <v>217</v>
      </c>
      <c r="E76" s="76">
        <v>2</v>
      </c>
      <c r="F76" s="77" t="s">
        <v>315</v>
      </c>
      <c r="G76" s="76">
        <v>1</v>
      </c>
      <c r="H76" s="76" t="s">
        <v>294</v>
      </c>
      <c r="I76" s="76" t="str">
        <f t="shared" si="4"/>
        <v>T_03_02_01</v>
      </c>
      <c r="J76" s="76">
        <v>0</v>
      </c>
      <c r="K76" s="76">
        <v>1</v>
      </c>
      <c r="L76" s="76">
        <v>1</v>
      </c>
      <c r="M76" s="76">
        <v>1</v>
      </c>
      <c r="N76" s="76">
        <v>1</v>
      </c>
      <c r="O76" s="76">
        <v>1</v>
      </c>
      <c r="P76" s="76"/>
      <c r="Q76" s="76"/>
      <c r="R76" s="76"/>
      <c r="S76" s="76"/>
    </row>
    <row r="77" spans="1:19" ht="25" hidden="1" customHeight="1" x14ac:dyDescent="0.3">
      <c r="A77" s="76">
        <v>75</v>
      </c>
      <c r="B77" s="77" t="s">
        <v>314</v>
      </c>
      <c r="C77" s="76">
        <v>3</v>
      </c>
      <c r="D77" s="77" t="s">
        <v>217</v>
      </c>
      <c r="E77" s="76">
        <v>2</v>
      </c>
      <c r="F77" s="77" t="s">
        <v>316</v>
      </c>
      <c r="G77" s="76">
        <v>2</v>
      </c>
      <c r="H77" s="76" t="s">
        <v>293</v>
      </c>
      <c r="I77" s="76" t="str">
        <f t="shared" si="4"/>
        <v>T_03_02_02</v>
      </c>
      <c r="J77" s="76">
        <v>1</v>
      </c>
      <c r="K77" s="76">
        <v>1</v>
      </c>
      <c r="L77" s="76">
        <v>1</v>
      </c>
      <c r="M77" s="76">
        <v>1</v>
      </c>
      <c r="N77" s="76">
        <v>1</v>
      </c>
      <c r="O77" s="76">
        <v>1</v>
      </c>
      <c r="P77" s="76"/>
      <c r="Q77" s="76"/>
      <c r="R77" s="76"/>
      <c r="S77" s="76"/>
    </row>
    <row r="78" spans="1:19" ht="25" hidden="1" customHeight="1" x14ac:dyDescent="0.3">
      <c r="A78" s="76">
        <v>76</v>
      </c>
      <c r="B78" s="77" t="s">
        <v>314</v>
      </c>
      <c r="C78" s="76">
        <v>3</v>
      </c>
      <c r="D78" s="77" t="s">
        <v>217</v>
      </c>
      <c r="E78" s="76">
        <v>2</v>
      </c>
      <c r="F78" s="77" t="s">
        <v>317</v>
      </c>
      <c r="G78" s="76">
        <v>3</v>
      </c>
      <c r="H78" s="76" t="s">
        <v>293</v>
      </c>
      <c r="I78" s="76" t="str">
        <f t="shared" si="4"/>
        <v>T_03_02_03</v>
      </c>
      <c r="J78" s="76">
        <v>1</v>
      </c>
      <c r="K78" s="76">
        <v>1</v>
      </c>
      <c r="L78" s="76">
        <v>1</v>
      </c>
      <c r="M78" s="76">
        <v>1</v>
      </c>
      <c r="N78" s="76">
        <v>1</v>
      </c>
      <c r="O78" s="76">
        <v>1</v>
      </c>
      <c r="P78" s="76"/>
      <c r="Q78" s="76"/>
      <c r="R78" s="76"/>
      <c r="S78" s="76"/>
    </row>
    <row r="79" spans="1:19" ht="25" hidden="1" customHeight="1" x14ac:dyDescent="0.3">
      <c r="A79" s="76">
        <v>77</v>
      </c>
      <c r="B79" s="77" t="s">
        <v>314</v>
      </c>
      <c r="C79" s="76">
        <v>3</v>
      </c>
      <c r="D79" s="77" t="s">
        <v>217</v>
      </c>
      <c r="E79" s="76">
        <v>2</v>
      </c>
      <c r="F79" s="77" t="s">
        <v>318</v>
      </c>
      <c r="G79" s="76">
        <v>4</v>
      </c>
      <c r="H79" s="76" t="s">
        <v>294</v>
      </c>
      <c r="I79" s="76" t="str">
        <f t="shared" si="4"/>
        <v>T_03_02_04</v>
      </c>
      <c r="J79" s="76">
        <v>0</v>
      </c>
      <c r="K79" s="76">
        <v>1</v>
      </c>
      <c r="L79" s="76">
        <v>1</v>
      </c>
      <c r="M79" s="76">
        <v>1</v>
      </c>
      <c r="N79" s="76">
        <v>1</v>
      </c>
      <c r="O79" s="76">
        <v>1</v>
      </c>
      <c r="P79" s="76"/>
      <c r="Q79" s="76"/>
      <c r="R79" s="76"/>
      <c r="S79" s="76"/>
    </row>
    <row r="80" spans="1:19" ht="25" hidden="1" customHeight="1" x14ac:dyDescent="0.3">
      <c r="A80" s="76">
        <v>78</v>
      </c>
      <c r="B80" s="77" t="s">
        <v>314</v>
      </c>
      <c r="C80" s="76">
        <v>3</v>
      </c>
      <c r="D80" s="77" t="s">
        <v>217</v>
      </c>
      <c r="E80" s="76">
        <v>2</v>
      </c>
      <c r="F80" s="77" t="s">
        <v>319</v>
      </c>
      <c r="G80" s="76">
        <v>5</v>
      </c>
      <c r="H80" s="76" t="s">
        <v>294</v>
      </c>
      <c r="I80" s="76" t="str">
        <f t="shared" si="4"/>
        <v>T_03_02_05</v>
      </c>
      <c r="J80" s="76">
        <v>0</v>
      </c>
      <c r="K80" s="76">
        <v>1</v>
      </c>
      <c r="L80" s="76">
        <v>1</v>
      </c>
      <c r="M80" s="76">
        <v>1</v>
      </c>
      <c r="N80" s="76">
        <v>1</v>
      </c>
      <c r="O80" s="76">
        <v>1</v>
      </c>
      <c r="P80" s="76"/>
      <c r="Q80" s="76"/>
      <c r="R80" s="76"/>
      <c r="S80" s="76"/>
    </row>
    <row r="81" spans="1:20" ht="25" hidden="1" customHeight="1" x14ac:dyDescent="0.3">
      <c r="A81" s="76">
        <v>79</v>
      </c>
      <c r="B81" s="77" t="s">
        <v>314</v>
      </c>
      <c r="C81" s="76">
        <v>3</v>
      </c>
      <c r="D81" s="77" t="s">
        <v>217</v>
      </c>
      <c r="E81" s="76">
        <v>2</v>
      </c>
      <c r="F81" s="77" t="s">
        <v>320</v>
      </c>
      <c r="G81" s="76">
        <v>6</v>
      </c>
      <c r="H81" s="76" t="s">
        <v>294</v>
      </c>
      <c r="I81" s="76" t="str">
        <f t="shared" si="4"/>
        <v>T_03_02_06</v>
      </c>
      <c r="J81" s="76">
        <v>0</v>
      </c>
      <c r="K81" s="76">
        <v>1</v>
      </c>
      <c r="L81" s="76">
        <v>1</v>
      </c>
      <c r="M81" s="76">
        <v>1</v>
      </c>
      <c r="N81" s="76">
        <v>1</v>
      </c>
      <c r="O81" s="76">
        <v>1</v>
      </c>
      <c r="P81" s="76"/>
      <c r="Q81" s="76"/>
      <c r="R81" s="76"/>
      <c r="S81" s="76"/>
    </row>
    <row r="82" spans="1:20" ht="25" hidden="1" customHeight="1" x14ac:dyDescent="0.3">
      <c r="A82" s="76">
        <v>80</v>
      </c>
      <c r="B82" s="77" t="s">
        <v>314</v>
      </c>
      <c r="C82" s="76">
        <v>3</v>
      </c>
      <c r="D82" s="77" t="s">
        <v>217</v>
      </c>
      <c r="E82" s="76">
        <v>2</v>
      </c>
      <c r="F82" s="77" t="s">
        <v>342</v>
      </c>
      <c r="G82" s="76">
        <v>7</v>
      </c>
      <c r="H82" s="76" t="s">
        <v>293</v>
      </c>
      <c r="I82" s="76" t="str">
        <f t="shared" si="4"/>
        <v>T_03_02_07</v>
      </c>
      <c r="J82" s="76">
        <v>1</v>
      </c>
      <c r="K82" s="76">
        <v>1</v>
      </c>
      <c r="L82" s="76">
        <v>1</v>
      </c>
      <c r="M82" s="76">
        <v>1</v>
      </c>
      <c r="N82" s="76">
        <v>1</v>
      </c>
      <c r="O82" s="76">
        <v>1</v>
      </c>
      <c r="P82" s="76"/>
      <c r="Q82" s="76"/>
      <c r="R82" s="76"/>
      <c r="S82" s="76"/>
      <c r="T82" t="s">
        <v>334</v>
      </c>
    </row>
    <row r="83" spans="1:20" ht="25" hidden="1" customHeight="1" x14ac:dyDescent="0.3">
      <c r="A83" s="76">
        <v>81</v>
      </c>
      <c r="B83" s="77" t="s">
        <v>314</v>
      </c>
      <c r="C83" s="76">
        <v>3</v>
      </c>
      <c r="D83" s="77" t="s">
        <v>217</v>
      </c>
      <c r="E83" s="76">
        <v>2</v>
      </c>
      <c r="F83" s="77" t="s">
        <v>332</v>
      </c>
      <c r="G83" s="76">
        <v>8</v>
      </c>
      <c r="H83" s="76" t="s">
        <v>293</v>
      </c>
      <c r="I83" s="76" t="str">
        <f t="shared" si="4"/>
        <v>T_03_02_08</v>
      </c>
      <c r="J83" s="76">
        <v>1</v>
      </c>
      <c r="K83" s="76">
        <v>1</v>
      </c>
      <c r="L83" s="76">
        <v>1</v>
      </c>
      <c r="M83" s="76">
        <v>1</v>
      </c>
      <c r="N83" s="76">
        <v>1</v>
      </c>
      <c r="O83" s="76">
        <v>1</v>
      </c>
      <c r="P83" s="76"/>
      <c r="Q83" s="76"/>
      <c r="R83" s="76"/>
      <c r="S83" s="76"/>
      <c r="T83" t="s">
        <v>333</v>
      </c>
    </row>
    <row r="84" spans="1:20" ht="25" hidden="1" customHeight="1" x14ac:dyDescent="0.3">
      <c r="A84" s="76">
        <v>82</v>
      </c>
      <c r="B84" s="77" t="s">
        <v>314</v>
      </c>
      <c r="C84" s="76">
        <v>3</v>
      </c>
      <c r="D84" s="77" t="s">
        <v>300</v>
      </c>
      <c r="E84" s="76">
        <v>3</v>
      </c>
      <c r="F84" s="77" t="s">
        <v>323</v>
      </c>
      <c r="G84" s="76">
        <v>1</v>
      </c>
      <c r="H84" s="76" t="s">
        <v>293</v>
      </c>
      <c r="I84" s="76" t="str">
        <f t="shared" si="4"/>
        <v>T_03_03_01</v>
      </c>
      <c r="J84" s="76">
        <v>0.5</v>
      </c>
      <c r="K84" s="76">
        <v>1</v>
      </c>
      <c r="L84" s="76">
        <v>1</v>
      </c>
      <c r="M84" s="76">
        <v>1</v>
      </c>
      <c r="N84" s="76">
        <v>1</v>
      </c>
      <c r="O84" s="76">
        <v>1</v>
      </c>
      <c r="P84" s="76"/>
      <c r="Q84" s="76"/>
      <c r="R84" s="76"/>
      <c r="S84" s="76"/>
    </row>
    <row r="85" spans="1:20" ht="25" hidden="1" customHeight="1" x14ac:dyDescent="0.3">
      <c r="A85" s="76">
        <v>83</v>
      </c>
      <c r="B85" s="77" t="s">
        <v>314</v>
      </c>
      <c r="C85" s="76">
        <v>3</v>
      </c>
      <c r="D85" s="77" t="s">
        <v>300</v>
      </c>
      <c r="E85" s="76">
        <v>3</v>
      </c>
      <c r="F85" s="77" t="s">
        <v>324</v>
      </c>
      <c r="G85" s="76">
        <v>2</v>
      </c>
      <c r="H85" s="76" t="s">
        <v>293</v>
      </c>
      <c r="I85" s="76" t="str">
        <f t="shared" si="4"/>
        <v>T_03_03_02</v>
      </c>
      <c r="J85" s="76">
        <v>0.5</v>
      </c>
      <c r="K85" s="76">
        <v>1</v>
      </c>
      <c r="L85" s="76">
        <v>1</v>
      </c>
      <c r="M85" s="76">
        <v>1</v>
      </c>
      <c r="N85" s="76">
        <v>1</v>
      </c>
      <c r="O85" s="76">
        <v>1</v>
      </c>
      <c r="P85" s="76"/>
      <c r="Q85" s="76"/>
      <c r="R85" s="76"/>
      <c r="S85" s="76"/>
    </row>
    <row r="86" spans="1:20" ht="25" hidden="1" customHeight="1" x14ac:dyDescent="0.3">
      <c r="A86" s="76">
        <v>84</v>
      </c>
      <c r="B86" s="77" t="s">
        <v>314</v>
      </c>
      <c r="C86" s="76">
        <v>3</v>
      </c>
      <c r="D86" s="77" t="s">
        <v>300</v>
      </c>
      <c r="E86" s="76">
        <v>3</v>
      </c>
      <c r="F86" s="77" t="s">
        <v>325</v>
      </c>
      <c r="G86" s="76">
        <v>3</v>
      </c>
      <c r="H86" s="76" t="s">
        <v>293</v>
      </c>
      <c r="I86" s="76" t="str">
        <f t="shared" si="4"/>
        <v>T_03_03_03</v>
      </c>
      <c r="J86" s="76">
        <v>1</v>
      </c>
      <c r="K86" s="76">
        <v>1</v>
      </c>
      <c r="L86" s="76">
        <v>1</v>
      </c>
      <c r="M86" s="76">
        <v>1</v>
      </c>
      <c r="N86" s="76">
        <v>1</v>
      </c>
      <c r="O86" s="76">
        <v>1</v>
      </c>
      <c r="P86" s="76"/>
      <c r="Q86" s="76"/>
      <c r="R86" s="76"/>
      <c r="S86" s="76"/>
    </row>
    <row r="87" spans="1:20" ht="25" hidden="1" customHeight="1" x14ac:dyDescent="0.3">
      <c r="A87" s="76">
        <v>85</v>
      </c>
      <c r="B87" s="77" t="s">
        <v>314</v>
      </c>
      <c r="C87" s="76">
        <v>3</v>
      </c>
      <c r="D87" s="77" t="s">
        <v>300</v>
      </c>
      <c r="E87" s="76">
        <v>3</v>
      </c>
      <c r="F87" s="77" t="s">
        <v>326</v>
      </c>
      <c r="G87" s="76">
        <v>4</v>
      </c>
      <c r="H87" s="76" t="s">
        <v>293</v>
      </c>
      <c r="I87" s="76" t="str">
        <f t="shared" si="4"/>
        <v>T_03_03_04</v>
      </c>
      <c r="J87" s="76">
        <v>1</v>
      </c>
      <c r="K87" s="76">
        <v>1</v>
      </c>
      <c r="L87" s="76">
        <v>1</v>
      </c>
      <c r="M87" s="76">
        <v>1</v>
      </c>
      <c r="N87" s="76">
        <v>1</v>
      </c>
      <c r="O87" s="76">
        <v>1</v>
      </c>
      <c r="P87" s="76"/>
      <c r="Q87" s="76"/>
      <c r="R87" s="76"/>
      <c r="S87" s="76"/>
    </row>
    <row r="88" spans="1:20" ht="25" hidden="1" customHeight="1" x14ac:dyDescent="0.3">
      <c r="A88" s="76">
        <v>86</v>
      </c>
      <c r="B88" s="77" t="s">
        <v>314</v>
      </c>
      <c r="C88" s="76">
        <v>3</v>
      </c>
      <c r="D88" s="77" t="s">
        <v>300</v>
      </c>
      <c r="E88" s="76">
        <v>3</v>
      </c>
      <c r="F88" s="77" t="s">
        <v>327</v>
      </c>
      <c r="G88" s="76">
        <v>5</v>
      </c>
      <c r="H88" s="76" t="s">
        <v>293</v>
      </c>
      <c r="I88" s="76" t="str">
        <f t="shared" si="4"/>
        <v>T_03_03_05</v>
      </c>
      <c r="J88" s="76">
        <v>1</v>
      </c>
      <c r="K88" s="76">
        <v>1</v>
      </c>
      <c r="L88" s="76">
        <v>1</v>
      </c>
      <c r="M88" s="76">
        <v>1</v>
      </c>
      <c r="N88" s="76">
        <v>1</v>
      </c>
      <c r="O88" s="76">
        <v>1</v>
      </c>
      <c r="P88" s="76"/>
      <c r="Q88" s="76"/>
      <c r="R88" s="76"/>
      <c r="S88" s="76"/>
    </row>
    <row r="89" spans="1:20" ht="25" hidden="1" customHeight="1" x14ac:dyDescent="0.3">
      <c r="A89" s="76">
        <v>87</v>
      </c>
      <c r="B89" s="77" t="s">
        <v>314</v>
      </c>
      <c r="C89" s="76">
        <v>3</v>
      </c>
      <c r="D89" s="77" t="s">
        <v>300</v>
      </c>
      <c r="E89" s="76">
        <v>3</v>
      </c>
      <c r="F89" s="77" t="s">
        <v>328</v>
      </c>
      <c r="G89" s="76">
        <v>6</v>
      </c>
      <c r="H89" s="76" t="s">
        <v>293</v>
      </c>
      <c r="I89" s="76" t="str">
        <f t="shared" si="4"/>
        <v>T_03_03_06</v>
      </c>
      <c r="J89" s="76">
        <v>1</v>
      </c>
      <c r="K89" s="76">
        <v>1</v>
      </c>
      <c r="L89" s="76">
        <v>1</v>
      </c>
      <c r="M89" s="76">
        <v>1</v>
      </c>
      <c r="N89" s="76">
        <v>1</v>
      </c>
      <c r="O89" s="76">
        <v>1</v>
      </c>
      <c r="P89" s="76"/>
      <c r="Q89" s="76"/>
      <c r="R89" s="76"/>
      <c r="S89" s="76"/>
    </row>
    <row r="90" spans="1:20" ht="25" hidden="1" customHeight="1" x14ac:dyDescent="0.3">
      <c r="A90" s="76">
        <v>88</v>
      </c>
      <c r="B90" s="77" t="s">
        <v>314</v>
      </c>
      <c r="C90" s="76">
        <v>3</v>
      </c>
      <c r="D90" s="77" t="s">
        <v>300</v>
      </c>
      <c r="E90" s="76">
        <v>3</v>
      </c>
      <c r="F90" s="77" t="s">
        <v>329</v>
      </c>
      <c r="G90" s="76">
        <v>7</v>
      </c>
      <c r="H90" s="76" t="s">
        <v>293</v>
      </c>
      <c r="I90" s="76" t="str">
        <f t="shared" si="4"/>
        <v>T_03_03_07</v>
      </c>
      <c r="J90" s="76">
        <v>1</v>
      </c>
      <c r="K90" s="76">
        <v>1</v>
      </c>
      <c r="L90" s="76">
        <v>1</v>
      </c>
      <c r="M90" s="76">
        <v>1</v>
      </c>
      <c r="N90" s="76">
        <v>1</v>
      </c>
      <c r="O90" s="76">
        <v>1</v>
      </c>
      <c r="P90" s="76"/>
      <c r="Q90" s="76"/>
      <c r="R90" s="76"/>
      <c r="S90" s="76"/>
    </row>
    <row r="91" spans="1:20" ht="25" hidden="1" customHeight="1" x14ac:dyDescent="0.3">
      <c r="A91" s="76">
        <v>89</v>
      </c>
      <c r="B91" s="77" t="s">
        <v>314</v>
      </c>
      <c r="C91" s="76">
        <v>3</v>
      </c>
      <c r="D91" s="77" t="s">
        <v>300</v>
      </c>
      <c r="E91" s="76">
        <v>3</v>
      </c>
      <c r="F91" s="77" t="s">
        <v>330</v>
      </c>
      <c r="G91" s="76">
        <v>8</v>
      </c>
      <c r="H91" s="76" t="s">
        <v>293</v>
      </c>
      <c r="I91" s="76" t="str">
        <f t="shared" si="4"/>
        <v>T_03_03_08</v>
      </c>
      <c r="J91" s="76">
        <v>1</v>
      </c>
      <c r="K91" s="76">
        <v>1</v>
      </c>
      <c r="L91" s="76">
        <v>1</v>
      </c>
      <c r="M91" s="76">
        <v>1</v>
      </c>
      <c r="N91" s="76">
        <v>1</v>
      </c>
      <c r="O91" s="76">
        <v>1</v>
      </c>
      <c r="P91" s="76"/>
      <c r="Q91" s="76"/>
      <c r="R91" s="76"/>
      <c r="S91" s="76"/>
    </row>
    <row r="92" spans="1:20" ht="25" hidden="1" customHeight="1" x14ac:dyDescent="0.3">
      <c r="A92" s="76">
        <v>90</v>
      </c>
      <c r="B92" s="77" t="s">
        <v>314</v>
      </c>
      <c r="C92" s="76">
        <v>3</v>
      </c>
      <c r="D92" s="77" t="s">
        <v>300</v>
      </c>
      <c r="E92" s="76">
        <v>3</v>
      </c>
      <c r="F92" s="77" t="s">
        <v>331</v>
      </c>
      <c r="G92" s="76">
        <v>9</v>
      </c>
      <c r="H92" s="76" t="s">
        <v>293</v>
      </c>
      <c r="I92" s="76" t="str">
        <f t="shared" si="4"/>
        <v>T_03_03_09</v>
      </c>
      <c r="J92" s="76">
        <v>1</v>
      </c>
      <c r="K92" s="76">
        <v>1</v>
      </c>
      <c r="L92" s="76">
        <v>1</v>
      </c>
      <c r="M92" s="76">
        <v>1</v>
      </c>
      <c r="N92" s="76">
        <v>1</v>
      </c>
      <c r="O92" s="76">
        <v>1</v>
      </c>
      <c r="P92" s="76"/>
      <c r="Q92" s="76"/>
      <c r="R92" s="76"/>
      <c r="S92" s="76"/>
    </row>
    <row r="93" spans="1:20" hidden="1" x14ac:dyDescent="0.3"/>
    <row r="94" spans="1:20" hidden="1" x14ac:dyDescent="0.3"/>
    <row r="95" spans="1:20" hidden="1" x14ac:dyDescent="0.3"/>
    <row r="96" spans="1:20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</sheetData>
  <autoFilter ref="A2:S120" xr:uid="{00000000-0009-0000-0000-000000000000}">
    <filterColumn colId="2">
      <filters>
        <filter val="01"/>
      </filters>
    </filterColumn>
    <filterColumn colId="4">
      <filters>
        <filter val="04"/>
      </filters>
    </filterColumn>
  </autoFilter>
  <mergeCells count="3">
    <mergeCell ref="K1:O1"/>
    <mergeCell ref="P1:S1"/>
    <mergeCell ref="H1:J1"/>
  </mergeCells>
  <conditionalFormatting sqref="J10:S10">
    <cfRule type="iconSet" priority="1">
      <iconSet iconSet="3Symbols2" showValue="0">
        <cfvo type="percent" val="0"/>
        <cfvo type="num" val="0" gte="0"/>
        <cfvo type="num" val="1"/>
      </iconSet>
    </cfRule>
  </conditionalFormatting>
  <conditionalFormatting sqref="J3:S9 J11:S92">
    <cfRule type="iconSet" priority="3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3"/>
  </sheetPr>
  <dimension ref="A1:E30"/>
  <sheetViews>
    <sheetView showGridLines="0" view="pageBreakPreview" zoomScale="75" zoomScaleSheetLayoutView="75" workbookViewId="0">
      <selection sqref="A1:XFD25"/>
    </sheetView>
  </sheetViews>
  <sheetFormatPr baseColWidth="10" defaultColWidth="11.3984375" defaultRowHeight="15.5" outlineLevelCol="1" x14ac:dyDescent="0.3"/>
  <cols>
    <col min="1" max="1" width="4" style="25" customWidth="1"/>
    <col min="2" max="2" width="68.8984375" style="26" customWidth="1"/>
    <col min="3" max="3" width="7" style="2" bestFit="1" customWidth="1"/>
    <col min="4" max="4" width="21.296875" style="2" hidden="1" customWidth="1" outlineLevel="1"/>
    <col min="5" max="5" width="21.8984375" style="2" bestFit="1" customWidth="1" collapsed="1"/>
    <col min="6" max="16384" width="11.3984375" style="2"/>
  </cols>
  <sheetData>
    <row r="1" spans="1:5" s="12" customFormat="1" ht="24" customHeight="1" x14ac:dyDescent="0.3">
      <c r="A1" s="28">
        <v>34</v>
      </c>
      <c r="B1" s="29" t="s">
        <v>1</v>
      </c>
      <c r="C1" s="13">
        <v>0</v>
      </c>
      <c r="D1" s="9"/>
      <c r="E1" s="10">
        <f>C1*D1</f>
        <v>0</v>
      </c>
    </row>
    <row r="2" spans="1:5" s="12" customFormat="1" ht="24" customHeight="1" x14ac:dyDescent="0.3">
      <c r="A2" s="28">
        <v>34</v>
      </c>
      <c r="B2" s="29" t="s">
        <v>2</v>
      </c>
      <c r="C2" s="13">
        <v>3</v>
      </c>
      <c r="D2" s="9">
        <v>10000000</v>
      </c>
      <c r="E2" s="10">
        <f t="shared" ref="E2:E10" si="0">C2*D2</f>
        <v>30000000</v>
      </c>
    </row>
    <row r="3" spans="1:5" s="12" customFormat="1" ht="24" customHeight="1" x14ac:dyDescent="0.3">
      <c r="A3" s="28">
        <v>34</v>
      </c>
      <c r="B3" s="29" t="s">
        <v>3</v>
      </c>
      <c r="C3" s="13">
        <v>1</v>
      </c>
      <c r="D3" s="9">
        <v>1500000000</v>
      </c>
      <c r="E3" s="10">
        <f t="shared" si="0"/>
        <v>1500000000</v>
      </c>
    </row>
    <row r="4" spans="1:5" s="12" customFormat="1" ht="24" customHeight="1" x14ac:dyDescent="0.3">
      <c r="A4" s="28">
        <v>34</v>
      </c>
      <c r="B4" s="29" t="s">
        <v>4</v>
      </c>
      <c r="C4" s="13">
        <v>0</v>
      </c>
      <c r="D4" s="9">
        <v>2190000000</v>
      </c>
      <c r="E4" s="10">
        <f>C4*D4</f>
        <v>0</v>
      </c>
    </row>
    <row r="5" spans="1:5" s="12" customFormat="1" ht="24" customHeight="1" x14ac:dyDescent="0.3">
      <c r="A5" s="28">
        <v>34</v>
      </c>
      <c r="B5" s="29" t="s">
        <v>5</v>
      </c>
      <c r="C5" s="13">
        <v>0</v>
      </c>
      <c r="D5" s="9">
        <v>164000000</v>
      </c>
      <c r="E5" s="10">
        <f t="shared" si="0"/>
        <v>0</v>
      </c>
    </row>
    <row r="6" spans="1:5" s="12" customFormat="1" ht="24" customHeight="1" x14ac:dyDescent="0.3">
      <c r="A6" s="28">
        <v>34</v>
      </c>
      <c r="B6" s="29" t="s">
        <v>6</v>
      </c>
      <c r="C6" s="13">
        <v>0</v>
      </c>
      <c r="D6" s="9">
        <v>8600000</v>
      </c>
      <c r="E6" s="10">
        <f t="shared" si="0"/>
        <v>0</v>
      </c>
    </row>
    <row r="7" spans="1:5" s="12" customFormat="1" ht="24" customHeight="1" x14ac:dyDescent="0.3">
      <c r="A7" s="28">
        <v>35</v>
      </c>
      <c r="B7" s="29" t="s">
        <v>7</v>
      </c>
      <c r="C7" s="13">
        <v>0</v>
      </c>
      <c r="D7" s="9">
        <v>10000000</v>
      </c>
      <c r="E7" s="10">
        <f t="shared" si="0"/>
        <v>0</v>
      </c>
    </row>
    <row r="8" spans="1:5" s="12" customFormat="1" ht="24" customHeight="1" x14ac:dyDescent="0.3">
      <c r="A8" s="28">
        <v>36</v>
      </c>
      <c r="B8" s="29" t="s">
        <v>8</v>
      </c>
      <c r="C8" s="13">
        <v>900</v>
      </c>
      <c r="D8" s="9">
        <v>25000</v>
      </c>
      <c r="E8" s="10">
        <v>22500000</v>
      </c>
    </row>
    <row r="9" spans="1:5" s="12" customFormat="1" ht="26.25" customHeight="1" x14ac:dyDescent="0.3">
      <c r="A9" s="28">
        <v>37</v>
      </c>
      <c r="B9" s="29" t="s">
        <v>9</v>
      </c>
      <c r="C9" s="13">
        <v>0</v>
      </c>
      <c r="D9" s="9">
        <v>8000000</v>
      </c>
      <c r="E9" s="10">
        <f t="shared" si="0"/>
        <v>0</v>
      </c>
    </row>
    <row r="10" spans="1:5" s="12" customFormat="1" ht="24" customHeight="1" x14ac:dyDescent="0.3">
      <c r="A10" s="28">
        <v>38</v>
      </c>
      <c r="B10" s="29" t="s">
        <v>10</v>
      </c>
      <c r="C10" s="13">
        <v>388</v>
      </c>
      <c r="D10" s="9">
        <v>180000</v>
      </c>
      <c r="E10" s="10">
        <f t="shared" si="0"/>
        <v>69840000</v>
      </c>
    </row>
    <row r="11" spans="1:5" s="12" customFormat="1" ht="24" customHeight="1" x14ac:dyDescent="0.3">
      <c r="A11" s="28">
        <v>39</v>
      </c>
      <c r="B11" s="29" t="s">
        <v>11</v>
      </c>
      <c r="C11" s="13">
        <v>65</v>
      </c>
      <c r="D11" s="9">
        <v>25000000</v>
      </c>
      <c r="E11" s="10">
        <f t="shared" ref="E11:E19" si="1">C11*D11</f>
        <v>1625000000</v>
      </c>
    </row>
    <row r="12" spans="1:5" s="12" customFormat="1" ht="24" customHeight="1" x14ac:dyDescent="0.3">
      <c r="A12" s="28">
        <v>40</v>
      </c>
      <c r="B12" s="29" t="s">
        <v>12</v>
      </c>
      <c r="C12" s="13">
        <v>1</v>
      </c>
      <c r="D12" s="9">
        <v>18000000</v>
      </c>
      <c r="E12" s="10">
        <f t="shared" si="1"/>
        <v>18000000</v>
      </c>
    </row>
    <row r="13" spans="1:5" s="12" customFormat="1" ht="24" customHeight="1" x14ac:dyDescent="0.3">
      <c r="A13" s="28">
        <v>41</v>
      </c>
      <c r="B13" s="29" t="s">
        <v>13</v>
      </c>
      <c r="C13" s="13">
        <v>15</v>
      </c>
      <c r="D13" s="9">
        <v>5000000</v>
      </c>
      <c r="E13" s="10">
        <f t="shared" si="1"/>
        <v>75000000</v>
      </c>
    </row>
    <row r="14" spans="1:5" s="12" customFormat="1" ht="24" customHeight="1" x14ac:dyDescent="0.3">
      <c r="A14" s="28">
        <v>42</v>
      </c>
      <c r="B14" s="29" t="s">
        <v>14</v>
      </c>
      <c r="C14" s="13">
        <v>5475</v>
      </c>
      <c r="D14" s="9">
        <v>1200000</v>
      </c>
      <c r="E14" s="10">
        <f t="shared" si="1"/>
        <v>6570000000</v>
      </c>
    </row>
    <row r="15" spans="1:5" s="12" customFormat="1" ht="24" customHeight="1" x14ac:dyDescent="0.3">
      <c r="A15" s="28">
        <v>43</v>
      </c>
      <c r="B15" s="29" t="s">
        <v>15</v>
      </c>
      <c r="C15" s="13">
        <v>411</v>
      </c>
      <c r="D15" s="9">
        <v>250000</v>
      </c>
      <c r="E15" s="10">
        <f t="shared" si="1"/>
        <v>102750000</v>
      </c>
    </row>
    <row r="16" spans="1:5" s="12" customFormat="1" ht="24" customHeight="1" x14ac:dyDescent="0.3">
      <c r="A16" s="28">
        <v>44</v>
      </c>
      <c r="B16" s="29" t="s">
        <v>16</v>
      </c>
      <c r="C16" s="13">
        <v>0</v>
      </c>
      <c r="D16" s="9"/>
      <c r="E16" s="10">
        <f t="shared" si="1"/>
        <v>0</v>
      </c>
    </row>
    <row r="17" spans="1:5" s="12" customFormat="1" ht="24" customHeight="1" x14ac:dyDescent="0.3">
      <c r="A17" s="28">
        <v>45</v>
      </c>
      <c r="B17" s="29" t="s">
        <v>17</v>
      </c>
      <c r="C17" s="13">
        <v>0</v>
      </c>
      <c r="D17" s="9"/>
      <c r="E17" s="10">
        <f t="shared" si="1"/>
        <v>0</v>
      </c>
    </row>
    <row r="18" spans="1:5" s="12" customFormat="1" ht="24" customHeight="1" x14ac:dyDescent="0.3">
      <c r="A18" s="28">
        <v>45</v>
      </c>
      <c r="B18" s="29" t="s">
        <v>18</v>
      </c>
      <c r="C18" s="13">
        <v>0</v>
      </c>
      <c r="D18" s="9"/>
      <c r="E18" s="10">
        <f t="shared" si="1"/>
        <v>0</v>
      </c>
    </row>
    <row r="19" spans="1:5" s="12" customFormat="1" ht="38.25" customHeight="1" x14ac:dyDescent="0.3">
      <c r="A19" s="28">
        <v>45</v>
      </c>
      <c r="B19" s="29" t="s">
        <v>19</v>
      </c>
      <c r="C19" s="13">
        <v>1</v>
      </c>
      <c r="D19" s="9">
        <v>400000000</v>
      </c>
      <c r="E19" s="10">
        <f t="shared" si="1"/>
        <v>400000000</v>
      </c>
    </row>
    <row r="20" spans="1:5" s="12" customFormat="1" ht="24" customHeight="1" x14ac:dyDescent="0.3">
      <c r="A20" s="28">
        <v>45</v>
      </c>
      <c r="B20" s="29" t="s">
        <v>20</v>
      </c>
      <c r="C20" s="13" t="s">
        <v>21</v>
      </c>
      <c r="D20" s="9">
        <v>600000000</v>
      </c>
      <c r="E20" s="10">
        <v>1200000000</v>
      </c>
    </row>
    <row r="21" spans="1:5" s="12" customFormat="1" ht="24" customHeight="1" thickBot="1" x14ac:dyDescent="0.35">
      <c r="A21" s="28">
        <v>45</v>
      </c>
      <c r="B21" s="31" t="s">
        <v>22</v>
      </c>
      <c r="C21" s="32" t="s">
        <v>23</v>
      </c>
      <c r="D21" s="16">
        <v>600000000</v>
      </c>
      <c r="E21" s="17">
        <v>600000000</v>
      </c>
    </row>
    <row r="22" spans="1:5" s="12" customFormat="1" ht="27.75" customHeight="1" x14ac:dyDescent="0.3">
      <c r="A22" s="28">
        <v>46</v>
      </c>
      <c r="B22" s="29" t="s">
        <v>24</v>
      </c>
      <c r="C22" s="13">
        <v>2</v>
      </c>
      <c r="D22" s="9">
        <v>37000000</v>
      </c>
      <c r="E22" s="10">
        <f>D22*C22</f>
        <v>74000000</v>
      </c>
    </row>
    <row r="23" spans="1:5" s="12" customFormat="1" ht="27.75" customHeight="1" x14ac:dyDescent="0.3">
      <c r="A23" s="28">
        <v>47</v>
      </c>
      <c r="B23" s="29" t="s">
        <v>25</v>
      </c>
      <c r="C23" s="13">
        <v>4</v>
      </c>
      <c r="D23" s="9">
        <v>33000000</v>
      </c>
      <c r="E23" s="10">
        <f>D23*C23</f>
        <v>132000000</v>
      </c>
    </row>
    <row r="24" spans="1:5" s="12" customFormat="1" ht="27.75" customHeight="1" x14ac:dyDescent="0.3">
      <c r="A24" s="28">
        <v>48</v>
      </c>
      <c r="B24" s="29" t="s">
        <v>26</v>
      </c>
      <c r="C24" s="13">
        <v>0</v>
      </c>
      <c r="D24" s="9"/>
      <c r="E24" s="10">
        <f>D24*C24</f>
        <v>0</v>
      </c>
    </row>
    <row r="25" spans="1:5" s="12" customFormat="1" ht="27.75" customHeight="1" x14ac:dyDescent="0.3">
      <c r="A25" s="28">
        <v>49</v>
      </c>
      <c r="B25" s="29" t="s">
        <v>27</v>
      </c>
      <c r="C25" s="13">
        <v>15</v>
      </c>
      <c r="D25" s="9">
        <v>5000000</v>
      </c>
      <c r="E25" s="10">
        <f>D25*C25</f>
        <v>75000000</v>
      </c>
    </row>
    <row r="26" spans="1:5" x14ac:dyDescent="0.3">
      <c r="C26" s="21"/>
      <c r="D26" s="21"/>
      <c r="E26" s="21"/>
    </row>
    <row r="27" spans="1:5" x14ac:dyDescent="0.3">
      <c r="B27" s="33"/>
      <c r="C27" s="34"/>
      <c r="D27" s="34"/>
      <c r="E27" s="34"/>
    </row>
    <row r="28" spans="1:5" s="38" customFormat="1" ht="14" x14ac:dyDescent="0.3">
      <c r="A28" s="35"/>
      <c r="B28" s="36"/>
      <c r="C28" s="37"/>
      <c r="D28" s="37"/>
      <c r="E28" s="37"/>
    </row>
    <row r="29" spans="1:5" x14ac:dyDescent="0.3">
      <c r="B29" s="33"/>
      <c r="C29" s="34"/>
      <c r="D29" s="34"/>
      <c r="E29" s="34"/>
    </row>
    <row r="30" spans="1:5" x14ac:dyDescent="0.3">
      <c r="B30" s="33"/>
      <c r="C30" s="34"/>
      <c r="D30" s="34"/>
      <c r="E30" s="34"/>
    </row>
  </sheetData>
  <printOptions horizontalCentered="1"/>
  <pageMargins left="0.15748031496062992" right="0" top="0.31496062992125984" bottom="0.15748031496062992" header="0.15748031496062992" footer="0.15748031496062992"/>
  <pageSetup paperSize="9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3"/>
    <pageSetUpPr fitToPage="1"/>
  </sheetPr>
  <dimension ref="A1:E10"/>
  <sheetViews>
    <sheetView view="pageBreakPreview" zoomScale="90" zoomScaleSheetLayoutView="90" workbookViewId="0">
      <selection sqref="A1:XFD3"/>
    </sheetView>
  </sheetViews>
  <sheetFormatPr baseColWidth="10" defaultColWidth="11.3984375" defaultRowHeight="15.5" outlineLevelCol="1" x14ac:dyDescent="0.3"/>
  <cols>
    <col min="1" max="1" width="4" style="25" customWidth="1"/>
    <col min="2" max="2" width="57.296875" style="26" customWidth="1"/>
    <col min="3" max="3" width="9.8984375" style="2" customWidth="1"/>
    <col min="4" max="4" width="22.69921875" style="2" hidden="1" customWidth="1" outlineLevel="1"/>
    <col min="5" max="5" width="26" style="2" customWidth="1" collapsed="1"/>
    <col min="6" max="16384" width="11.3984375" style="2"/>
  </cols>
  <sheetData>
    <row r="1" spans="1:5" s="12" customFormat="1" ht="25.5" customHeight="1" x14ac:dyDescent="0.3">
      <c r="A1" s="5">
        <v>50</v>
      </c>
      <c r="B1" s="6" t="s">
        <v>28</v>
      </c>
      <c r="C1" s="8">
        <v>2</v>
      </c>
      <c r="D1" s="9">
        <v>24000000</v>
      </c>
      <c r="E1" s="10">
        <f>D1*C1</f>
        <v>48000000</v>
      </c>
    </row>
    <row r="2" spans="1:5" s="12" customFormat="1" ht="25.5" customHeight="1" x14ac:dyDescent="0.3">
      <c r="A2" s="5">
        <v>51</v>
      </c>
      <c r="B2" s="6" t="s">
        <v>29</v>
      </c>
      <c r="C2" s="8">
        <v>12</v>
      </c>
      <c r="D2" s="9"/>
      <c r="E2" s="10">
        <v>400000000</v>
      </c>
    </row>
    <row r="3" spans="1:5" s="12" customFormat="1" ht="25.5" customHeight="1" x14ac:dyDescent="0.3">
      <c r="A3" s="5">
        <v>52</v>
      </c>
      <c r="B3" s="6" t="s">
        <v>30</v>
      </c>
      <c r="C3" s="8">
        <v>0</v>
      </c>
      <c r="D3" s="9">
        <v>15000000</v>
      </c>
      <c r="E3" s="10">
        <f>D3*C3</f>
        <v>0</v>
      </c>
    </row>
    <row r="4" spans="1:5" x14ac:dyDescent="0.3">
      <c r="A4" s="19"/>
      <c r="B4" s="20"/>
      <c r="C4" s="21"/>
      <c r="D4" s="21"/>
      <c r="E4" s="21"/>
    </row>
    <row r="5" spans="1:5" s="24" customFormat="1" ht="14" x14ac:dyDescent="0.3">
      <c r="A5" s="22"/>
      <c r="B5" s="23"/>
      <c r="C5" s="18"/>
      <c r="D5" s="18"/>
      <c r="E5" s="18"/>
    </row>
    <row r="6" spans="1:5" x14ac:dyDescent="0.3">
      <c r="E6" s="27"/>
    </row>
    <row r="10" spans="1:5" x14ac:dyDescent="0.3">
      <c r="E10" s="27"/>
    </row>
  </sheetData>
  <printOptions horizontalCentered="1"/>
  <pageMargins left="0.15748031496062992" right="0" top="0.5" bottom="0.19685039370078741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3"/>
  </sheetPr>
  <dimension ref="A1:G64"/>
  <sheetViews>
    <sheetView showGridLines="0" view="pageBreakPreview" topLeftCell="A40" zoomScale="85" zoomScaleSheetLayoutView="85" workbookViewId="0">
      <selection sqref="A1:XFD63"/>
    </sheetView>
  </sheetViews>
  <sheetFormatPr baseColWidth="10" defaultColWidth="11.3984375" defaultRowHeight="15.5" outlineLevelCol="1" x14ac:dyDescent="0.3"/>
  <cols>
    <col min="1" max="1" width="4" style="25" customWidth="1"/>
    <col min="2" max="2" width="64.3984375" style="26" customWidth="1"/>
    <col min="3" max="3" width="7.8984375" style="2" customWidth="1"/>
    <col min="4" max="4" width="21.296875" style="2" hidden="1" customWidth="1" outlineLevel="1"/>
    <col min="5" max="5" width="25" style="2" customWidth="1" collapsed="1"/>
    <col min="6" max="6" width="16.09765625" style="2" bestFit="1" customWidth="1"/>
    <col min="7" max="7" width="18.296875" style="2" bestFit="1" customWidth="1"/>
    <col min="8" max="16384" width="11.3984375" style="2"/>
  </cols>
  <sheetData>
    <row r="1" spans="1:7" s="12" customFormat="1" ht="24" customHeight="1" x14ac:dyDescent="0.3">
      <c r="A1" s="28">
        <v>53</v>
      </c>
      <c r="B1" s="29" t="s">
        <v>31</v>
      </c>
      <c r="C1" s="13">
        <v>0</v>
      </c>
      <c r="D1" s="9"/>
      <c r="E1" s="10">
        <f>D1*C1</f>
        <v>0</v>
      </c>
    </row>
    <row r="2" spans="1:7" s="12" customFormat="1" ht="24" customHeight="1" x14ac:dyDescent="0.3">
      <c r="A2" s="28">
        <v>53</v>
      </c>
      <c r="B2" s="29" t="s">
        <v>32</v>
      </c>
      <c r="C2" s="13">
        <v>0</v>
      </c>
      <c r="D2" s="9">
        <v>110000000</v>
      </c>
      <c r="E2" s="10">
        <f>D2*C2</f>
        <v>0</v>
      </c>
    </row>
    <row r="3" spans="1:7" s="12" customFormat="1" ht="24" customHeight="1" x14ac:dyDescent="0.3">
      <c r="A3" s="28">
        <v>53</v>
      </c>
      <c r="B3" s="29" t="s">
        <v>33</v>
      </c>
      <c r="C3" s="13">
        <v>1</v>
      </c>
      <c r="D3" s="9">
        <v>60000000</v>
      </c>
      <c r="E3" s="10">
        <f>D3*C3</f>
        <v>60000000</v>
      </c>
    </row>
    <row r="4" spans="1:7" s="12" customFormat="1" ht="24" customHeight="1" x14ac:dyDescent="0.3">
      <c r="A4" s="28">
        <v>53</v>
      </c>
      <c r="B4" s="29" t="s">
        <v>34</v>
      </c>
      <c r="C4" s="13">
        <v>0</v>
      </c>
      <c r="D4" s="9">
        <v>100000000</v>
      </c>
      <c r="E4" s="10">
        <f>D4*C4</f>
        <v>0</v>
      </c>
      <c r="G4" s="39"/>
    </row>
    <row r="5" spans="1:7" s="12" customFormat="1" ht="24" customHeight="1" x14ac:dyDescent="0.3">
      <c r="A5" s="28">
        <v>54</v>
      </c>
      <c r="B5" s="29" t="s">
        <v>35</v>
      </c>
      <c r="C5" s="13">
        <v>0</v>
      </c>
      <c r="D5" s="9"/>
      <c r="E5" s="10">
        <f t="shared" ref="E5:E63" si="0">D5*C5</f>
        <v>0</v>
      </c>
      <c r="G5" s="39"/>
    </row>
    <row r="6" spans="1:7" s="12" customFormat="1" ht="24" customHeight="1" x14ac:dyDescent="0.3">
      <c r="A6" s="28">
        <v>54</v>
      </c>
      <c r="B6" s="29" t="s">
        <v>36</v>
      </c>
      <c r="C6" s="13">
        <v>13</v>
      </c>
      <c r="D6" s="9">
        <v>25000000</v>
      </c>
      <c r="E6" s="10">
        <f t="shared" si="0"/>
        <v>325000000</v>
      </c>
      <c r="G6" s="39"/>
    </row>
    <row r="7" spans="1:7" s="12" customFormat="1" ht="24" customHeight="1" x14ac:dyDescent="0.3">
      <c r="A7" s="28">
        <v>54</v>
      </c>
      <c r="B7" s="29" t="s">
        <v>37</v>
      </c>
      <c r="C7" s="13">
        <v>13</v>
      </c>
      <c r="D7" s="9">
        <v>19000000</v>
      </c>
      <c r="E7" s="10">
        <f t="shared" si="0"/>
        <v>247000000</v>
      </c>
    </row>
    <row r="8" spans="1:7" s="12" customFormat="1" ht="24" customHeight="1" x14ac:dyDescent="0.3">
      <c r="A8" s="28">
        <v>54</v>
      </c>
      <c r="B8" s="29" t="s">
        <v>38</v>
      </c>
      <c r="C8" s="13">
        <v>7</v>
      </c>
      <c r="D8" s="9">
        <v>15000000</v>
      </c>
      <c r="E8" s="10">
        <f t="shared" si="0"/>
        <v>105000000</v>
      </c>
    </row>
    <row r="9" spans="1:7" s="12" customFormat="1" ht="24" customHeight="1" x14ac:dyDescent="0.3">
      <c r="A9" s="28">
        <v>54</v>
      </c>
      <c r="B9" s="29" t="s">
        <v>39</v>
      </c>
      <c r="C9" s="13">
        <v>1</v>
      </c>
      <c r="D9" s="9">
        <v>100000000</v>
      </c>
      <c r="E9" s="10">
        <f t="shared" si="0"/>
        <v>100000000</v>
      </c>
    </row>
    <row r="10" spans="1:7" s="12" customFormat="1" ht="24" customHeight="1" x14ac:dyDescent="0.3">
      <c r="A10" s="28">
        <v>55</v>
      </c>
      <c r="B10" s="29" t="s">
        <v>40</v>
      </c>
      <c r="C10" s="13">
        <v>0</v>
      </c>
      <c r="D10" s="9"/>
      <c r="E10" s="10">
        <f t="shared" si="0"/>
        <v>0</v>
      </c>
    </row>
    <row r="11" spans="1:7" s="12" customFormat="1" ht="24" customHeight="1" x14ac:dyDescent="0.3">
      <c r="A11" s="28">
        <v>55</v>
      </c>
      <c r="B11" s="29" t="s">
        <v>41</v>
      </c>
      <c r="C11" s="13">
        <v>20</v>
      </c>
      <c r="D11" s="9">
        <v>14000000</v>
      </c>
      <c r="E11" s="10">
        <f>D11*C11</f>
        <v>280000000</v>
      </c>
    </row>
    <row r="12" spans="1:7" s="12" customFormat="1" ht="24" customHeight="1" x14ac:dyDescent="0.3">
      <c r="A12" s="28">
        <v>55</v>
      </c>
      <c r="B12" s="29" t="s">
        <v>42</v>
      </c>
      <c r="C12" s="13">
        <v>29</v>
      </c>
      <c r="D12" s="9">
        <v>11000000</v>
      </c>
      <c r="E12" s="10">
        <f t="shared" si="0"/>
        <v>319000000</v>
      </c>
    </row>
    <row r="13" spans="1:7" s="12" customFormat="1" ht="24" customHeight="1" x14ac:dyDescent="0.3">
      <c r="A13" s="28">
        <v>56</v>
      </c>
      <c r="B13" s="29" t="s">
        <v>43</v>
      </c>
      <c r="C13" s="13">
        <v>1</v>
      </c>
      <c r="D13" s="9">
        <v>17000000</v>
      </c>
      <c r="E13" s="10">
        <f t="shared" si="0"/>
        <v>17000000</v>
      </c>
    </row>
    <row r="14" spans="1:7" s="12" customFormat="1" ht="24" customHeight="1" x14ac:dyDescent="0.3">
      <c r="A14" s="28">
        <v>57</v>
      </c>
      <c r="B14" s="29" t="s">
        <v>44</v>
      </c>
      <c r="C14" s="13">
        <v>1</v>
      </c>
      <c r="D14" s="9">
        <v>15000000</v>
      </c>
      <c r="E14" s="10">
        <f t="shared" si="0"/>
        <v>15000000</v>
      </c>
    </row>
    <row r="15" spans="1:7" s="12" customFormat="1" ht="24" customHeight="1" x14ac:dyDescent="0.3">
      <c r="A15" s="28">
        <v>58</v>
      </c>
      <c r="B15" s="29" t="s">
        <v>45</v>
      </c>
      <c r="C15" s="13">
        <v>3</v>
      </c>
      <c r="D15" s="9">
        <v>1000000</v>
      </c>
      <c r="E15" s="10">
        <f t="shared" si="0"/>
        <v>3000000</v>
      </c>
    </row>
    <row r="16" spans="1:7" s="12" customFormat="1" ht="24" customHeight="1" x14ac:dyDescent="0.3">
      <c r="A16" s="28">
        <v>58</v>
      </c>
      <c r="B16" s="29" t="s">
        <v>46</v>
      </c>
      <c r="C16" s="13">
        <v>1</v>
      </c>
      <c r="D16" s="9">
        <v>2000000</v>
      </c>
      <c r="E16" s="10">
        <f t="shared" si="0"/>
        <v>2000000</v>
      </c>
    </row>
    <row r="17" spans="1:5" s="12" customFormat="1" ht="24" customHeight="1" x14ac:dyDescent="0.3">
      <c r="A17" s="28">
        <v>59</v>
      </c>
      <c r="B17" s="29" t="s">
        <v>47</v>
      </c>
      <c r="C17" s="13">
        <v>0</v>
      </c>
      <c r="D17" s="9"/>
      <c r="E17" s="10">
        <f t="shared" si="0"/>
        <v>0</v>
      </c>
    </row>
    <row r="18" spans="1:5" s="12" customFormat="1" ht="24" customHeight="1" x14ac:dyDescent="0.3">
      <c r="A18" s="28">
        <v>59</v>
      </c>
      <c r="B18" s="29" t="s">
        <v>48</v>
      </c>
      <c r="C18" s="13">
        <v>100</v>
      </c>
      <c r="D18" s="40">
        <v>15000000</v>
      </c>
      <c r="E18" s="10">
        <v>1000000000</v>
      </c>
    </row>
    <row r="19" spans="1:5" s="12" customFormat="1" ht="24" customHeight="1" x14ac:dyDescent="0.3">
      <c r="A19" s="28">
        <v>59</v>
      </c>
      <c r="B19" s="29" t="s">
        <v>49</v>
      </c>
      <c r="C19" s="13">
        <v>68</v>
      </c>
      <c r="D19" s="9">
        <v>5000000</v>
      </c>
      <c r="E19" s="10">
        <f t="shared" si="0"/>
        <v>340000000</v>
      </c>
    </row>
    <row r="20" spans="1:5" s="12" customFormat="1" ht="24" customHeight="1" x14ac:dyDescent="0.3">
      <c r="A20" s="28">
        <v>59</v>
      </c>
      <c r="B20" s="29" t="s">
        <v>50</v>
      </c>
      <c r="C20" s="13">
        <v>1</v>
      </c>
      <c r="D20" s="9">
        <v>10000000</v>
      </c>
      <c r="E20" s="10">
        <f t="shared" si="0"/>
        <v>10000000</v>
      </c>
    </row>
    <row r="21" spans="1:5" s="12" customFormat="1" ht="24" customHeight="1" x14ac:dyDescent="0.3">
      <c r="A21" s="28">
        <v>60</v>
      </c>
      <c r="B21" s="29" t="s">
        <v>51</v>
      </c>
      <c r="C21" s="13">
        <v>490</v>
      </c>
      <c r="D21" s="9">
        <v>90000</v>
      </c>
      <c r="E21" s="10">
        <f t="shared" si="0"/>
        <v>44100000</v>
      </c>
    </row>
    <row r="22" spans="1:5" s="12" customFormat="1" ht="24" customHeight="1" x14ac:dyDescent="0.3">
      <c r="A22" s="28">
        <v>61</v>
      </c>
      <c r="B22" s="29" t="s">
        <v>52</v>
      </c>
      <c r="C22" s="13">
        <v>0</v>
      </c>
      <c r="D22" s="9">
        <v>90000</v>
      </c>
      <c r="E22" s="10">
        <f t="shared" si="0"/>
        <v>0</v>
      </c>
    </row>
    <row r="23" spans="1:5" s="12" customFormat="1" ht="24" customHeight="1" x14ac:dyDescent="0.3">
      <c r="A23" s="28">
        <v>62</v>
      </c>
      <c r="B23" s="29" t="s">
        <v>53</v>
      </c>
      <c r="C23" s="13">
        <v>5</v>
      </c>
      <c r="D23" s="9">
        <v>500000</v>
      </c>
      <c r="E23" s="10">
        <f t="shared" si="0"/>
        <v>2500000</v>
      </c>
    </row>
    <row r="24" spans="1:5" s="12" customFormat="1" ht="24" customHeight="1" thickBot="1" x14ac:dyDescent="0.35">
      <c r="A24" s="30">
        <v>63</v>
      </c>
      <c r="B24" s="31" t="s">
        <v>54</v>
      </c>
      <c r="C24" s="32">
        <v>0</v>
      </c>
      <c r="D24" s="16"/>
      <c r="E24" s="17">
        <f t="shared" si="0"/>
        <v>0</v>
      </c>
    </row>
    <row r="25" spans="1:5" s="12" customFormat="1" ht="24" customHeight="1" thickBot="1" x14ac:dyDescent="0.35">
      <c r="A25" s="30">
        <v>63</v>
      </c>
      <c r="B25" s="29" t="s">
        <v>55</v>
      </c>
      <c r="C25" s="13">
        <v>1204</v>
      </c>
      <c r="D25" s="9">
        <v>60000</v>
      </c>
      <c r="E25" s="41">
        <f t="shared" si="0"/>
        <v>72240000</v>
      </c>
    </row>
    <row r="26" spans="1:5" s="12" customFormat="1" ht="24" customHeight="1" thickBot="1" x14ac:dyDescent="0.35">
      <c r="A26" s="30">
        <v>63</v>
      </c>
      <c r="B26" s="29" t="s">
        <v>56</v>
      </c>
      <c r="C26" s="13">
        <v>3026</v>
      </c>
      <c r="D26" s="9">
        <v>5000</v>
      </c>
      <c r="E26" s="41">
        <f t="shared" si="0"/>
        <v>15130000</v>
      </c>
    </row>
    <row r="27" spans="1:5" s="12" customFormat="1" ht="24" customHeight="1" thickBot="1" x14ac:dyDescent="0.35">
      <c r="A27" s="30">
        <v>63</v>
      </c>
      <c r="B27" s="29" t="s">
        <v>57</v>
      </c>
      <c r="C27" s="13">
        <v>2641</v>
      </c>
      <c r="D27" s="9">
        <v>6000</v>
      </c>
      <c r="E27" s="41">
        <f t="shared" si="0"/>
        <v>15846000</v>
      </c>
    </row>
    <row r="28" spans="1:5" s="12" customFormat="1" ht="24" customHeight="1" thickBot="1" x14ac:dyDescent="0.35">
      <c r="A28" s="30">
        <v>63</v>
      </c>
      <c r="B28" s="29" t="s">
        <v>58</v>
      </c>
      <c r="C28" s="13">
        <v>344</v>
      </c>
      <c r="D28" s="9">
        <v>60000</v>
      </c>
      <c r="E28" s="41">
        <f t="shared" si="0"/>
        <v>20640000</v>
      </c>
    </row>
    <row r="29" spans="1:5" s="12" customFormat="1" ht="24" customHeight="1" x14ac:dyDescent="0.3">
      <c r="A29" s="28">
        <v>64</v>
      </c>
      <c r="B29" s="29" t="s">
        <v>59</v>
      </c>
      <c r="C29" s="13">
        <v>168</v>
      </c>
      <c r="D29" s="9">
        <v>100000</v>
      </c>
      <c r="E29" s="41">
        <f t="shared" si="0"/>
        <v>16800000</v>
      </c>
    </row>
    <row r="30" spans="1:5" s="12" customFormat="1" ht="24" customHeight="1" x14ac:dyDescent="0.3">
      <c r="A30" s="28">
        <v>65</v>
      </c>
      <c r="B30" s="29" t="s">
        <v>60</v>
      </c>
      <c r="C30" s="13">
        <v>261</v>
      </c>
      <c r="D30" s="9">
        <v>10000</v>
      </c>
      <c r="E30" s="41">
        <f t="shared" si="0"/>
        <v>2610000</v>
      </c>
    </row>
    <row r="31" spans="1:5" s="12" customFormat="1" ht="24" customHeight="1" x14ac:dyDescent="0.3">
      <c r="A31" s="28">
        <v>15</v>
      </c>
      <c r="B31" s="29" t="s">
        <v>61</v>
      </c>
      <c r="C31" s="13">
        <v>1145</v>
      </c>
      <c r="D31" s="9">
        <v>20000</v>
      </c>
      <c r="E31" s="41">
        <f t="shared" si="0"/>
        <v>22900000</v>
      </c>
    </row>
    <row r="32" spans="1:5" s="12" customFormat="1" ht="24" customHeight="1" x14ac:dyDescent="0.3">
      <c r="A32" s="28">
        <v>67</v>
      </c>
      <c r="B32" s="29" t="s">
        <v>62</v>
      </c>
      <c r="C32" s="13">
        <v>456</v>
      </c>
      <c r="D32" s="9">
        <v>200000</v>
      </c>
      <c r="E32" s="41">
        <f t="shared" si="0"/>
        <v>91200000</v>
      </c>
    </row>
    <row r="33" spans="1:7" s="12" customFormat="1" ht="24" customHeight="1" x14ac:dyDescent="0.3">
      <c r="A33" s="28">
        <v>68</v>
      </c>
      <c r="B33" s="29" t="s">
        <v>63</v>
      </c>
      <c r="C33" s="13">
        <v>147</v>
      </c>
      <c r="D33" s="9">
        <v>300000</v>
      </c>
      <c r="E33" s="41">
        <f t="shared" si="0"/>
        <v>44100000</v>
      </c>
    </row>
    <row r="34" spans="1:7" s="12" customFormat="1" ht="24" customHeight="1" x14ac:dyDescent="0.3">
      <c r="A34" s="28">
        <v>69</v>
      </c>
      <c r="B34" s="29" t="s">
        <v>64</v>
      </c>
      <c r="C34" s="13">
        <v>5</v>
      </c>
      <c r="D34" s="9">
        <v>1000000</v>
      </c>
      <c r="E34" s="41">
        <f t="shared" si="0"/>
        <v>5000000</v>
      </c>
    </row>
    <row r="35" spans="1:7" s="12" customFormat="1" ht="24" customHeight="1" x14ac:dyDescent="0.3">
      <c r="A35" s="28">
        <v>70</v>
      </c>
      <c r="B35" s="29" t="s">
        <v>65</v>
      </c>
      <c r="C35" s="13">
        <v>7</v>
      </c>
      <c r="D35" s="9">
        <v>10000000</v>
      </c>
      <c r="E35" s="41">
        <f t="shared" si="0"/>
        <v>70000000</v>
      </c>
    </row>
    <row r="36" spans="1:7" s="12" customFormat="1" ht="24" customHeight="1" x14ac:dyDescent="0.3">
      <c r="A36" s="28">
        <v>71</v>
      </c>
      <c r="B36" s="29" t="s">
        <v>66</v>
      </c>
      <c r="C36" s="13">
        <v>0</v>
      </c>
      <c r="D36" s="9"/>
      <c r="E36" s="41">
        <f t="shared" si="0"/>
        <v>0</v>
      </c>
    </row>
    <row r="37" spans="1:7" s="12" customFormat="1" ht="24" customHeight="1" x14ac:dyDescent="0.3">
      <c r="A37" s="28">
        <v>71</v>
      </c>
      <c r="B37" s="29" t="s">
        <v>67</v>
      </c>
      <c r="C37" s="13">
        <v>2</v>
      </c>
      <c r="D37" s="9">
        <v>26000000</v>
      </c>
      <c r="E37" s="41">
        <f t="shared" si="0"/>
        <v>52000000</v>
      </c>
    </row>
    <row r="38" spans="1:7" s="12" customFormat="1" ht="24" customHeight="1" x14ac:dyDescent="0.3">
      <c r="A38" s="28">
        <v>71</v>
      </c>
      <c r="B38" s="29" t="s">
        <v>68</v>
      </c>
      <c r="C38" s="13">
        <v>1</v>
      </c>
      <c r="D38" s="9">
        <v>15400000</v>
      </c>
      <c r="E38" s="41">
        <f t="shared" si="0"/>
        <v>15400000</v>
      </c>
    </row>
    <row r="39" spans="1:7" s="12" customFormat="1" ht="24" customHeight="1" x14ac:dyDescent="0.3">
      <c r="A39" s="28">
        <v>71</v>
      </c>
      <c r="B39" s="29" t="s">
        <v>69</v>
      </c>
      <c r="C39" s="13">
        <v>2</v>
      </c>
      <c r="D39" s="9">
        <v>13000000</v>
      </c>
      <c r="E39" s="41">
        <f t="shared" si="0"/>
        <v>26000000</v>
      </c>
    </row>
    <row r="40" spans="1:7" s="12" customFormat="1" ht="24" customHeight="1" x14ac:dyDescent="0.3">
      <c r="A40" s="28">
        <v>71</v>
      </c>
      <c r="B40" s="42" t="s">
        <v>70</v>
      </c>
      <c r="C40" s="43">
        <v>4</v>
      </c>
      <c r="D40" s="14">
        <v>10000000</v>
      </c>
      <c r="E40" s="44">
        <f t="shared" si="0"/>
        <v>40000000</v>
      </c>
    </row>
    <row r="41" spans="1:7" s="12" customFormat="1" ht="24" customHeight="1" x14ac:dyDescent="0.3">
      <c r="A41" s="28">
        <v>71</v>
      </c>
      <c r="B41" s="29" t="s">
        <v>71</v>
      </c>
      <c r="C41" s="13">
        <v>4</v>
      </c>
      <c r="D41" s="9">
        <v>8000000</v>
      </c>
      <c r="E41" s="41">
        <f t="shared" si="0"/>
        <v>32000000</v>
      </c>
    </row>
    <row r="42" spans="1:7" s="12" customFormat="1" ht="24" customHeight="1" x14ac:dyDescent="0.3">
      <c r="A42" s="28">
        <v>72</v>
      </c>
      <c r="B42" s="29" t="s">
        <v>72</v>
      </c>
      <c r="C42" s="13">
        <v>100</v>
      </c>
      <c r="D42" s="9">
        <v>300000</v>
      </c>
      <c r="E42" s="41">
        <f t="shared" si="0"/>
        <v>30000000</v>
      </c>
    </row>
    <row r="43" spans="1:7" s="12" customFormat="1" ht="27.75" customHeight="1" x14ac:dyDescent="0.3">
      <c r="A43" s="28">
        <v>73</v>
      </c>
      <c r="B43" s="29" t="s">
        <v>73</v>
      </c>
      <c r="C43" s="13">
        <v>0</v>
      </c>
      <c r="D43" s="9"/>
      <c r="E43" s="41">
        <f t="shared" si="0"/>
        <v>0</v>
      </c>
    </row>
    <row r="44" spans="1:7" s="12" customFormat="1" ht="28.5" customHeight="1" x14ac:dyDescent="0.3">
      <c r="A44" s="28">
        <v>73</v>
      </c>
      <c r="B44" s="29" t="s">
        <v>74</v>
      </c>
      <c r="C44" s="13">
        <v>30</v>
      </c>
      <c r="D44" s="9">
        <v>6000000</v>
      </c>
      <c r="E44" s="41">
        <f t="shared" si="0"/>
        <v>180000000</v>
      </c>
    </row>
    <row r="45" spans="1:7" s="12" customFormat="1" ht="28.5" customHeight="1" x14ac:dyDescent="0.3">
      <c r="A45" s="28">
        <v>73</v>
      </c>
      <c r="B45" s="29" t="s">
        <v>75</v>
      </c>
      <c r="C45" s="13">
        <v>30</v>
      </c>
      <c r="D45" s="9">
        <v>11000000</v>
      </c>
      <c r="E45" s="41">
        <f t="shared" si="0"/>
        <v>330000000</v>
      </c>
      <c r="G45" s="39">
        <f>SUM(E43:E51)</f>
        <v>1564400000</v>
      </c>
    </row>
    <row r="46" spans="1:7" s="12" customFormat="1" ht="28.5" customHeight="1" x14ac:dyDescent="0.3">
      <c r="A46" s="28">
        <v>73</v>
      </c>
      <c r="B46" s="29" t="s">
        <v>76</v>
      </c>
      <c r="C46" s="13">
        <v>50</v>
      </c>
      <c r="D46" s="9">
        <v>4000000</v>
      </c>
      <c r="E46" s="41">
        <f t="shared" si="0"/>
        <v>200000000</v>
      </c>
      <c r="G46" s="39">
        <f>SUM(E52:E63)</f>
        <v>1026760000</v>
      </c>
    </row>
    <row r="47" spans="1:7" s="12" customFormat="1" ht="28.5" customHeight="1" x14ac:dyDescent="0.3">
      <c r="A47" s="28">
        <v>73</v>
      </c>
      <c r="B47" s="29" t="s">
        <v>77</v>
      </c>
      <c r="C47" s="13">
        <v>30</v>
      </c>
      <c r="D47" s="9">
        <v>150000000</v>
      </c>
      <c r="E47" s="41">
        <v>150000000</v>
      </c>
      <c r="G47" s="39">
        <f>+G46+G45</f>
        <v>2591160000</v>
      </c>
    </row>
    <row r="48" spans="1:7" s="12" customFormat="1" ht="28.5" customHeight="1" x14ac:dyDescent="0.3">
      <c r="A48" s="28">
        <v>73</v>
      </c>
      <c r="B48" s="29" t="s">
        <v>78</v>
      </c>
      <c r="C48" s="13">
        <v>30</v>
      </c>
      <c r="D48" s="9">
        <v>150000000</v>
      </c>
      <c r="E48" s="41">
        <v>150000000</v>
      </c>
    </row>
    <row r="49" spans="1:5" s="12" customFormat="1" ht="28.5" customHeight="1" x14ac:dyDescent="0.3">
      <c r="A49" s="28">
        <v>73</v>
      </c>
      <c r="B49" s="29" t="s">
        <v>79</v>
      </c>
      <c r="C49" s="13">
        <v>600</v>
      </c>
      <c r="D49" s="9">
        <v>80000</v>
      </c>
      <c r="E49" s="41">
        <f t="shared" si="0"/>
        <v>48000000</v>
      </c>
    </row>
    <row r="50" spans="1:5" s="12" customFormat="1" ht="28.5" customHeight="1" x14ac:dyDescent="0.3">
      <c r="A50" s="28">
        <v>73</v>
      </c>
      <c r="B50" s="29" t="s">
        <v>80</v>
      </c>
      <c r="C50" s="13">
        <v>51</v>
      </c>
      <c r="D50" s="9">
        <v>4000000</v>
      </c>
      <c r="E50" s="41">
        <f t="shared" si="0"/>
        <v>204000000</v>
      </c>
    </row>
    <row r="51" spans="1:5" s="12" customFormat="1" ht="28.5" customHeight="1" x14ac:dyDescent="0.3">
      <c r="A51" s="28">
        <v>73</v>
      </c>
      <c r="B51" s="29" t="s">
        <v>81</v>
      </c>
      <c r="C51" s="13">
        <v>126</v>
      </c>
      <c r="D51" s="9">
        <v>2400000</v>
      </c>
      <c r="E51" s="41">
        <f t="shared" si="0"/>
        <v>302400000</v>
      </c>
    </row>
    <row r="52" spans="1:5" s="12" customFormat="1" ht="24" customHeight="1" x14ac:dyDescent="0.3">
      <c r="A52" s="28">
        <v>74</v>
      </c>
      <c r="B52" s="29" t="s">
        <v>82</v>
      </c>
      <c r="C52" s="13">
        <v>0</v>
      </c>
      <c r="D52" s="9"/>
      <c r="E52" s="10">
        <f t="shared" si="0"/>
        <v>0</v>
      </c>
    </row>
    <row r="53" spans="1:5" s="12" customFormat="1" ht="24" customHeight="1" x14ac:dyDescent="0.3">
      <c r="A53" s="28">
        <v>74</v>
      </c>
      <c r="B53" s="29" t="s">
        <v>83</v>
      </c>
      <c r="C53" s="13">
        <v>1</v>
      </c>
      <c r="D53" s="9">
        <v>300000000</v>
      </c>
      <c r="E53" s="10">
        <f t="shared" si="0"/>
        <v>300000000</v>
      </c>
    </row>
    <row r="54" spans="1:5" s="12" customFormat="1" ht="24" customHeight="1" x14ac:dyDescent="0.3">
      <c r="A54" s="28">
        <v>74</v>
      </c>
      <c r="B54" s="42" t="s">
        <v>84</v>
      </c>
      <c r="C54" s="43">
        <v>3000</v>
      </c>
      <c r="D54" s="14">
        <v>60000</v>
      </c>
      <c r="E54" s="15">
        <f>D54*C54</f>
        <v>180000000</v>
      </c>
    </row>
    <row r="55" spans="1:5" s="12" customFormat="1" ht="25.5" customHeight="1" x14ac:dyDescent="0.3">
      <c r="A55" s="28">
        <v>74</v>
      </c>
      <c r="B55" s="29" t="s">
        <v>85</v>
      </c>
      <c r="C55" s="13">
        <v>1</v>
      </c>
      <c r="D55" s="9">
        <v>150000</v>
      </c>
      <c r="E55" s="10">
        <f t="shared" si="0"/>
        <v>150000</v>
      </c>
    </row>
    <row r="56" spans="1:5" s="12" customFormat="1" ht="24" customHeight="1" x14ac:dyDescent="0.3">
      <c r="A56" s="28">
        <v>75</v>
      </c>
      <c r="B56" s="29" t="s">
        <v>86</v>
      </c>
      <c r="C56" s="13">
        <v>343</v>
      </c>
      <c r="D56" s="9">
        <v>935000.00000000012</v>
      </c>
      <c r="E56" s="10">
        <f t="shared" si="0"/>
        <v>320705000.00000006</v>
      </c>
    </row>
    <row r="57" spans="1:5" s="12" customFormat="1" ht="24" customHeight="1" x14ac:dyDescent="0.3">
      <c r="A57" s="28">
        <v>75</v>
      </c>
      <c r="B57" s="29" t="s">
        <v>87</v>
      </c>
      <c r="C57" s="13">
        <v>10</v>
      </c>
      <c r="D57" s="9">
        <v>950000</v>
      </c>
      <c r="E57" s="10">
        <f t="shared" si="0"/>
        <v>9500000</v>
      </c>
    </row>
    <row r="58" spans="1:5" s="12" customFormat="1" ht="24" customHeight="1" x14ac:dyDescent="0.3">
      <c r="A58" s="28">
        <v>76</v>
      </c>
      <c r="B58" s="29" t="s">
        <v>88</v>
      </c>
      <c r="C58" s="13">
        <v>76</v>
      </c>
      <c r="D58" s="9">
        <v>1540000</v>
      </c>
      <c r="E58" s="10">
        <f t="shared" si="0"/>
        <v>117040000</v>
      </c>
    </row>
    <row r="59" spans="1:5" s="12" customFormat="1" ht="24" customHeight="1" x14ac:dyDescent="0.3">
      <c r="A59" s="28">
        <v>77</v>
      </c>
      <c r="B59" s="29" t="s">
        <v>89</v>
      </c>
      <c r="C59" s="13">
        <v>5</v>
      </c>
      <c r="D59" s="9">
        <v>1540000</v>
      </c>
      <c r="E59" s="10">
        <f t="shared" si="0"/>
        <v>7700000</v>
      </c>
    </row>
    <row r="60" spans="1:5" s="12" customFormat="1" ht="24" customHeight="1" x14ac:dyDescent="0.3">
      <c r="A60" s="28">
        <v>77</v>
      </c>
      <c r="B60" s="29" t="s">
        <v>90</v>
      </c>
      <c r="C60" s="13">
        <v>20</v>
      </c>
      <c r="D60" s="9">
        <v>150000</v>
      </c>
      <c r="E60" s="10">
        <f t="shared" si="0"/>
        <v>3000000</v>
      </c>
    </row>
    <row r="61" spans="1:5" s="12" customFormat="1" ht="24" customHeight="1" x14ac:dyDescent="0.3">
      <c r="A61" s="28">
        <v>77</v>
      </c>
      <c r="B61" s="29" t="s">
        <v>91</v>
      </c>
      <c r="C61" s="13">
        <v>2</v>
      </c>
      <c r="D61" s="9">
        <v>150000</v>
      </c>
      <c r="E61" s="10">
        <f>D61*C61</f>
        <v>300000</v>
      </c>
    </row>
    <row r="62" spans="1:5" s="12" customFormat="1" ht="24" customHeight="1" x14ac:dyDescent="0.3">
      <c r="A62" s="28">
        <v>77</v>
      </c>
      <c r="B62" s="29" t="s">
        <v>92</v>
      </c>
      <c r="C62" s="13">
        <v>16</v>
      </c>
      <c r="D62" s="9">
        <v>150000</v>
      </c>
      <c r="E62" s="10">
        <f t="shared" si="0"/>
        <v>2400000</v>
      </c>
    </row>
    <row r="63" spans="1:5" s="12" customFormat="1" ht="24" customHeight="1" x14ac:dyDescent="0.3">
      <c r="A63" s="28">
        <v>77</v>
      </c>
      <c r="B63" s="29" t="s">
        <v>93</v>
      </c>
      <c r="C63" s="13">
        <v>521</v>
      </c>
      <c r="D63" s="9">
        <v>165000</v>
      </c>
      <c r="E63" s="10">
        <f t="shared" si="0"/>
        <v>85965000</v>
      </c>
    </row>
    <row r="64" spans="1:5" x14ac:dyDescent="0.3">
      <c r="C64" s="21"/>
      <c r="D64" s="21"/>
      <c r="E64" s="21"/>
    </row>
  </sheetData>
  <printOptions horizontalCentered="1"/>
  <pageMargins left="0.15748031496062992" right="0" top="0.31496062992125984" bottom="0.15748031496062992" header="0.15748031496062992" footer="0.15748031496062992"/>
  <pageSetup paperSize="9" scale="98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  <rowBreaks count="1" manualBreakCount="1">
    <brk id="63" max="14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3"/>
  </sheetPr>
  <dimension ref="A1:F48"/>
  <sheetViews>
    <sheetView view="pageBreakPreview" zoomScale="90" zoomScaleNormal="70" zoomScaleSheetLayoutView="90" workbookViewId="0">
      <selection activeCell="A43" sqref="A1:XFD43"/>
    </sheetView>
  </sheetViews>
  <sheetFormatPr baseColWidth="10" defaultColWidth="11.3984375" defaultRowHeight="15.5" outlineLevelCol="1" x14ac:dyDescent="0.3"/>
  <cols>
    <col min="1" max="1" width="5.09765625" style="25" customWidth="1"/>
    <col min="2" max="2" width="65.09765625" style="26" customWidth="1"/>
    <col min="3" max="3" width="4.59765625" style="2" customWidth="1"/>
    <col min="4" max="4" width="21.8984375" style="2" hidden="1" customWidth="1" outlineLevel="1"/>
    <col min="5" max="5" width="24.69921875" style="2" customWidth="1" collapsed="1"/>
    <col min="6" max="6" width="21.69921875" style="3" customWidth="1"/>
    <col min="7" max="16384" width="11.3984375" style="2"/>
  </cols>
  <sheetData>
    <row r="1" spans="1:6" s="12" customFormat="1" ht="23.25" customHeight="1" x14ac:dyDescent="0.3">
      <c r="A1" s="28">
        <v>78</v>
      </c>
      <c r="B1" s="29" t="s">
        <v>94</v>
      </c>
      <c r="C1" s="13">
        <v>20</v>
      </c>
      <c r="D1" s="9">
        <v>4000000</v>
      </c>
      <c r="E1" s="10">
        <f>D1*C1</f>
        <v>80000000</v>
      </c>
      <c r="F1" s="11"/>
    </row>
    <row r="2" spans="1:6" s="12" customFormat="1" ht="23.25" customHeight="1" x14ac:dyDescent="0.3">
      <c r="A2" s="28">
        <v>79</v>
      </c>
      <c r="B2" s="29" t="s">
        <v>95</v>
      </c>
      <c r="C2" s="13">
        <v>141</v>
      </c>
      <c r="D2" s="9">
        <v>290000</v>
      </c>
      <c r="E2" s="10">
        <f>+D2*C2</f>
        <v>40890000</v>
      </c>
      <c r="F2" s="11"/>
    </row>
    <row r="3" spans="1:6" s="12" customFormat="1" ht="23.25" customHeight="1" x14ac:dyDescent="0.3">
      <c r="A3" s="28">
        <v>79</v>
      </c>
      <c r="B3" s="29" t="s">
        <v>96</v>
      </c>
      <c r="C3" s="13">
        <v>10</v>
      </c>
      <c r="D3" s="9">
        <v>80000</v>
      </c>
      <c r="E3" s="10">
        <f>+D3*C3</f>
        <v>800000</v>
      </c>
      <c r="F3" s="11"/>
    </row>
    <row r="4" spans="1:6" s="12" customFormat="1" ht="23.25" customHeight="1" x14ac:dyDescent="0.3">
      <c r="A4" s="28">
        <v>80</v>
      </c>
      <c r="B4" s="29" t="s">
        <v>97</v>
      </c>
      <c r="C4" s="13">
        <v>89</v>
      </c>
      <c r="D4" s="9">
        <v>750000</v>
      </c>
      <c r="E4" s="10">
        <f>+D4*C4</f>
        <v>66750000</v>
      </c>
      <c r="F4" s="11"/>
    </row>
    <row r="5" spans="1:6" s="12" customFormat="1" ht="23.25" customHeight="1" x14ac:dyDescent="0.3">
      <c r="A5" s="28">
        <v>81</v>
      </c>
      <c r="B5" s="29" t="s">
        <v>98</v>
      </c>
      <c r="C5" s="13">
        <v>15</v>
      </c>
      <c r="D5" s="9">
        <v>300000</v>
      </c>
      <c r="E5" s="10">
        <f t="shared" ref="E5:E20" si="0">+D5*C5</f>
        <v>4500000</v>
      </c>
      <c r="F5" s="11"/>
    </row>
    <row r="6" spans="1:6" s="12" customFormat="1" ht="23.25" customHeight="1" x14ac:dyDescent="0.3">
      <c r="A6" s="28">
        <v>82</v>
      </c>
      <c r="B6" s="29" t="s">
        <v>99</v>
      </c>
      <c r="C6" s="13">
        <v>50</v>
      </c>
      <c r="D6" s="9">
        <v>400000</v>
      </c>
      <c r="E6" s="10">
        <f>+D6*C6</f>
        <v>20000000</v>
      </c>
      <c r="F6" s="11"/>
    </row>
    <row r="7" spans="1:6" s="12" customFormat="1" ht="23.25" customHeight="1" x14ac:dyDescent="0.3">
      <c r="A7" s="28">
        <v>83</v>
      </c>
      <c r="B7" s="29" t="s">
        <v>100</v>
      </c>
      <c r="C7" s="13">
        <v>18</v>
      </c>
      <c r="D7" s="9">
        <v>400000</v>
      </c>
      <c r="E7" s="10">
        <f t="shared" si="0"/>
        <v>7200000</v>
      </c>
      <c r="F7" s="11"/>
    </row>
    <row r="8" spans="1:6" s="12" customFormat="1" ht="23.25" customHeight="1" x14ac:dyDescent="0.3">
      <c r="A8" s="28">
        <v>84</v>
      </c>
      <c r="B8" s="29" t="s">
        <v>101</v>
      </c>
      <c r="C8" s="13">
        <v>23</v>
      </c>
      <c r="D8" s="9">
        <v>6000000</v>
      </c>
      <c r="E8" s="10">
        <f>+D8*C8</f>
        <v>138000000</v>
      </c>
      <c r="F8" s="11"/>
    </row>
    <row r="9" spans="1:6" s="46" customFormat="1" ht="23.25" customHeight="1" x14ac:dyDescent="0.3">
      <c r="A9" s="28">
        <v>85</v>
      </c>
      <c r="B9" s="29" t="s">
        <v>102</v>
      </c>
      <c r="C9" s="13">
        <v>25</v>
      </c>
      <c r="D9" s="9">
        <v>350000</v>
      </c>
      <c r="E9" s="10">
        <f t="shared" si="0"/>
        <v>8750000</v>
      </c>
      <c r="F9" s="45"/>
    </row>
    <row r="10" spans="1:6" s="12" customFormat="1" ht="23.25" customHeight="1" x14ac:dyDescent="0.3">
      <c r="A10" s="28">
        <v>86</v>
      </c>
      <c r="B10" s="29" t="s">
        <v>103</v>
      </c>
      <c r="C10" s="13">
        <v>27</v>
      </c>
      <c r="D10" s="9">
        <v>350000</v>
      </c>
      <c r="E10" s="10">
        <f t="shared" si="0"/>
        <v>9450000</v>
      </c>
      <c r="F10" s="11"/>
    </row>
    <row r="11" spans="1:6" s="12" customFormat="1" ht="23.25" customHeight="1" x14ac:dyDescent="0.3">
      <c r="A11" s="28">
        <v>87</v>
      </c>
      <c r="B11" s="47" t="s">
        <v>104</v>
      </c>
      <c r="C11" s="13">
        <v>11</v>
      </c>
      <c r="D11" s="9">
        <v>10000000</v>
      </c>
      <c r="E11" s="10">
        <f>+D11*C11</f>
        <v>110000000</v>
      </c>
      <c r="F11" s="11"/>
    </row>
    <row r="12" spans="1:6" s="12" customFormat="1" ht="23.25" customHeight="1" x14ac:dyDescent="0.3">
      <c r="A12" s="28">
        <v>87</v>
      </c>
      <c r="B12" s="29" t="s">
        <v>105</v>
      </c>
      <c r="C12" s="13">
        <v>6</v>
      </c>
      <c r="D12" s="9">
        <v>600000</v>
      </c>
      <c r="E12" s="10">
        <f>+D12*C12</f>
        <v>3600000</v>
      </c>
      <c r="F12" s="11"/>
    </row>
    <row r="13" spans="1:6" s="51" customFormat="1" ht="23.25" customHeight="1" x14ac:dyDescent="0.3">
      <c r="A13" s="48">
        <v>88</v>
      </c>
      <c r="B13" s="49" t="s">
        <v>106</v>
      </c>
      <c r="C13" s="13">
        <v>12</v>
      </c>
      <c r="D13" s="9">
        <v>110000000</v>
      </c>
      <c r="E13" s="10">
        <f>+D13*C13</f>
        <v>1320000000</v>
      </c>
      <c r="F13" s="50"/>
    </row>
    <row r="14" spans="1:6" s="12" customFormat="1" ht="23.25" customHeight="1" x14ac:dyDescent="0.3">
      <c r="A14" s="28">
        <v>89</v>
      </c>
      <c r="B14" s="52" t="s">
        <v>107</v>
      </c>
      <c r="C14" s="13">
        <v>5</v>
      </c>
      <c r="D14" s="9">
        <v>110000000</v>
      </c>
      <c r="E14" s="10">
        <f>+D14*C14</f>
        <v>550000000</v>
      </c>
      <c r="F14" s="11"/>
    </row>
    <row r="15" spans="1:6" s="12" customFormat="1" ht="36.75" customHeight="1" x14ac:dyDescent="0.3">
      <c r="A15" s="48">
        <v>90</v>
      </c>
      <c r="B15" s="52" t="s">
        <v>108</v>
      </c>
      <c r="C15" s="13">
        <v>10</v>
      </c>
      <c r="D15" s="9">
        <v>30000000</v>
      </c>
      <c r="E15" s="10">
        <f t="shared" si="0"/>
        <v>300000000</v>
      </c>
      <c r="F15" s="11"/>
    </row>
    <row r="16" spans="1:6" s="12" customFormat="1" ht="23.25" customHeight="1" x14ac:dyDescent="0.3">
      <c r="A16" s="48">
        <v>91</v>
      </c>
      <c r="B16" s="52" t="s">
        <v>109</v>
      </c>
      <c r="C16" s="13">
        <v>0</v>
      </c>
      <c r="D16" s="9"/>
      <c r="E16" s="10">
        <f t="shared" si="0"/>
        <v>0</v>
      </c>
      <c r="F16" s="11"/>
    </row>
    <row r="17" spans="1:6" s="12" customFormat="1" ht="23.25" customHeight="1" x14ac:dyDescent="0.3">
      <c r="A17" s="48">
        <v>91</v>
      </c>
      <c r="B17" s="52" t="s">
        <v>110</v>
      </c>
      <c r="C17" s="13">
        <v>112</v>
      </c>
      <c r="D17" s="9">
        <v>275000</v>
      </c>
      <c r="E17" s="10">
        <f t="shared" si="0"/>
        <v>30800000</v>
      </c>
      <c r="F17" s="11">
        <f>SUM(E13:E24)</f>
        <v>2286300000</v>
      </c>
    </row>
    <row r="18" spans="1:6" s="12" customFormat="1" ht="23.25" customHeight="1" x14ac:dyDescent="0.3">
      <c r="A18" s="48">
        <v>91</v>
      </c>
      <c r="B18" s="52" t="s">
        <v>111</v>
      </c>
      <c r="C18" s="13">
        <v>32</v>
      </c>
      <c r="D18" s="9">
        <v>605000</v>
      </c>
      <c r="E18" s="10">
        <f t="shared" si="0"/>
        <v>19360000</v>
      </c>
      <c r="F18" s="11">
        <f>SUM(E25:E43)</f>
        <v>332200000</v>
      </c>
    </row>
    <row r="19" spans="1:6" s="12" customFormat="1" ht="23.25" customHeight="1" x14ac:dyDescent="0.3">
      <c r="A19" s="48">
        <v>91</v>
      </c>
      <c r="B19" s="52" t="s">
        <v>112</v>
      </c>
      <c r="C19" s="13">
        <v>91</v>
      </c>
      <c r="D19" s="9">
        <v>60000</v>
      </c>
      <c r="E19" s="10">
        <f t="shared" si="0"/>
        <v>5460000</v>
      </c>
      <c r="F19" s="11">
        <f>+F17+F18</f>
        <v>2618500000</v>
      </c>
    </row>
    <row r="20" spans="1:6" s="12" customFormat="1" ht="23.25" customHeight="1" x14ac:dyDescent="0.3">
      <c r="A20" s="48">
        <v>91</v>
      </c>
      <c r="B20" s="52" t="s">
        <v>113</v>
      </c>
      <c r="C20" s="13">
        <v>158</v>
      </c>
      <c r="D20" s="9">
        <v>60000</v>
      </c>
      <c r="E20" s="10">
        <f t="shared" si="0"/>
        <v>9480000</v>
      </c>
      <c r="F20" s="11"/>
    </row>
    <row r="21" spans="1:6" s="12" customFormat="1" ht="29.25" customHeight="1" x14ac:dyDescent="0.3">
      <c r="A21" s="48">
        <v>91</v>
      </c>
      <c r="B21" s="53" t="s">
        <v>114</v>
      </c>
      <c r="C21" s="43">
        <v>92</v>
      </c>
      <c r="D21" s="44">
        <v>400000</v>
      </c>
      <c r="E21" s="15">
        <f>+D21*C21</f>
        <v>36800000</v>
      </c>
      <c r="F21" s="11"/>
    </row>
    <row r="22" spans="1:6" s="12" customFormat="1" ht="29.25" customHeight="1" x14ac:dyDescent="0.3">
      <c r="A22" s="48">
        <v>91</v>
      </c>
      <c r="B22" s="52" t="s">
        <v>115</v>
      </c>
      <c r="C22" s="13">
        <v>28</v>
      </c>
      <c r="D22" s="41">
        <v>400000</v>
      </c>
      <c r="E22" s="10">
        <f>+D22*C22</f>
        <v>11200000</v>
      </c>
      <c r="F22" s="11"/>
    </row>
    <row r="23" spans="1:6" s="12" customFormat="1" ht="29.25" customHeight="1" x14ac:dyDescent="0.3">
      <c r="A23" s="48">
        <v>91</v>
      </c>
      <c r="B23" s="52" t="s">
        <v>116</v>
      </c>
      <c r="C23" s="13">
        <v>8</v>
      </c>
      <c r="D23" s="41">
        <v>400000</v>
      </c>
      <c r="E23" s="10">
        <f>+D23*C23</f>
        <v>3200000</v>
      </c>
      <c r="F23" s="11"/>
    </row>
    <row r="24" spans="1:6" s="12" customFormat="1" ht="29.25" customHeight="1" thickBot="1" x14ac:dyDescent="0.35">
      <c r="A24" s="48">
        <v>91</v>
      </c>
      <c r="B24" s="31" t="s">
        <v>117</v>
      </c>
      <c r="C24" s="32">
        <v>0</v>
      </c>
      <c r="D24" s="55">
        <v>400000</v>
      </c>
      <c r="E24" s="17">
        <f>+D24*C24</f>
        <v>0</v>
      </c>
      <c r="F24" s="11"/>
    </row>
    <row r="25" spans="1:6" s="12" customFormat="1" ht="29.25" customHeight="1" x14ac:dyDescent="0.3">
      <c r="A25" s="48">
        <v>91</v>
      </c>
      <c r="B25" s="52" t="s">
        <v>118</v>
      </c>
      <c r="C25" s="13">
        <v>3</v>
      </c>
      <c r="D25" s="41">
        <v>400000</v>
      </c>
      <c r="E25" s="10">
        <f>+D25*C25</f>
        <v>1200000</v>
      </c>
      <c r="F25" s="11"/>
    </row>
    <row r="26" spans="1:6" s="12" customFormat="1" ht="29.25" customHeight="1" x14ac:dyDescent="0.3">
      <c r="A26" s="48">
        <v>92</v>
      </c>
      <c r="B26" s="52" t="s">
        <v>119</v>
      </c>
      <c r="C26" s="13">
        <v>0</v>
      </c>
      <c r="D26" s="9"/>
      <c r="E26" s="10">
        <f t="shared" ref="E26" si="1">+D26*C26</f>
        <v>0</v>
      </c>
      <c r="F26" s="11"/>
    </row>
    <row r="27" spans="1:6" s="12" customFormat="1" ht="35.25" customHeight="1" x14ac:dyDescent="0.3">
      <c r="A27" s="48">
        <v>92</v>
      </c>
      <c r="B27" s="52" t="s">
        <v>120</v>
      </c>
      <c r="C27" s="13">
        <v>3</v>
      </c>
      <c r="D27" s="9">
        <v>20000000</v>
      </c>
      <c r="E27" s="10">
        <v>80000000</v>
      </c>
      <c r="F27" s="11"/>
    </row>
    <row r="28" spans="1:6" s="12" customFormat="1" ht="35.25" customHeight="1" x14ac:dyDescent="0.3">
      <c r="A28" s="48">
        <v>92</v>
      </c>
      <c r="B28" s="52" t="s">
        <v>121</v>
      </c>
      <c r="C28" s="13">
        <v>125</v>
      </c>
      <c r="D28" s="9"/>
      <c r="E28" s="10">
        <v>150000000</v>
      </c>
      <c r="F28" s="11"/>
    </row>
    <row r="29" spans="1:6" s="12" customFormat="1" ht="29.25" customHeight="1" x14ac:dyDescent="0.3">
      <c r="A29" s="48">
        <v>92</v>
      </c>
      <c r="B29" s="52" t="s">
        <v>122</v>
      </c>
      <c r="C29" s="13">
        <v>3</v>
      </c>
      <c r="D29" s="9">
        <v>1000000</v>
      </c>
      <c r="E29" s="10">
        <v>4000000</v>
      </c>
      <c r="F29" s="11"/>
    </row>
    <row r="30" spans="1:6" s="12" customFormat="1" ht="29.25" customHeight="1" x14ac:dyDescent="0.3">
      <c r="A30" s="48">
        <v>92</v>
      </c>
      <c r="B30" s="49" t="s">
        <v>123</v>
      </c>
      <c r="C30" s="13">
        <v>5</v>
      </c>
      <c r="D30" s="9">
        <v>3000000</v>
      </c>
      <c r="E30" s="10">
        <v>15000000</v>
      </c>
      <c r="F30" s="11"/>
    </row>
    <row r="31" spans="1:6" s="12" customFormat="1" ht="29.25" customHeight="1" x14ac:dyDescent="0.3">
      <c r="A31" s="48">
        <v>92</v>
      </c>
      <c r="B31" s="49" t="s">
        <v>124</v>
      </c>
      <c r="C31" s="13">
        <v>5</v>
      </c>
      <c r="D31" s="9">
        <v>3000000</v>
      </c>
      <c r="E31" s="10">
        <v>15000000</v>
      </c>
      <c r="F31" s="11"/>
    </row>
    <row r="32" spans="1:6" s="12" customFormat="1" ht="29.25" customHeight="1" x14ac:dyDescent="0.3">
      <c r="A32" s="48">
        <v>92</v>
      </c>
      <c r="B32" s="49" t="s">
        <v>125</v>
      </c>
      <c r="C32" s="13">
        <v>5</v>
      </c>
      <c r="D32" s="9">
        <v>3000000</v>
      </c>
      <c r="E32" s="10">
        <v>15000000</v>
      </c>
      <c r="F32" s="11"/>
    </row>
    <row r="33" spans="1:6" s="12" customFormat="1" ht="29.25" customHeight="1" x14ac:dyDescent="0.3">
      <c r="A33" s="48">
        <v>92</v>
      </c>
      <c r="B33" s="52" t="s">
        <v>126</v>
      </c>
      <c r="C33" s="13">
        <v>7</v>
      </c>
      <c r="D33" s="9">
        <v>3000000</v>
      </c>
      <c r="E33" s="10">
        <v>30000000</v>
      </c>
      <c r="F33" s="11"/>
    </row>
    <row r="34" spans="1:6" s="12" customFormat="1" ht="29.25" customHeight="1" x14ac:dyDescent="0.3">
      <c r="A34" s="48">
        <v>92</v>
      </c>
      <c r="B34" s="29" t="s">
        <v>127</v>
      </c>
      <c r="C34" s="13">
        <v>5</v>
      </c>
      <c r="D34" s="9">
        <v>150000</v>
      </c>
      <c r="E34" s="10">
        <v>750000</v>
      </c>
      <c r="F34" s="11"/>
    </row>
    <row r="35" spans="1:6" s="12" customFormat="1" ht="29.25" customHeight="1" x14ac:dyDescent="0.3">
      <c r="A35" s="48">
        <v>92</v>
      </c>
      <c r="B35" s="52" t="s">
        <v>128</v>
      </c>
      <c r="C35" s="13">
        <v>12</v>
      </c>
      <c r="D35" s="9">
        <v>200000</v>
      </c>
      <c r="E35" s="10">
        <v>3600000</v>
      </c>
      <c r="F35" s="11"/>
    </row>
    <row r="36" spans="1:6" s="12" customFormat="1" ht="29.25" customHeight="1" x14ac:dyDescent="0.3">
      <c r="A36" s="48">
        <v>92</v>
      </c>
      <c r="B36" s="52" t="s">
        <v>129</v>
      </c>
      <c r="C36" s="13">
        <v>0</v>
      </c>
      <c r="D36" s="9">
        <v>1500000</v>
      </c>
      <c r="E36" s="10">
        <f t="shared" ref="E36:E43" si="2">+D36*C36</f>
        <v>0</v>
      </c>
      <c r="F36" s="11"/>
    </row>
    <row r="37" spans="1:6" s="12" customFormat="1" ht="29.25" customHeight="1" x14ac:dyDescent="0.3">
      <c r="A37" s="48">
        <v>92</v>
      </c>
      <c r="B37" s="52" t="s">
        <v>130</v>
      </c>
      <c r="C37" s="13">
        <v>0</v>
      </c>
      <c r="D37" s="9">
        <v>1500000</v>
      </c>
      <c r="E37" s="10">
        <f t="shared" si="2"/>
        <v>0</v>
      </c>
      <c r="F37" s="11"/>
    </row>
    <row r="38" spans="1:6" s="12" customFormat="1" ht="29.25" customHeight="1" x14ac:dyDescent="0.3">
      <c r="A38" s="48">
        <v>92</v>
      </c>
      <c r="B38" s="52" t="s">
        <v>131</v>
      </c>
      <c r="C38" s="13">
        <v>0</v>
      </c>
      <c r="D38" s="9">
        <v>150000</v>
      </c>
      <c r="E38" s="10">
        <f t="shared" si="2"/>
        <v>0</v>
      </c>
      <c r="F38" s="11"/>
    </row>
    <row r="39" spans="1:6" s="12" customFormat="1" ht="29.25" customHeight="1" x14ac:dyDescent="0.3">
      <c r="A39" s="48">
        <v>92</v>
      </c>
      <c r="B39" s="52" t="s">
        <v>132</v>
      </c>
      <c r="C39" s="13">
        <v>0</v>
      </c>
      <c r="D39" s="9">
        <v>300000</v>
      </c>
      <c r="E39" s="10">
        <f t="shared" si="2"/>
        <v>0</v>
      </c>
      <c r="F39" s="11"/>
    </row>
    <row r="40" spans="1:6" s="12" customFormat="1" ht="29.25" customHeight="1" x14ac:dyDescent="0.3">
      <c r="A40" s="48">
        <v>92</v>
      </c>
      <c r="B40" s="52" t="s">
        <v>133</v>
      </c>
      <c r="C40" s="13">
        <v>1</v>
      </c>
      <c r="D40" s="9">
        <v>3000000</v>
      </c>
      <c r="E40" s="10">
        <f t="shared" si="2"/>
        <v>3000000</v>
      </c>
      <c r="F40" s="11"/>
    </row>
    <row r="41" spans="1:6" s="12" customFormat="1" ht="29.25" customHeight="1" x14ac:dyDescent="0.3">
      <c r="A41" s="48">
        <v>92</v>
      </c>
      <c r="B41" s="52" t="s">
        <v>134</v>
      </c>
      <c r="C41" s="13">
        <v>1</v>
      </c>
      <c r="D41" s="9">
        <v>150000</v>
      </c>
      <c r="E41" s="10">
        <f t="shared" si="2"/>
        <v>150000</v>
      </c>
      <c r="F41" s="11"/>
    </row>
    <row r="42" spans="1:6" s="12" customFormat="1" ht="29.25" customHeight="1" x14ac:dyDescent="0.3">
      <c r="A42" s="48">
        <v>92</v>
      </c>
      <c r="B42" s="52" t="s">
        <v>135</v>
      </c>
      <c r="C42" s="13">
        <v>15</v>
      </c>
      <c r="D42" s="9">
        <v>300000</v>
      </c>
      <c r="E42" s="10">
        <f t="shared" si="2"/>
        <v>4500000</v>
      </c>
      <c r="F42" s="11"/>
    </row>
    <row r="43" spans="1:6" s="12" customFormat="1" ht="29.25" customHeight="1" x14ac:dyDescent="0.3">
      <c r="A43" s="48">
        <v>92</v>
      </c>
      <c r="B43" s="52" t="s">
        <v>136</v>
      </c>
      <c r="C43" s="13">
        <v>1</v>
      </c>
      <c r="D43" s="9">
        <v>10000000</v>
      </c>
      <c r="E43" s="10">
        <f t="shared" si="2"/>
        <v>10000000</v>
      </c>
      <c r="F43" s="11"/>
    </row>
    <row r="45" spans="1:6" s="58" customFormat="1" ht="25.5" customHeight="1" x14ac:dyDescent="0.3">
      <c r="A45" s="56"/>
      <c r="B45" s="57"/>
      <c r="E45" s="59"/>
      <c r="F45" s="60"/>
    </row>
    <row r="47" spans="1:6" x14ac:dyDescent="0.3">
      <c r="E47" s="38"/>
    </row>
    <row r="48" spans="1:6" x14ac:dyDescent="0.3">
      <c r="E48" s="38"/>
    </row>
  </sheetData>
  <printOptions horizontalCentered="1"/>
  <pageMargins left="0" right="0" top="0.39370078740157483" bottom="0.15748031496062992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3"/>
  </sheetPr>
  <dimension ref="A1:OYB7"/>
  <sheetViews>
    <sheetView view="pageBreakPreview" zoomScale="80" zoomScaleSheetLayoutView="80" workbookViewId="0">
      <selection sqref="A1:XFD4"/>
    </sheetView>
  </sheetViews>
  <sheetFormatPr baseColWidth="10" defaultRowHeight="15.5" outlineLevelCol="1" x14ac:dyDescent="0.3"/>
  <cols>
    <col min="1" max="1" width="4" style="25" customWidth="1"/>
    <col min="2" max="2" width="50.69921875" style="26" customWidth="1"/>
    <col min="3" max="3" width="8.296875" style="2" customWidth="1"/>
    <col min="4" max="4" width="21.8984375" style="2" customWidth="1" outlineLevel="1"/>
    <col min="5" max="5" width="27" style="2" customWidth="1"/>
    <col min="6" max="7" width="12.3984375" style="34" bestFit="1" customWidth="1"/>
    <col min="8" max="10792" width="11.3984375" style="34"/>
    <col min="10793" max="16384" width="11.3984375" style="2"/>
  </cols>
  <sheetData>
    <row r="1" spans="1:10792" s="54" customFormat="1" ht="37.5" customHeight="1" x14ac:dyDescent="0.3">
      <c r="A1" s="48">
        <v>93</v>
      </c>
      <c r="B1" s="52" t="s">
        <v>137</v>
      </c>
      <c r="C1" s="13">
        <v>8</v>
      </c>
      <c r="D1" s="9">
        <v>6000000</v>
      </c>
      <c r="E1" s="10">
        <f>+D1*C1</f>
        <v>48000000</v>
      </c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</row>
    <row r="2" spans="1:10792" s="54" customFormat="1" ht="37.5" customHeight="1" x14ac:dyDescent="0.3">
      <c r="A2" s="48">
        <v>94</v>
      </c>
      <c r="B2" s="52" t="s">
        <v>138</v>
      </c>
      <c r="C2" s="13">
        <v>20</v>
      </c>
      <c r="D2" s="9">
        <f>E2/C2</f>
        <v>2250000</v>
      </c>
      <c r="E2" s="10">
        <v>45000000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</row>
    <row r="3" spans="1:10792" s="54" customFormat="1" ht="37.5" customHeight="1" x14ac:dyDescent="0.3">
      <c r="A3" s="48">
        <v>95</v>
      </c>
      <c r="B3" s="52" t="s">
        <v>139</v>
      </c>
      <c r="C3" s="13">
        <v>0</v>
      </c>
      <c r="D3" s="9"/>
      <c r="E3" s="10">
        <f>+D3*C3</f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</row>
    <row r="4" spans="1:10792" s="54" customFormat="1" ht="37.5" customHeight="1" x14ac:dyDescent="0.3">
      <c r="A4" s="48">
        <v>96</v>
      </c>
      <c r="B4" s="52" t="s">
        <v>140</v>
      </c>
      <c r="C4" s="13" t="s">
        <v>141</v>
      </c>
      <c r="D4" s="9"/>
      <c r="E4" s="10">
        <v>5600000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</row>
    <row r="6" spans="1:10792" s="58" customFormat="1" ht="14" x14ac:dyDescent="0.3">
      <c r="A6" s="56"/>
      <c r="B6" s="57"/>
      <c r="E6" s="59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61"/>
      <c r="MW6" s="61"/>
      <c r="MX6" s="61"/>
      <c r="MY6" s="61"/>
      <c r="MZ6" s="61"/>
      <c r="NA6" s="61"/>
      <c r="NB6" s="61"/>
      <c r="NC6" s="61"/>
      <c r="ND6" s="61"/>
      <c r="NE6" s="61"/>
      <c r="NF6" s="61"/>
      <c r="NG6" s="61"/>
      <c r="NH6" s="61"/>
      <c r="NI6" s="61"/>
      <c r="NJ6" s="61"/>
      <c r="NK6" s="61"/>
      <c r="NL6" s="61"/>
      <c r="NM6" s="61"/>
      <c r="NN6" s="61"/>
      <c r="NO6" s="61"/>
      <c r="NP6" s="61"/>
      <c r="NQ6" s="61"/>
      <c r="NR6" s="61"/>
      <c r="NS6" s="61"/>
      <c r="NT6" s="61"/>
      <c r="NU6" s="61"/>
      <c r="NV6" s="61"/>
      <c r="NW6" s="61"/>
      <c r="NX6" s="61"/>
      <c r="NY6" s="61"/>
      <c r="NZ6" s="61"/>
      <c r="OA6" s="61"/>
      <c r="OB6" s="61"/>
      <c r="OC6" s="61"/>
      <c r="OD6" s="61"/>
      <c r="OE6" s="61"/>
      <c r="OF6" s="61"/>
      <c r="OG6" s="61"/>
      <c r="OH6" s="61"/>
      <c r="OI6" s="61"/>
      <c r="OJ6" s="61"/>
      <c r="OK6" s="61"/>
      <c r="OL6" s="61"/>
      <c r="OM6" s="61"/>
      <c r="ON6" s="61"/>
      <c r="OO6" s="61"/>
      <c r="OP6" s="61"/>
      <c r="OQ6" s="61"/>
      <c r="OR6" s="61"/>
      <c r="OS6" s="61"/>
      <c r="OT6" s="61"/>
      <c r="OU6" s="61"/>
      <c r="OV6" s="61"/>
      <c r="OW6" s="61"/>
      <c r="OX6" s="61"/>
      <c r="OY6" s="61"/>
      <c r="OZ6" s="61"/>
      <c r="PA6" s="61"/>
      <c r="PB6" s="61"/>
      <c r="PC6" s="61"/>
      <c r="PD6" s="61"/>
      <c r="PE6" s="61"/>
      <c r="PF6" s="61"/>
      <c r="PG6" s="61"/>
      <c r="PH6" s="61"/>
      <c r="PI6" s="61"/>
      <c r="PJ6" s="61"/>
      <c r="PK6" s="61"/>
      <c r="PL6" s="61"/>
      <c r="PM6" s="61"/>
      <c r="PN6" s="61"/>
      <c r="PO6" s="61"/>
      <c r="PP6" s="61"/>
      <c r="PQ6" s="61"/>
      <c r="PR6" s="61"/>
      <c r="PS6" s="61"/>
      <c r="PT6" s="61"/>
      <c r="PU6" s="61"/>
      <c r="PV6" s="61"/>
      <c r="PW6" s="61"/>
      <c r="PX6" s="61"/>
      <c r="PY6" s="61"/>
      <c r="PZ6" s="61"/>
      <c r="QA6" s="61"/>
      <c r="QB6" s="61"/>
      <c r="QC6" s="61"/>
      <c r="QD6" s="61"/>
      <c r="QE6" s="61"/>
      <c r="QF6" s="61"/>
      <c r="QG6" s="61"/>
      <c r="QH6" s="61"/>
      <c r="QI6" s="61"/>
      <c r="QJ6" s="61"/>
      <c r="QK6" s="61"/>
      <c r="QL6" s="61"/>
      <c r="QM6" s="61"/>
      <c r="QN6" s="61"/>
      <c r="QO6" s="61"/>
      <c r="QP6" s="61"/>
      <c r="QQ6" s="61"/>
      <c r="QR6" s="61"/>
      <c r="QS6" s="61"/>
      <c r="QT6" s="61"/>
      <c r="QU6" s="61"/>
      <c r="QV6" s="61"/>
      <c r="QW6" s="61"/>
      <c r="QX6" s="61"/>
      <c r="QY6" s="61"/>
      <c r="QZ6" s="61"/>
      <c r="RA6" s="61"/>
      <c r="RB6" s="61"/>
      <c r="RC6" s="61"/>
      <c r="RD6" s="61"/>
      <c r="RE6" s="61"/>
      <c r="RF6" s="61"/>
      <c r="RG6" s="61"/>
      <c r="RH6" s="61"/>
      <c r="RI6" s="61"/>
      <c r="RJ6" s="61"/>
      <c r="RK6" s="61"/>
      <c r="RL6" s="61"/>
      <c r="RM6" s="61"/>
      <c r="RN6" s="61"/>
      <c r="RO6" s="61"/>
      <c r="RP6" s="61"/>
      <c r="RQ6" s="61"/>
      <c r="RR6" s="61"/>
      <c r="RS6" s="61"/>
      <c r="RT6" s="61"/>
      <c r="RU6" s="61"/>
      <c r="RV6" s="61"/>
      <c r="RW6" s="61"/>
      <c r="RX6" s="61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1"/>
      <c r="SR6" s="61"/>
      <c r="SS6" s="61"/>
      <c r="ST6" s="61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1"/>
      <c r="ACE6" s="61"/>
      <c r="ACF6" s="61"/>
      <c r="ACG6" s="61"/>
      <c r="ACH6" s="61"/>
      <c r="ACI6" s="61"/>
      <c r="ACJ6" s="61"/>
      <c r="ACK6" s="61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1"/>
      <c r="ADA6" s="61"/>
      <c r="ADB6" s="61"/>
      <c r="ADC6" s="61"/>
      <c r="ADD6" s="61"/>
      <c r="ADE6" s="61"/>
      <c r="ADF6" s="61"/>
      <c r="ADG6" s="61"/>
      <c r="ADH6" s="61"/>
      <c r="ADI6" s="61"/>
      <c r="ADJ6" s="61"/>
      <c r="ADK6" s="61"/>
      <c r="ADL6" s="61"/>
      <c r="ADM6" s="61"/>
      <c r="ADN6" s="61"/>
      <c r="ADO6" s="61"/>
      <c r="ADP6" s="61"/>
      <c r="ADQ6" s="61"/>
      <c r="ADR6" s="61"/>
      <c r="ADS6" s="61"/>
      <c r="ADT6" s="61"/>
      <c r="ADU6" s="61"/>
      <c r="ADV6" s="61"/>
      <c r="ADW6" s="61"/>
      <c r="ADX6" s="61"/>
      <c r="ADY6" s="61"/>
      <c r="ADZ6" s="61"/>
      <c r="AEA6" s="61"/>
      <c r="AEB6" s="61"/>
      <c r="AEC6" s="61"/>
      <c r="AED6" s="61"/>
      <c r="AEE6" s="61"/>
      <c r="AEF6" s="61"/>
      <c r="AEG6" s="61"/>
      <c r="AEH6" s="61"/>
      <c r="AEI6" s="61"/>
      <c r="AEJ6" s="61"/>
      <c r="AEK6" s="61"/>
      <c r="AEL6" s="61"/>
      <c r="AEM6" s="61"/>
      <c r="AEN6" s="61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1"/>
      <c r="AFH6" s="61"/>
      <c r="AFI6" s="61"/>
      <c r="AFJ6" s="61"/>
      <c r="AFK6" s="61"/>
      <c r="AFL6" s="61"/>
      <c r="AFM6" s="61"/>
      <c r="AFN6" s="61"/>
      <c r="AFO6" s="61"/>
      <c r="AFP6" s="61"/>
      <c r="AFQ6" s="61"/>
      <c r="AFR6" s="61"/>
      <c r="AFS6" s="61"/>
      <c r="AFT6" s="61"/>
      <c r="AFU6" s="61"/>
      <c r="AFV6" s="61"/>
      <c r="AFW6" s="61"/>
      <c r="AFX6" s="61"/>
      <c r="AFY6" s="61"/>
      <c r="AFZ6" s="61"/>
      <c r="AGA6" s="61"/>
      <c r="AGB6" s="61"/>
      <c r="AGC6" s="61"/>
      <c r="AGD6" s="61"/>
      <c r="AGE6" s="61"/>
      <c r="AGF6" s="61"/>
      <c r="AGG6" s="61"/>
      <c r="AGH6" s="61"/>
      <c r="AGI6" s="61"/>
      <c r="AGJ6" s="61"/>
      <c r="AGK6" s="61"/>
      <c r="AGL6" s="61"/>
      <c r="AGM6" s="61"/>
      <c r="AGN6" s="61"/>
      <c r="AGO6" s="61"/>
      <c r="AGP6" s="61"/>
      <c r="AGQ6" s="61"/>
      <c r="AGR6" s="61"/>
      <c r="AGS6" s="61"/>
      <c r="AGT6" s="61"/>
      <c r="AGU6" s="61"/>
      <c r="AGV6" s="61"/>
      <c r="AGW6" s="61"/>
      <c r="AGX6" s="61"/>
      <c r="AGY6" s="61"/>
      <c r="AGZ6" s="61"/>
      <c r="AHA6" s="61"/>
      <c r="AHB6" s="61"/>
      <c r="AHC6" s="61"/>
      <c r="AHD6" s="61"/>
      <c r="AHE6" s="61"/>
      <c r="AHF6" s="61"/>
      <c r="AHG6" s="61"/>
      <c r="AHH6" s="61"/>
      <c r="AHI6" s="61"/>
      <c r="AHJ6" s="61"/>
      <c r="AHK6" s="61"/>
      <c r="AHL6" s="61"/>
      <c r="AHM6" s="61"/>
      <c r="AHN6" s="61"/>
      <c r="AHO6" s="61"/>
      <c r="AHP6" s="61"/>
      <c r="AHQ6" s="61"/>
      <c r="AHR6" s="61"/>
      <c r="AHS6" s="61"/>
      <c r="AHT6" s="61"/>
      <c r="AHU6" s="61"/>
      <c r="AHV6" s="61"/>
      <c r="AHW6" s="61"/>
      <c r="AHX6" s="61"/>
      <c r="AHY6" s="61"/>
      <c r="AHZ6" s="61"/>
      <c r="AIA6" s="61"/>
      <c r="AIB6" s="61"/>
      <c r="AIC6" s="61"/>
      <c r="AID6" s="61"/>
      <c r="AIE6" s="61"/>
      <c r="AIF6" s="61"/>
      <c r="AIG6" s="61"/>
      <c r="AIH6" s="61"/>
      <c r="AII6" s="61"/>
      <c r="AIJ6" s="61"/>
      <c r="AIK6" s="61"/>
      <c r="AIL6" s="61"/>
      <c r="AIM6" s="61"/>
      <c r="AIN6" s="61"/>
      <c r="AIO6" s="61"/>
      <c r="AIP6" s="61"/>
      <c r="AIQ6" s="61"/>
      <c r="AIR6" s="61"/>
      <c r="AIS6" s="61"/>
      <c r="AIT6" s="61"/>
      <c r="AIU6" s="61"/>
      <c r="AIV6" s="61"/>
      <c r="AIW6" s="61"/>
      <c r="AIX6" s="61"/>
      <c r="AIY6" s="61"/>
      <c r="AIZ6" s="61"/>
      <c r="AJA6" s="61"/>
      <c r="AJB6" s="61"/>
      <c r="AJC6" s="61"/>
      <c r="AJD6" s="61"/>
      <c r="AJE6" s="61"/>
      <c r="AJF6" s="61"/>
      <c r="AJG6" s="61"/>
      <c r="AJH6" s="61"/>
      <c r="AJI6" s="61"/>
      <c r="AJJ6" s="61"/>
      <c r="AJK6" s="61"/>
      <c r="AJL6" s="61"/>
      <c r="AJM6" s="61"/>
      <c r="AJN6" s="61"/>
      <c r="AJO6" s="61"/>
      <c r="AJP6" s="61"/>
      <c r="AJQ6" s="61"/>
      <c r="AJR6" s="61"/>
      <c r="AJS6" s="61"/>
      <c r="AJT6" s="61"/>
      <c r="AJU6" s="61"/>
      <c r="AJV6" s="61"/>
      <c r="AJW6" s="61"/>
      <c r="AJX6" s="61"/>
      <c r="AJY6" s="61"/>
      <c r="AJZ6" s="61"/>
      <c r="AKA6" s="61"/>
      <c r="AKB6" s="61"/>
      <c r="AKC6" s="61"/>
      <c r="AKD6" s="61"/>
      <c r="AKE6" s="61"/>
      <c r="AKF6" s="61"/>
      <c r="AKG6" s="61"/>
      <c r="AKH6" s="61"/>
      <c r="AKI6" s="61"/>
      <c r="AKJ6" s="61"/>
      <c r="AKK6" s="61"/>
      <c r="AKL6" s="61"/>
      <c r="AKM6" s="61"/>
      <c r="AKN6" s="61"/>
      <c r="AKO6" s="61"/>
      <c r="AKP6" s="61"/>
      <c r="AKQ6" s="61"/>
      <c r="AKR6" s="61"/>
      <c r="AKS6" s="61"/>
      <c r="AKT6" s="61"/>
      <c r="AKU6" s="61"/>
      <c r="AKV6" s="61"/>
      <c r="AKW6" s="61"/>
      <c r="AKX6" s="61"/>
      <c r="AKY6" s="61"/>
      <c r="AKZ6" s="61"/>
      <c r="ALA6" s="61"/>
      <c r="ALB6" s="61"/>
      <c r="ALC6" s="61"/>
      <c r="ALD6" s="61"/>
      <c r="ALE6" s="61"/>
      <c r="ALF6" s="61"/>
      <c r="ALG6" s="61"/>
      <c r="ALH6" s="61"/>
      <c r="ALI6" s="61"/>
      <c r="ALJ6" s="61"/>
      <c r="ALK6" s="61"/>
      <c r="ALL6" s="61"/>
      <c r="ALM6" s="61"/>
      <c r="ALN6" s="61"/>
      <c r="ALO6" s="61"/>
      <c r="ALP6" s="61"/>
      <c r="ALQ6" s="61"/>
      <c r="ALR6" s="61"/>
      <c r="ALS6" s="61"/>
      <c r="ALT6" s="61"/>
      <c r="ALU6" s="61"/>
      <c r="ALV6" s="61"/>
      <c r="ALW6" s="61"/>
      <c r="ALX6" s="61"/>
      <c r="ALY6" s="61"/>
      <c r="ALZ6" s="61"/>
      <c r="AMA6" s="61"/>
      <c r="AMB6" s="61"/>
      <c r="AMC6" s="61"/>
      <c r="AMD6" s="61"/>
      <c r="AME6" s="61"/>
      <c r="AMF6" s="61"/>
      <c r="AMG6" s="61"/>
      <c r="AMH6" s="61"/>
      <c r="AMI6" s="61"/>
      <c r="AMJ6" s="61"/>
      <c r="AMK6" s="61"/>
      <c r="AML6" s="61"/>
      <c r="AMM6" s="61"/>
      <c r="AMN6" s="61"/>
      <c r="AMO6" s="61"/>
      <c r="AMP6" s="61"/>
      <c r="AMQ6" s="61"/>
      <c r="AMR6" s="61"/>
      <c r="AMS6" s="61"/>
      <c r="AMT6" s="61"/>
      <c r="AMU6" s="61"/>
      <c r="AMV6" s="61"/>
      <c r="AMW6" s="61"/>
      <c r="AMX6" s="61"/>
      <c r="AMY6" s="61"/>
      <c r="AMZ6" s="61"/>
      <c r="ANA6" s="61"/>
      <c r="ANB6" s="61"/>
      <c r="ANC6" s="61"/>
      <c r="AND6" s="61"/>
      <c r="ANE6" s="61"/>
      <c r="ANF6" s="61"/>
      <c r="ANG6" s="61"/>
      <c r="ANH6" s="61"/>
      <c r="ANI6" s="61"/>
      <c r="ANJ6" s="61"/>
      <c r="ANK6" s="61"/>
      <c r="ANL6" s="61"/>
      <c r="ANM6" s="61"/>
      <c r="ANN6" s="61"/>
      <c r="ANO6" s="61"/>
      <c r="ANP6" s="61"/>
      <c r="ANQ6" s="61"/>
      <c r="ANR6" s="61"/>
      <c r="ANS6" s="61"/>
      <c r="ANT6" s="61"/>
      <c r="ANU6" s="61"/>
      <c r="ANV6" s="61"/>
      <c r="ANW6" s="61"/>
      <c r="ANX6" s="61"/>
      <c r="ANY6" s="61"/>
      <c r="ANZ6" s="61"/>
      <c r="AOA6" s="61"/>
      <c r="AOB6" s="61"/>
      <c r="AOC6" s="61"/>
      <c r="AOD6" s="61"/>
      <c r="AOE6" s="61"/>
      <c r="AOF6" s="61"/>
      <c r="AOG6" s="61"/>
      <c r="AOH6" s="61"/>
      <c r="AOI6" s="61"/>
      <c r="AOJ6" s="61"/>
      <c r="AOK6" s="61"/>
      <c r="AOL6" s="61"/>
      <c r="AOM6" s="61"/>
      <c r="AON6" s="61"/>
      <c r="AOO6" s="61"/>
      <c r="AOP6" s="61"/>
      <c r="AOQ6" s="61"/>
      <c r="AOR6" s="61"/>
      <c r="AOS6" s="61"/>
      <c r="AOT6" s="61"/>
      <c r="AOU6" s="61"/>
      <c r="AOV6" s="61"/>
      <c r="AOW6" s="61"/>
      <c r="AOX6" s="61"/>
      <c r="AOY6" s="61"/>
      <c r="AOZ6" s="61"/>
      <c r="APA6" s="61"/>
      <c r="APB6" s="61"/>
      <c r="APC6" s="61"/>
      <c r="APD6" s="61"/>
      <c r="APE6" s="61"/>
      <c r="APF6" s="61"/>
      <c r="APG6" s="61"/>
      <c r="APH6" s="61"/>
      <c r="API6" s="61"/>
      <c r="APJ6" s="61"/>
      <c r="APK6" s="61"/>
      <c r="APL6" s="61"/>
      <c r="APM6" s="61"/>
      <c r="APN6" s="61"/>
      <c r="APO6" s="61"/>
      <c r="APP6" s="61"/>
      <c r="APQ6" s="61"/>
      <c r="APR6" s="61"/>
      <c r="APS6" s="61"/>
      <c r="APT6" s="61"/>
      <c r="APU6" s="61"/>
      <c r="APV6" s="61"/>
      <c r="APW6" s="61"/>
      <c r="APX6" s="61"/>
      <c r="APY6" s="61"/>
      <c r="APZ6" s="61"/>
      <c r="AQA6" s="61"/>
      <c r="AQB6" s="61"/>
      <c r="AQC6" s="61"/>
      <c r="AQD6" s="61"/>
      <c r="AQE6" s="61"/>
      <c r="AQF6" s="61"/>
      <c r="AQG6" s="61"/>
      <c r="AQH6" s="61"/>
      <c r="AQI6" s="61"/>
      <c r="AQJ6" s="61"/>
      <c r="AQK6" s="61"/>
      <c r="AQL6" s="61"/>
      <c r="AQM6" s="61"/>
      <c r="AQN6" s="61"/>
      <c r="AQO6" s="61"/>
      <c r="AQP6" s="61"/>
      <c r="AQQ6" s="61"/>
      <c r="AQR6" s="61"/>
      <c r="AQS6" s="61"/>
      <c r="AQT6" s="61"/>
      <c r="AQU6" s="61"/>
      <c r="AQV6" s="61"/>
      <c r="AQW6" s="61"/>
      <c r="AQX6" s="61"/>
      <c r="AQY6" s="61"/>
      <c r="AQZ6" s="61"/>
      <c r="ARA6" s="61"/>
      <c r="ARB6" s="61"/>
      <c r="ARC6" s="61"/>
      <c r="ARD6" s="61"/>
      <c r="ARE6" s="61"/>
      <c r="ARF6" s="61"/>
      <c r="ARG6" s="61"/>
      <c r="ARH6" s="61"/>
      <c r="ARI6" s="61"/>
      <c r="ARJ6" s="61"/>
      <c r="ARK6" s="61"/>
      <c r="ARL6" s="61"/>
      <c r="ARM6" s="61"/>
      <c r="ARN6" s="61"/>
      <c r="ARO6" s="61"/>
      <c r="ARP6" s="61"/>
      <c r="ARQ6" s="61"/>
      <c r="ARR6" s="61"/>
      <c r="ARS6" s="61"/>
      <c r="ART6" s="61"/>
      <c r="ARU6" s="61"/>
      <c r="ARV6" s="61"/>
      <c r="ARW6" s="61"/>
      <c r="ARX6" s="61"/>
      <c r="ARY6" s="61"/>
      <c r="ARZ6" s="61"/>
      <c r="ASA6" s="61"/>
      <c r="ASB6" s="61"/>
      <c r="ASC6" s="61"/>
      <c r="ASD6" s="61"/>
      <c r="ASE6" s="61"/>
      <c r="ASF6" s="61"/>
      <c r="ASG6" s="61"/>
      <c r="ASH6" s="61"/>
      <c r="ASI6" s="61"/>
      <c r="ASJ6" s="61"/>
      <c r="ASK6" s="61"/>
      <c r="ASL6" s="61"/>
      <c r="ASM6" s="61"/>
      <c r="ASN6" s="61"/>
      <c r="ASO6" s="61"/>
      <c r="ASP6" s="61"/>
      <c r="ASQ6" s="61"/>
      <c r="ASR6" s="61"/>
      <c r="ASS6" s="61"/>
      <c r="AST6" s="61"/>
      <c r="ASU6" s="61"/>
      <c r="ASV6" s="61"/>
      <c r="ASW6" s="61"/>
      <c r="ASX6" s="61"/>
      <c r="ASY6" s="61"/>
      <c r="ASZ6" s="61"/>
      <c r="ATA6" s="61"/>
      <c r="ATB6" s="61"/>
      <c r="ATC6" s="61"/>
      <c r="ATD6" s="61"/>
      <c r="ATE6" s="61"/>
      <c r="ATF6" s="61"/>
      <c r="ATG6" s="61"/>
      <c r="ATH6" s="61"/>
      <c r="ATI6" s="61"/>
      <c r="ATJ6" s="61"/>
      <c r="ATK6" s="61"/>
      <c r="ATL6" s="61"/>
      <c r="ATM6" s="61"/>
      <c r="ATN6" s="61"/>
      <c r="ATO6" s="61"/>
      <c r="ATP6" s="61"/>
      <c r="ATQ6" s="61"/>
      <c r="ATR6" s="61"/>
      <c r="ATS6" s="61"/>
      <c r="ATT6" s="61"/>
      <c r="ATU6" s="61"/>
      <c r="ATV6" s="61"/>
      <c r="ATW6" s="61"/>
      <c r="ATX6" s="61"/>
      <c r="ATY6" s="61"/>
      <c r="ATZ6" s="61"/>
      <c r="AUA6" s="61"/>
      <c r="AUB6" s="61"/>
      <c r="AUC6" s="61"/>
      <c r="AUD6" s="61"/>
      <c r="AUE6" s="61"/>
      <c r="AUF6" s="61"/>
      <c r="AUG6" s="61"/>
      <c r="AUH6" s="61"/>
      <c r="AUI6" s="61"/>
      <c r="AUJ6" s="61"/>
      <c r="AUK6" s="61"/>
      <c r="AUL6" s="61"/>
      <c r="AUM6" s="61"/>
      <c r="AUN6" s="61"/>
      <c r="AUO6" s="61"/>
      <c r="AUP6" s="61"/>
      <c r="AUQ6" s="61"/>
      <c r="AUR6" s="61"/>
      <c r="AUS6" s="61"/>
      <c r="AUT6" s="61"/>
      <c r="AUU6" s="61"/>
      <c r="AUV6" s="61"/>
      <c r="AUW6" s="61"/>
      <c r="AUX6" s="61"/>
      <c r="AUY6" s="61"/>
      <c r="AUZ6" s="61"/>
      <c r="AVA6" s="61"/>
      <c r="AVB6" s="61"/>
      <c r="AVC6" s="61"/>
      <c r="AVD6" s="61"/>
      <c r="AVE6" s="61"/>
      <c r="AVF6" s="61"/>
      <c r="AVG6" s="61"/>
      <c r="AVH6" s="61"/>
      <c r="AVI6" s="61"/>
      <c r="AVJ6" s="61"/>
      <c r="AVK6" s="61"/>
      <c r="AVL6" s="61"/>
      <c r="AVM6" s="61"/>
      <c r="AVN6" s="61"/>
      <c r="AVO6" s="61"/>
      <c r="AVP6" s="61"/>
      <c r="AVQ6" s="61"/>
      <c r="AVR6" s="61"/>
      <c r="AVS6" s="61"/>
      <c r="AVT6" s="61"/>
      <c r="AVU6" s="61"/>
      <c r="AVV6" s="61"/>
      <c r="AVW6" s="61"/>
      <c r="AVX6" s="61"/>
      <c r="AVY6" s="61"/>
      <c r="AVZ6" s="61"/>
      <c r="AWA6" s="61"/>
      <c r="AWB6" s="61"/>
      <c r="AWC6" s="61"/>
      <c r="AWD6" s="61"/>
      <c r="AWE6" s="61"/>
      <c r="AWF6" s="61"/>
      <c r="AWG6" s="61"/>
      <c r="AWH6" s="61"/>
      <c r="AWI6" s="61"/>
      <c r="AWJ6" s="61"/>
      <c r="AWK6" s="61"/>
      <c r="AWL6" s="61"/>
      <c r="AWM6" s="61"/>
      <c r="AWN6" s="61"/>
      <c r="AWO6" s="61"/>
      <c r="AWP6" s="61"/>
      <c r="AWQ6" s="61"/>
      <c r="AWR6" s="61"/>
      <c r="AWS6" s="61"/>
      <c r="AWT6" s="61"/>
      <c r="AWU6" s="61"/>
      <c r="AWV6" s="61"/>
      <c r="AWW6" s="61"/>
      <c r="AWX6" s="61"/>
      <c r="AWY6" s="61"/>
      <c r="AWZ6" s="61"/>
      <c r="AXA6" s="61"/>
      <c r="AXB6" s="61"/>
      <c r="AXC6" s="61"/>
      <c r="AXD6" s="61"/>
      <c r="AXE6" s="61"/>
      <c r="AXF6" s="61"/>
      <c r="AXG6" s="61"/>
      <c r="AXH6" s="61"/>
      <c r="AXI6" s="61"/>
      <c r="AXJ6" s="61"/>
      <c r="AXK6" s="61"/>
      <c r="AXL6" s="61"/>
      <c r="AXM6" s="61"/>
      <c r="AXN6" s="61"/>
      <c r="AXO6" s="61"/>
      <c r="AXP6" s="61"/>
      <c r="AXQ6" s="61"/>
      <c r="AXR6" s="61"/>
      <c r="AXS6" s="61"/>
      <c r="AXT6" s="61"/>
      <c r="AXU6" s="61"/>
      <c r="AXV6" s="61"/>
      <c r="AXW6" s="61"/>
      <c r="AXX6" s="61"/>
      <c r="AXY6" s="61"/>
      <c r="AXZ6" s="61"/>
      <c r="AYA6" s="61"/>
      <c r="AYB6" s="61"/>
      <c r="AYC6" s="61"/>
      <c r="AYD6" s="61"/>
      <c r="AYE6" s="61"/>
      <c r="AYF6" s="61"/>
      <c r="AYG6" s="61"/>
      <c r="AYH6" s="61"/>
      <c r="AYI6" s="61"/>
      <c r="AYJ6" s="61"/>
      <c r="AYK6" s="61"/>
      <c r="AYL6" s="61"/>
      <c r="AYM6" s="61"/>
      <c r="AYN6" s="61"/>
      <c r="AYO6" s="61"/>
      <c r="AYP6" s="61"/>
      <c r="AYQ6" s="61"/>
      <c r="AYR6" s="61"/>
      <c r="AYS6" s="61"/>
      <c r="AYT6" s="61"/>
      <c r="AYU6" s="61"/>
      <c r="AYV6" s="61"/>
      <c r="AYW6" s="61"/>
      <c r="AYX6" s="61"/>
      <c r="AYY6" s="61"/>
      <c r="AYZ6" s="61"/>
      <c r="AZA6" s="61"/>
      <c r="AZB6" s="61"/>
      <c r="AZC6" s="61"/>
      <c r="AZD6" s="61"/>
      <c r="AZE6" s="61"/>
      <c r="AZF6" s="61"/>
      <c r="AZG6" s="61"/>
      <c r="AZH6" s="61"/>
      <c r="AZI6" s="61"/>
      <c r="AZJ6" s="61"/>
      <c r="AZK6" s="61"/>
      <c r="AZL6" s="61"/>
      <c r="AZM6" s="61"/>
      <c r="AZN6" s="61"/>
      <c r="AZO6" s="61"/>
      <c r="AZP6" s="61"/>
      <c r="AZQ6" s="61"/>
      <c r="AZR6" s="61"/>
      <c r="AZS6" s="61"/>
      <c r="AZT6" s="61"/>
      <c r="AZU6" s="61"/>
      <c r="AZV6" s="61"/>
      <c r="AZW6" s="61"/>
      <c r="AZX6" s="61"/>
      <c r="AZY6" s="61"/>
      <c r="AZZ6" s="61"/>
      <c r="BAA6" s="61"/>
      <c r="BAB6" s="61"/>
      <c r="BAC6" s="61"/>
      <c r="BAD6" s="61"/>
      <c r="BAE6" s="61"/>
      <c r="BAF6" s="61"/>
      <c r="BAG6" s="61"/>
      <c r="BAH6" s="61"/>
      <c r="BAI6" s="61"/>
      <c r="BAJ6" s="61"/>
      <c r="BAK6" s="61"/>
      <c r="BAL6" s="61"/>
      <c r="BAM6" s="61"/>
      <c r="BAN6" s="61"/>
      <c r="BAO6" s="61"/>
      <c r="BAP6" s="61"/>
      <c r="BAQ6" s="61"/>
      <c r="BAR6" s="61"/>
      <c r="BAS6" s="61"/>
      <c r="BAT6" s="61"/>
      <c r="BAU6" s="61"/>
      <c r="BAV6" s="61"/>
      <c r="BAW6" s="61"/>
      <c r="BAX6" s="61"/>
      <c r="BAY6" s="61"/>
      <c r="BAZ6" s="61"/>
      <c r="BBA6" s="61"/>
      <c r="BBB6" s="61"/>
      <c r="BBC6" s="61"/>
      <c r="BBD6" s="61"/>
      <c r="BBE6" s="61"/>
      <c r="BBF6" s="61"/>
      <c r="BBG6" s="61"/>
      <c r="BBH6" s="61"/>
      <c r="BBI6" s="61"/>
      <c r="BBJ6" s="61"/>
      <c r="BBK6" s="61"/>
      <c r="BBL6" s="61"/>
      <c r="BBM6" s="61"/>
      <c r="BBN6" s="61"/>
      <c r="BBO6" s="61"/>
      <c r="BBP6" s="61"/>
      <c r="BBQ6" s="61"/>
      <c r="BBR6" s="61"/>
      <c r="BBS6" s="61"/>
      <c r="BBT6" s="61"/>
      <c r="BBU6" s="61"/>
      <c r="BBV6" s="61"/>
      <c r="BBW6" s="61"/>
      <c r="BBX6" s="61"/>
      <c r="BBY6" s="61"/>
      <c r="BBZ6" s="61"/>
      <c r="BCA6" s="61"/>
      <c r="BCB6" s="61"/>
      <c r="BCC6" s="61"/>
      <c r="BCD6" s="61"/>
      <c r="BCE6" s="61"/>
      <c r="BCF6" s="61"/>
      <c r="BCG6" s="61"/>
      <c r="BCH6" s="61"/>
      <c r="BCI6" s="61"/>
      <c r="BCJ6" s="61"/>
      <c r="BCK6" s="61"/>
      <c r="BCL6" s="61"/>
      <c r="BCM6" s="61"/>
      <c r="BCN6" s="61"/>
      <c r="BCO6" s="61"/>
      <c r="BCP6" s="61"/>
      <c r="BCQ6" s="61"/>
      <c r="BCR6" s="61"/>
      <c r="BCS6" s="61"/>
      <c r="BCT6" s="61"/>
      <c r="BCU6" s="61"/>
      <c r="BCV6" s="61"/>
      <c r="BCW6" s="61"/>
      <c r="BCX6" s="61"/>
      <c r="BCY6" s="61"/>
      <c r="BCZ6" s="61"/>
      <c r="BDA6" s="61"/>
      <c r="BDB6" s="61"/>
      <c r="BDC6" s="61"/>
      <c r="BDD6" s="61"/>
      <c r="BDE6" s="61"/>
      <c r="BDF6" s="61"/>
      <c r="BDG6" s="61"/>
      <c r="BDH6" s="61"/>
      <c r="BDI6" s="61"/>
      <c r="BDJ6" s="61"/>
      <c r="BDK6" s="61"/>
      <c r="BDL6" s="61"/>
      <c r="BDM6" s="61"/>
      <c r="BDN6" s="61"/>
      <c r="BDO6" s="61"/>
      <c r="BDP6" s="61"/>
      <c r="BDQ6" s="61"/>
      <c r="BDR6" s="61"/>
      <c r="BDS6" s="61"/>
      <c r="BDT6" s="61"/>
      <c r="BDU6" s="61"/>
      <c r="BDV6" s="61"/>
      <c r="BDW6" s="61"/>
      <c r="BDX6" s="61"/>
      <c r="BDY6" s="61"/>
      <c r="BDZ6" s="61"/>
      <c r="BEA6" s="61"/>
      <c r="BEB6" s="61"/>
      <c r="BEC6" s="61"/>
      <c r="BED6" s="61"/>
      <c r="BEE6" s="61"/>
      <c r="BEF6" s="61"/>
      <c r="BEG6" s="61"/>
      <c r="BEH6" s="61"/>
      <c r="BEI6" s="61"/>
      <c r="BEJ6" s="61"/>
      <c r="BEK6" s="61"/>
      <c r="BEL6" s="61"/>
      <c r="BEM6" s="61"/>
      <c r="BEN6" s="61"/>
      <c r="BEO6" s="61"/>
      <c r="BEP6" s="61"/>
      <c r="BEQ6" s="61"/>
      <c r="BER6" s="61"/>
      <c r="BES6" s="61"/>
      <c r="BET6" s="61"/>
      <c r="BEU6" s="61"/>
      <c r="BEV6" s="61"/>
      <c r="BEW6" s="61"/>
      <c r="BEX6" s="61"/>
      <c r="BEY6" s="61"/>
      <c r="BEZ6" s="61"/>
      <c r="BFA6" s="61"/>
      <c r="BFB6" s="61"/>
      <c r="BFC6" s="61"/>
      <c r="BFD6" s="61"/>
      <c r="BFE6" s="61"/>
      <c r="BFF6" s="61"/>
      <c r="BFG6" s="61"/>
      <c r="BFH6" s="61"/>
      <c r="BFI6" s="61"/>
      <c r="BFJ6" s="61"/>
      <c r="BFK6" s="61"/>
      <c r="BFL6" s="61"/>
      <c r="BFM6" s="61"/>
      <c r="BFN6" s="61"/>
      <c r="BFO6" s="61"/>
      <c r="BFP6" s="61"/>
      <c r="BFQ6" s="61"/>
      <c r="BFR6" s="61"/>
      <c r="BFS6" s="61"/>
      <c r="BFT6" s="61"/>
      <c r="BFU6" s="61"/>
      <c r="BFV6" s="61"/>
      <c r="BFW6" s="61"/>
      <c r="BFX6" s="61"/>
      <c r="BFY6" s="61"/>
      <c r="BFZ6" s="61"/>
      <c r="BGA6" s="61"/>
      <c r="BGB6" s="61"/>
      <c r="BGC6" s="61"/>
      <c r="BGD6" s="61"/>
      <c r="BGE6" s="61"/>
      <c r="BGF6" s="61"/>
      <c r="BGG6" s="61"/>
      <c r="BGH6" s="61"/>
      <c r="BGI6" s="61"/>
      <c r="BGJ6" s="61"/>
      <c r="BGK6" s="61"/>
      <c r="BGL6" s="61"/>
      <c r="BGM6" s="61"/>
      <c r="BGN6" s="61"/>
      <c r="BGO6" s="61"/>
      <c r="BGP6" s="61"/>
      <c r="BGQ6" s="61"/>
      <c r="BGR6" s="61"/>
      <c r="BGS6" s="61"/>
      <c r="BGT6" s="61"/>
      <c r="BGU6" s="61"/>
      <c r="BGV6" s="61"/>
      <c r="BGW6" s="61"/>
      <c r="BGX6" s="61"/>
      <c r="BGY6" s="61"/>
      <c r="BGZ6" s="61"/>
      <c r="BHA6" s="61"/>
      <c r="BHB6" s="61"/>
      <c r="BHC6" s="61"/>
      <c r="BHD6" s="61"/>
      <c r="BHE6" s="61"/>
      <c r="BHF6" s="61"/>
      <c r="BHG6" s="61"/>
      <c r="BHH6" s="61"/>
      <c r="BHI6" s="61"/>
      <c r="BHJ6" s="61"/>
      <c r="BHK6" s="61"/>
      <c r="BHL6" s="61"/>
      <c r="BHM6" s="61"/>
      <c r="BHN6" s="61"/>
      <c r="BHO6" s="61"/>
      <c r="BHP6" s="61"/>
      <c r="BHQ6" s="61"/>
      <c r="BHR6" s="61"/>
      <c r="BHS6" s="61"/>
      <c r="BHT6" s="61"/>
      <c r="BHU6" s="61"/>
      <c r="BHV6" s="61"/>
      <c r="BHW6" s="61"/>
      <c r="BHX6" s="61"/>
      <c r="BHY6" s="61"/>
      <c r="BHZ6" s="61"/>
      <c r="BIA6" s="61"/>
      <c r="BIB6" s="61"/>
      <c r="BIC6" s="61"/>
      <c r="BID6" s="61"/>
      <c r="BIE6" s="61"/>
      <c r="BIF6" s="61"/>
      <c r="BIG6" s="61"/>
      <c r="BIH6" s="61"/>
      <c r="BII6" s="61"/>
      <c r="BIJ6" s="61"/>
      <c r="BIK6" s="61"/>
      <c r="BIL6" s="61"/>
      <c r="BIM6" s="61"/>
      <c r="BIN6" s="61"/>
      <c r="BIO6" s="61"/>
      <c r="BIP6" s="61"/>
      <c r="BIQ6" s="61"/>
      <c r="BIR6" s="61"/>
      <c r="BIS6" s="61"/>
      <c r="BIT6" s="61"/>
      <c r="BIU6" s="61"/>
      <c r="BIV6" s="61"/>
      <c r="BIW6" s="61"/>
      <c r="BIX6" s="61"/>
      <c r="BIY6" s="61"/>
      <c r="BIZ6" s="61"/>
      <c r="BJA6" s="61"/>
      <c r="BJB6" s="61"/>
      <c r="BJC6" s="61"/>
      <c r="BJD6" s="61"/>
      <c r="BJE6" s="61"/>
      <c r="BJF6" s="61"/>
      <c r="BJG6" s="61"/>
      <c r="BJH6" s="61"/>
      <c r="BJI6" s="61"/>
      <c r="BJJ6" s="61"/>
      <c r="BJK6" s="61"/>
      <c r="BJL6" s="61"/>
      <c r="BJM6" s="61"/>
      <c r="BJN6" s="61"/>
      <c r="BJO6" s="61"/>
      <c r="BJP6" s="61"/>
      <c r="BJQ6" s="61"/>
      <c r="BJR6" s="61"/>
      <c r="BJS6" s="61"/>
      <c r="BJT6" s="61"/>
      <c r="BJU6" s="61"/>
      <c r="BJV6" s="61"/>
      <c r="BJW6" s="61"/>
      <c r="BJX6" s="61"/>
      <c r="BJY6" s="61"/>
      <c r="BJZ6" s="61"/>
      <c r="BKA6" s="61"/>
      <c r="BKB6" s="61"/>
      <c r="BKC6" s="61"/>
      <c r="BKD6" s="61"/>
      <c r="BKE6" s="61"/>
      <c r="BKF6" s="61"/>
      <c r="BKG6" s="61"/>
      <c r="BKH6" s="61"/>
      <c r="BKI6" s="61"/>
      <c r="BKJ6" s="61"/>
      <c r="BKK6" s="61"/>
      <c r="BKL6" s="61"/>
      <c r="BKM6" s="61"/>
      <c r="BKN6" s="61"/>
      <c r="BKO6" s="61"/>
      <c r="BKP6" s="61"/>
      <c r="BKQ6" s="61"/>
      <c r="BKR6" s="61"/>
      <c r="BKS6" s="61"/>
      <c r="BKT6" s="61"/>
      <c r="BKU6" s="61"/>
      <c r="BKV6" s="61"/>
      <c r="BKW6" s="61"/>
      <c r="BKX6" s="61"/>
      <c r="BKY6" s="61"/>
      <c r="BKZ6" s="61"/>
      <c r="BLA6" s="61"/>
      <c r="BLB6" s="61"/>
      <c r="BLC6" s="61"/>
      <c r="BLD6" s="61"/>
      <c r="BLE6" s="61"/>
      <c r="BLF6" s="61"/>
      <c r="BLG6" s="61"/>
      <c r="BLH6" s="61"/>
      <c r="BLI6" s="61"/>
      <c r="BLJ6" s="61"/>
      <c r="BLK6" s="61"/>
      <c r="BLL6" s="61"/>
      <c r="BLM6" s="61"/>
      <c r="BLN6" s="61"/>
      <c r="BLO6" s="61"/>
      <c r="BLP6" s="61"/>
      <c r="BLQ6" s="61"/>
      <c r="BLR6" s="61"/>
      <c r="BLS6" s="61"/>
      <c r="BLT6" s="61"/>
      <c r="BLU6" s="61"/>
      <c r="BLV6" s="61"/>
      <c r="BLW6" s="61"/>
      <c r="BLX6" s="61"/>
      <c r="BLY6" s="61"/>
      <c r="BLZ6" s="61"/>
      <c r="BMA6" s="61"/>
      <c r="BMB6" s="61"/>
      <c r="BMC6" s="61"/>
      <c r="BMD6" s="61"/>
      <c r="BME6" s="61"/>
      <c r="BMF6" s="61"/>
      <c r="BMG6" s="61"/>
      <c r="BMH6" s="61"/>
      <c r="BMI6" s="61"/>
      <c r="BMJ6" s="61"/>
      <c r="BMK6" s="61"/>
      <c r="BML6" s="61"/>
      <c r="BMM6" s="61"/>
      <c r="BMN6" s="61"/>
      <c r="BMO6" s="61"/>
      <c r="BMP6" s="61"/>
      <c r="BMQ6" s="61"/>
      <c r="BMR6" s="61"/>
      <c r="BMS6" s="61"/>
      <c r="BMT6" s="61"/>
      <c r="BMU6" s="61"/>
      <c r="BMV6" s="61"/>
      <c r="BMW6" s="61"/>
      <c r="BMX6" s="61"/>
      <c r="BMY6" s="61"/>
      <c r="BMZ6" s="61"/>
      <c r="BNA6" s="61"/>
      <c r="BNB6" s="61"/>
      <c r="BNC6" s="61"/>
      <c r="BND6" s="61"/>
      <c r="BNE6" s="61"/>
      <c r="BNF6" s="61"/>
      <c r="BNG6" s="61"/>
      <c r="BNH6" s="61"/>
      <c r="BNI6" s="61"/>
      <c r="BNJ6" s="61"/>
      <c r="BNK6" s="61"/>
      <c r="BNL6" s="61"/>
      <c r="BNM6" s="61"/>
      <c r="BNN6" s="61"/>
      <c r="BNO6" s="61"/>
      <c r="BNP6" s="61"/>
      <c r="BNQ6" s="61"/>
      <c r="BNR6" s="61"/>
      <c r="BNS6" s="61"/>
      <c r="BNT6" s="61"/>
      <c r="BNU6" s="61"/>
      <c r="BNV6" s="61"/>
      <c r="BNW6" s="61"/>
      <c r="BNX6" s="61"/>
      <c r="BNY6" s="61"/>
      <c r="BNZ6" s="61"/>
      <c r="BOA6" s="61"/>
      <c r="BOB6" s="61"/>
      <c r="BOC6" s="61"/>
      <c r="BOD6" s="61"/>
      <c r="BOE6" s="61"/>
      <c r="BOF6" s="61"/>
      <c r="BOG6" s="61"/>
      <c r="BOH6" s="61"/>
      <c r="BOI6" s="61"/>
      <c r="BOJ6" s="61"/>
      <c r="BOK6" s="61"/>
      <c r="BOL6" s="61"/>
      <c r="BOM6" s="61"/>
      <c r="BON6" s="61"/>
      <c r="BOO6" s="61"/>
      <c r="BOP6" s="61"/>
      <c r="BOQ6" s="61"/>
      <c r="BOR6" s="61"/>
      <c r="BOS6" s="61"/>
      <c r="BOT6" s="61"/>
      <c r="BOU6" s="61"/>
      <c r="BOV6" s="61"/>
      <c r="BOW6" s="61"/>
      <c r="BOX6" s="61"/>
      <c r="BOY6" s="61"/>
      <c r="BOZ6" s="61"/>
      <c r="BPA6" s="61"/>
      <c r="BPB6" s="61"/>
      <c r="BPC6" s="61"/>
      <c r="BPD6" s="61"/>
      <c r="BPE6" s="61"/>
      <c r="BPF6" s="61"/>
      <c r="BPG6" s="61"/>
      <c r="BPH6" s="61"/>
      <c r="BPI6" s="61"/>
      <c r="BPJ6" s="61"/>
      <c r="BPK6" s="61"/>
      <c r="BPL6" s="61"/>
      <c r="BPM6" s="61"/>
      <c r="BPN6" s="61"/>
      <c r="BPO6" s="61"/>
      <c r="BPP6" s="61"/>
      <c r="BPQ6" s="61"/>
      <c r="BPR6" s="61"/>
      <c r="BPS6" s="61"/>
      <c r="BPT6" s="61"/>
      <c r="BPU6" s="61"/>
      <c r="BPV6" s="61"/>
      <c r="BPW6" s="61"/>
      <c r="BPX6" s="61"/>
      <c r="BPY6" s="61"/>
      <c r="BPZ6" s="61"/>
      <c r="BQA6" s="61"/>
      <c r="BQB6" s="61"/>
      <c r="BQC6" s="61"/>
      <c r="BQD6" s="61"/>
      <c r="BQE6" s="61"/>
      <c r="BQF6" s="61"/>
      <c r="BQG6" s="61"/>
      <c r="BQH6" s="61"/>
      <c r="BQI6" s="61"/>
      <c r="BQJ6" s="61"/>
      <c r="BQK6" s="61"/>
      <c r="BQL6" s="61"/>
      <c r="BQM6" s="61"/>
      <c r="BQN6" s="61"/>
      <c r="BQO6" s="61"/>
      <c r="BQP6" s="61"/>
      <c r="BQQ6" s="61"/>
      <c r="BQR6" s="61"/>
      <c r="BQS6" s="61"/>
      <c r="BQT6" s="61"/>
      <c r="BQU6" s="61"/>
      <c r="BQV6" s="61"/>
      <c r="BQW6" s="61"/>
      <c r="BQX6" s="61"/>
      <c r="BQY6" s="61"/>
      <c r="BQZ6" s="61"/>
      <c r="BRA6" s="61"/>
      <c r="BRB6" s="61"/>
      <c r="BRC6" s="61"/>
      <c r="BRD6" s="61"/>
      <c r="BRE6" s="61"/>
      <c r="BRF6" s="61"/>
      <c r="BRG6" s="61"/>
      <c r="BRH6" s="61"/>
      <c r="BRI6" s="61"/>
      <c r="BRJ6" s="61"/>
      <c r="BRK6" s="61"/>
      <c r="BRL6" s="61"/>
      <c r="BRM6" s="61"/>
      <c r="BRN6" s="61"/>
      <c r="BRO6" s="61"/>
      <c r="BRP6" s="61"/>
      <c r="BRQ6" s="61"/>
      <c r="BRR6" s="61"/>
      <c r="BRS6" s="61"/>
      <c r="BRT6" s="61"/>
      <c r="BRU6" s="61"/>
      <c r="BRV6" s="61"/>
      <c r="BRW6" s="61"/>
      <c r="BRX6" s="61"/>
      <c r="BRY6" s="61"/>
      <c r="BRZ6" s="61"/>
      <c r="BSA6" s="61"/>
      <c r="BSB6" s="61"/>
      <c r="BSC6" s="61"/>
      <c r="BSD6" s="61"/>
      <c r="BSE6" s="61"/>
      <c r="BSF6" s="61"/>
      <c r="BSG6" s="61"/>
      <c r="BSH6" s="61"/>
      <c r="BSI6" s="61"/>
      <c r="BSJ6" s="61"/>
      <c r="BSK6" s="61"/>
      <c r="BSL6" s="61"/>
      <c r="BSM6" s="61"/>
      <c r="BSN6" s="61"/>
      <c r="BSO6" s="61"/>
      <c r="BSP6" s="61"/>
      <c r="BSQ6" s="61"/>
      <c r="BSR6" s="61"/>
      <c r="BSS6" s="61"/>
      <c r="BST6" s="61"/>
      <c r="BSU6" s="61"/>
      <c r="BSV6" s="61"/>
      <c r="BSW6" s="61"/>
      <c r="BSX6" s="61"/>
      <c r="BSY6" s="61"/>
      <c r="BSZ6" s="61"/>
      <c r="BTA6" s="61"/>
      <c r="BTB6" s="61"/>
      <c r="BTC6" s="61"/>
      <c r="BTD6" s="61"/>
      <c r="BTE6" s="61"/>
      <c r="BTF6" s="61"/>
      <c r="BTG6" s="61"/>
      <c r="BTH6" s="61"/>
      <c r="BTI6" s="61"/>
      <c r="BTJ6" s="61"/>
      <c r="BTK6" s="61"/>
      <c r="BTL6" s="61"/>
      <c r="BTM6" s="61"/>
      <c r="BTN6" s="61"/>
      <c r="BTO6" s="61"/>
      <c r="BTP6" s="61"/>
      <c r="BTQ6" s="61"/>
      <c r="BTR6" s="61"/>
      <c r="BTS6" s="61"/>
      <c r="BTT6" s="61"/>
      <c r="BTU6" s="61"/>
      <c r="BTV6" s="61"/>
      <c r="BTW6" s="61"/>
      <c r="BTX6" s="61"/>
      <c r="BTY6" s="61"/>
      <c r="BTZ6" s="61"/>
      <c r="BUA6" s="61"/>
      <c r="BUB6" s="61"/>
      <c r="BUC6" s="61"/>
      <c r="BUD6" s="61"/>
      <c r="BUE6" s="61"/>
      <c r="BUF6" s="61"/>
      <c r="BUG6" s="61"/>
      <c r="BUH6" s="61"/>
      <c r="BUI6" s="61"/>
      <c r="BUJ6" s="61"/>
      <c r="BUK6" s="61"/>
      <c r="BUL6" s="61"/>
      <c r="BUM6" s="61"/>
      <c r="BUN6" s="61"/>
      <c r="BUO6" s="61"/>
      <c r="BUP6" s="61"/>
      <c r="BUQ6" s="61"/>
      <c r="BUR6" s="61"/>
      <c r="BUS6" s="61"/>
      <c r="BUT6" s="61"/>
      <c r="BUU6" s="61"/>
      <c r="BUV6" s="61"/>
      <c r="BUW6" s="61"/>
      <c r="BUX6" s="61"/>
      <c r="BUY6" s="61"/>
      <c r="BUZ6" s="61"/>
      <c r="BVA6" s="61"/>
      <c r="BVB6" s="61"/>
      <c r="BVC6" s="61"/>
      <c r="BVD6" s="61"/>
      <c r="BVE6" s="61"/>
      <c r="BVF6" s="61"/>
      <c r="BVG6" s="61"/>
      <c r="BVH6" s="61"/>
      <c r="BVI6" s="61"/>
      <c r="BVJ6" s="61"/>
      <c r="BVK6" s="61"/>
      <c r="BVL6" s="61"/>
      <c r="BVM6" s="61"/>
      <c r="BVN6" s="61"/>
      <c r="BVO6" s="61"/>
      <c r="BVP6" s="61"/>
      <c r="BVQ6" s="61"/>
      <c r="BVR6" s="61"/>
      <c r="BVS6" s="61"/>
      <c r="BVT6" s="61"/>
      <c r="BVU6" s="61"/>
      <c r="BVV6" s="61"/>
      <c r="BVW6" s="61"/>
      <c r="BVX6" s="61"/>
      <c r="BVY6" s="61"/>
      <c r="BVZ6" s="61"/>
      <c r="BWA6" s="61"/>
      <c r="BWB6" s="61"/>
      <c r="BWC6" s="61"/>
      <c r="BWD6" s="61"/>
      <c r="BWE6" s="61"/>
      <c r="BWF6" s="61"/>
      <c r="BWG6" s="61"/>
      <c r="BWH6" s="61"/>
      <c r="BWI6" s="61"/>
      <c r="BWJ6" s="61"/>
      <c r="BWK6" s="61"/>
      <c r="BWL6" s="61"/>
      <c r="BWM6" s="61"/>
      <c r="BWN6" s="61"/>
      <c r="BWO6" s="61"/>
      <c r="BWP6" s="61"/>
      <c r="BWQ6" s="61"/>
      <c r="BWR6" s="61"/>
      <c r="BWS6" s="61"/>
      <c r="BWT6" s="61"/>
      <c r="BWU6" s="61"/>
      <c r="BWV6" s="61"/>
      <c r="BWW6" s="61"/>
      <c r="BWX6" s="61"/>
      <c r="BWY6" s="61"/>
      <c r="BWZ6" s="61"/>
      <c r="BXA6" s="61"/>
      <c r="BXB6" s="61"/>
      <c r="BXC6" s="61"/>
      <c r="BXD6" s="61"/>
      <c r="BXE6" s="61"/>
      <c r="BXF6" s="61"/>
      <c r="BXG6" s="61"/>
      <c r="BXH6" s="61"/>
      <c r="BXI6" s="61"/>
      <c r="BXJ6" s="61"/>
      <c r="BXK6" s="61"/>
      <c r="BXL6" s="61"/>
      <c r="BXM6" s="61"/>
      <c r="BXN6" s="61"/>
      <c r="BXO6" s="61"/>
      <c r="BXP6" s="61"/>
      <c r="BXQ6" s="61"/>
      <c r="BXR6" s="61"/>
      <c r="BXS6" s="61"/>
      <c r="BXT6" s="61"/>
      <c r="BXU6" s="61"/>
      <c r="BXV6" s="61"/>
      <c r="BXW6" s="61"/>
      <c r="BXX6" s="61"/>
      <c r="BXY6" s="61"/>
      <c r="BXZ6" s="61"/>
      <c r="BYA6" s="61"/>
      <c r="BYB6" s="61"/>
      <c r="BYC6" s="61"/>
      <c r="BYD6" s="61"/>
      <c r="BYE6" s="61"/>
      <c r="BYF6" s="61"/>
      <c r="BYG6" s="61"/>
      <c r="BYH6" s="61"/>
      <c r="BYI6" s="61"/>
      <c r="BYJ6" s="61"/>
      <c r="BYK6" s="61"/>
      <c r="BYL6" s="61"/>
      <c r="BYM6" s="61"/>
      <c r="BYN6" s="61"/>
      <c r="BYO6" s="61"/>
      <c r="BYP6" s="61"/>
      <c r="BYQ6" s="61"/>
      <c r="BYR6" s="61"/>
      <c r="BYS6" s="61"/>
      <c r="BYT6" s="61"/>
      <c r="BYU6" s="61"/>
      <c r="BYV6" s="61"/>
      <c r="BYW6" s="61"/>
      <c r="BYX6" s="61"/>
      <c r="BYY6" s="61"/>
      <c r="BYZ6" s="61"/>
      <c r="BZA6" s="61"/>
      <c r="BZB6" s="61"/>
      <c r="BZC6" s="61"/>
      <c r="BZD6" s="61"/>
      <c r="BZE6" s="61"/>
      <c r="BZF6" s="61"/>
      <c r="BZG6" s="61"/>
      <c r="BZH6" s="61"/>
      <c r="BZI6" s="61"/>
      <c r="BZJ6" s="61"/>
      <c r="BZK6" s="61"/>
      <c r="BZL6" s="61"/>
      <c r="BZM6" s="61"/>
      <c r="BZN6" s="61"/>
      <c r="BZO6" s="61"/>
      <c r="BZP6" s="61"/>
      <c r="BZQ6" s="61"/>
      <c r="BZR6" s="61"/>
      <c r="BZS6" s="61"/>
      <c r="BZT6" s="61"/>
      <c r="BZU6" s="61"/>
      <c r="BZV6" s="61"/>
      <c r="BZW6" s="61"/>
      <c r="BZX6" s="61"/>
      <c r="BZY6" s="61"/>
      <c r="BZZ6" s="61"/>
      <c r="CAA6" s="61"/>
      <c r="CAB6" s="61"/>
      <c r="CAC6" s="61"/>
      <c r="CAD6" s="61"/>
      <c r="CAE6" s="61"/>
      <c r="CAF6" s="61"/>
      <c r="CAG6" s="61"/>
      <c r="CAH6" s="61"/>
      <c r="CAI6" s="61"/>
      <c r="CAJ6" s="61"/>
      <c r="CAK6" s="61"/>
      <c r="CAL6" s="61"/>
      <c r="CAM6" s="61"/>
      <c r="CAN6" s="61"/>
      <c r="CAO6" s="61"/>
      <c r="CAP6" s="61"/>
      <c r="CAQ6" s="61"/>
      <c r="CAR6" s="61"/>
      <c r="CAS6" s="61"/>
      <c r="CAT6" s="61"/>
      <c r="CAU6" s="61"/>
      <c r="CAV6" s="61"/>
      <c r="CAW6" s="61"/>
      <c r="CAX6" s="61"/>
      <c r="CAY6" s="61"/>
      <c r="CAZ6" s="61"/>
      <c r="CBA6" s="61"/>
      <c r="CBB6" s="61"/>
      <c r="CBC6" s="61"/>
      <c r="CBD6" s="61"/>
      <c r="CBE6" s="61"/>
      <c r="CBF6" s="61"/>
      <c r="CBG6" s="61"/>
      <c r="CBH6" s="61"/>
      <c r="CBI6" s="61"/>
      <c r="CBJ6" s="61"/>
      <c r="CBK6" s="61"/>
      <c r="CBL6" s="61"/>
      <c r="CBM6" s="61"/>
      <c r="CBN6" s="61"/>
      <c r="CBO6" s="61"/>
      <c r="CBP6" s="61"/>
      <c r="CBQ6" s="61"/>
      <c r="CBR6" s="61"/>
      <c r="CBS6" s="61"/>
      <c r="CBT6" s="61"/>
      <c r="CBU6" s="61"/>
      <c r="CBV6" s="61"/>
      <c r="CBW6" s="61"/>
      <c r="CBX6" s="61"/>
      <c r="CBY6" s="61"/>
      <c r="CBZ6" s="61"/>
      <c r="CCA6" s="61"/>
      <c r="CCB6" s="61"/>
      <c r="CCC6" s="61"/>
      <c r="CCD6" s="61"/>
      <c r="CCE6" s="61"/>
      <c r="CCF6" s="61"/>
      <c r="CCG6" s="61"/>
      <c r="CCH6" s="61"/>
      <c r="CCI6" s="61"/>
      <c r="CCJ6" s="61"/>
      <c r="CCK6" s="61"/>
      <c r="CCL6" s="61"/>
      <c r="CCM6" s="61"/>
      <c r="CCN6" s="61"/>
      <c r="CCO6" s="61"/>
      <c r="CCP6" s="61"/>
      <c r="CCQ6" s="61"/>
      <c r="CCR6" s="61"/>
      <c r="CCS6" s="61"/>
      <c r="CCT6" s="61"/>
      <c r="CCU6" s="61"/>
      <c r="CCV6" s="61"/>
      <c r="CCW6" s="61"/>
      <c r="CCX6" s="61"/>
      <c r="CCY6" s="61"/>
      <c r="CCZ6" s="61"/>
      <c r="CDA6" s="61"/>
      <c r="CDB6" s="61"/>
      <c r="CDC6" s="61"/>
      <c r="CDD6" s="61"/>
      <c r="CDE6" s="61"/>
      <c r="CDF6" s="61"/>
      <c r="CDG6" s="61"/>
      <c r="CDH6" s="61"/>
      <c r="CDI6" s="61"/>
      <c r="CDJ6" s="61"/>
      <c r="CDK6" s="61"/>
      <c r="CDL6" s="61"/>
      <c r="CDM6" s="61"/>
      <c r="CDN6" s="61"/>
      <c r="CDO6" s="61"/>
      <c r="CDP6" s="61"/>
      <c r="CDQ6" s="61"/>
      <c r="CDR6" s="61"/>
      <c r="CDS6" s="61"/>
      <c r="CDT6" s="61"/>
      <c r="CDU6" s="61"/>
      <c r="CDV6" s="61"/>
      <c r="CDW6" s="61"/>
      <c r="CDX6" s="61"/>
      <c r="CDY6" s="61"/>
      <c r="CDZ6" s="61"/>
      <c r="CEA6" s="61"/>
      <c r="CEB6" s="61"/>
      <c r="CEC6" s="61"/>
      <c r="CED6" s="61"/>
      <c r="CEE6" s="61"/>
      <c r="CEF6" s="61"/>
      <c r="CEG6" s="61"/>
      <c r="CEH6" s="61"/>
      <c r="CEI6" s="61"/>
      <c r="CEJ6" s="61"/>
      <c r="CEK6" s="61"/>
      <c r="CEL6" s="61"/>
      <c r="CEM6" s="61"/>
      <c r="CEN6" s="61"/>
      <c r="CEO6" s="61"/>
      <c r="CEP6" s="61"/>
      <c r="CEQ6" s="61"/>
      <c r="CER6" s="61"/>
      <c r="CES6" s="61"/>
      <c r="CET6" s="61"/>
      <c r="CEU6" s="61"/>
      <c r="CEV6" s="61"/>
      <c r="CEW6" s="61"/>
      <c r="CEX6" s="61"/>
      <c r="CEY6" s="61"/>
      <c r="CEZ6" s="61"/>
      <c r="CFA6" s="61"/>
      <c r="CFB6" s="61"/>
      <c r="CFC6" s="61"/>
      <c r="CFD6" s="61"/>
      <c r="CFE6" s="61"/>
      <c r="CFF6" s="61"/>
      <c r="CFG6" s="61"/>
      <c r="CFH6" s="61"/>
      <c r="CFI6" s="61"/>
      <c r="CFJ6" s="61"/>
      <c r="CFK6" s="61"/>
      <c r="CFL6" s="61"/>
      <c r="CFM6" s="61"/>
      <c r="CFN6" s="61"/>
      <c r="CFO6" s="61"/>
      <c r="CFP6" s="61"/>
      <c r="CFQ6" s="61"/>
      <c r="CFR6" s="61"/>
      <c r="CFS6" s="61"/>
      <c r="CFT6" s="61"/>
      <c r="CFU6" s="61"/>
      <c r="CFV6" s="61"/>
      <c r="CFW6" s="61"/>
      <c r="CFX6" s="61"/>
      <c r="CFY6" s="61"/>
      <c r="CFZ6" s="61"/>
      <c r="CGA6" s="61"/>
      <c r="CGB6" s="61"/>
      <c r="CGC6" s="61"/>
      <c r="CGD6" s="61"/>
      <c r="CGE6" s="61"/>
      <c r="CGF6" s="61"/>
      <c r="CGG6" s="61"/>
      <c r="CGH6" s="61"/>
      <c r="CGI6" s="61"/>
      <c r="CGJ6" s="61"/>
      <c r="CGK6" s="61"/>
      <c r="CGL6" s="61"/>
      <c r="CGM6" s="61"/>
      <c r="CGN6" s="61"/>
      <c r="CGO6" s="61"/>
      <c r="CGP6" s="61"/>
      <c r="CGQ6" s="61"/>
      <c r="CGR6" s="61"/>
      <c r="CGS6" s="61"/>
      <c r="CGT6" s="61"/>
      <c r="CGU6" s="61"/>
      <c r="CGV6" s="61"/>
      <c r="CGW6" s="61"/>
      <c r="CGX6" s="61"/>
      <c r="CGY6" s="61"/>
      <c r="CGZ6" s="61"/>
      <c r="CHA6" s="61"/>
      <c r="CHB6" s="61"/>
      <c r="CHC6" s="61"/>
      <c r="CHD6" s="61"/>
      <c r="CHE6" s="61"/>
      <c r="CHF6" s="61"/>
      <c r="CHG6" s="61"/>
      <c r="CHH6" s="61"/>
      <c r="CHI6" s="61"/>
      <c r="CHJ6" s="61"/>
      <c r="CHK6" s="61"/>
      <c r="CHL6" s="61"/>
      <c r="CHM6" s="61"/>
      <c r="CHN6" s="61"/>
      <c r="CHO6" s="61"/>
      <c r="CHP6" s="61"/>
      <c r="CHQ6" s="61"/>
      <c r="CHR6" s="61"/>
      <c r="CHS6" s="61"/>
      <c r="CHT6" s="61"/>
      <c r="CHU6" s="61"/>
      <c r="CHV6" s="61"/>
      <c r="CHW6" s="61"/>
      <c r="CHX6" s="61"/>
      <c r="CHY6" s="61"/>
      <c r="CHZ6" s="61"/>
      <c r="CIA6" s="61"/>
      <c r="CIB6" s="61"/>
      <c r="CIC6" s="61"/>
      <c r="CID6" s="61"/>
      <c r="CIE6" s="61"/>
      <c r="CIF6" s="61"/>
      <c r="CIG6" s="61"/>
      <c r="CIH6" s="61"/>
      <c r="CII6" s="61"/>
      <c r="CIJ6" s="61"/>
      <c r="CIK6" s="61"/>
      <c r="CIL6" s="61"/>
      <c r="CIM6" s="61"/>
      <c r="CIN6" s="61"/>
      <c r="CIO6" s="61"/>
      <c r="CIP6" s="61"/>
      <c r="CIQ6" s="61"/>
      <c r="CIR6" s="61"/>
      <c r="CIS6" s="61"/>
      <c r="CIT6" s="61"/>
      <c r="CIU6" s="61"/>
      <c r="CIV6" s="61"/>
      <c r="CIW6" s="61"/>
      <c r="CIX6" s="61"/>
      <c r="CIY6" s="61"/>
      <c r="CIZ6" s="61"/>
      <c r="CJA6" s="61"/>
      <c r="CJB6" s="61"/>
      <c r="CJC6" s="61"/>
      <c r="CJD6" s="61"/>
      <c r="CJE6" s="61"/>
      <c r="CJF6" s="61"/>
      <c r="CJG6" s="61"/>
      <c r="CJH6" s="61"/>
      <c r="CJI6" s="61"/>
      <c r="CJJ6" s="61"/>
      <c r="CJK6" s="61"/>
      <c r="CJL6" s="61"/>
      <c r="CJM6" s="61"/>
      <c r="CJN6" s="61"/>
      <c r="CJO6" s="61"/>
      <c r="CJP6" s="61"/>
      <c r="CJQ6" s="61"/>
      <c r="CJR6" s="61"/>
      <c r="CJS6" s="61"/>
      <c r="CJT6" s="61"/>
      <c r="CJU6" s="61"/>
      <c r="CJV6" s="61"/>
      <c r="CJW6" s="61"/>
      <c r="CJX6" s="61"/>
      <c r="CJY6" s="61"/>
      <c r="CJZ6" s="61"/>
      <c r="CKA6" s="61"/>
      <c r="CKB6" s="61"/>
      <c r="CKC6" s="61"/>
      <c r="CKD6" s="61"/>
      <c r="CKE6" s="61"/>
      <c r="CKF6" s="61"/>
      <c r="CKG6" s="61"/>
      <c r="CKH6" s="61"/>
      <c r="CKI6" s="61"/>
      <c r="CKJ6" s="61"/>
      <c r="CKK6" s="61"/>
      <c r="CKL6" s="61"/>
      <c r="CKM6" s="61"/>
      <c r="CKN6" s="61"/>
      <c r="CKO6" s="61"/>
      <c r="CKP6" s="61"/>
      <c r="CKQ6" s="61"/>
      <c r="CKR6" s="61"/>
      <c r="CKS6" s="61"/>
      <c r="CKT6" s="61"/>
      <c r="CKU6" s="61"/>
      <c r="CKV6" s="61"/>
      <c r="CKW6" s="61"/>
      <c r="CKX6" s="61"/>
      <c r="CKY6" s="61"/>
      <c r="CKZ6" s="61"/>
      <c r="CLA6" s="61"/>
      <c r="CLB6" s="61"/>
      <c r="CLC6" s="61"/>
      <c r="CLD6" s="61"/>
      <c r="CLE6" s="61"/>
      <c r="CLF6" s="61"/>
      <c r="CLG6" s="61"/>
      <c r="CLH6" s="61"/>
      <c r="CLI6" s="61"/>
      <c r="CLJ6" s="61"/>
      <c r="CLK6" s="61"/>
      <c r="CLL6" s="61"/>
      <c r="CLM6" s="61"/>
      <c r="CLN6" s="61"/>
      <c r="CLO6" s="61"/>
      <c r="CLP6" s="61"/>
      <c r="CLQ6" s="61"/>
      <c r="CLR6" s="61"/>
      <c r="CLS6" s="61"/>
      <c r="CLT6" s="61"/>
      <c r="CLU6" s="61"/>
      <c r="CLV6" s="61"/>
      <c r="CLW6" s="61"/>
      <c r="CLX6" s="61"/>
      <c r="CLY6" s="61"/>
      <c r="CLZ6" s="61"/>
      <c r="CMA6" s="61"/>
      <c r="CMB6" s="61"/>
      <c r="CMC6" s="61"/>
      <c r="CMD6" s="61"/>
      <c r="CME6" s="61"/>
      <c r="CMF6" s="61"/>
      <c r="CMG6" s="61"/>
      <c r="CMH6" s="61"/>
      <c r="CMI6" s="61"/>
      <c r="CMJ6" s="61"/>
      <c r="CMK6" s="61"/>
      <c r="CML6" s="61"/>
      <c r="CMM6" s="61"/>
      <c r="CMN6" s="61"/>
      <c r="CMO6" s="61"/>
      <c r="CMP6" s="61"/>
      <c r="CMQ6" s="61"/>
      <c r="CMR6" s="61"/>
      <c r="CMS6" s="61"/>
      <c r="CMT6" s="61"/>
      <c r="CMU6" s="61"/>
      <c r="CMV6" s="61"/>
      <c r="CMW6" s="61"/>
      <c r="CMX6" s="61"/>
      <c r="CMY6" s="61"/>
      <c r="CMZ6" s="61"/>
      <c r="CNA6" s="61"/>
      <c r="CNB6" s="61"/>
      <c r="CNC6" s="61"/>
      <c r="CND6" s="61"/>
      <c r="CNE6" s="61"/>
      <c r="CNF6" s="61"/>
      <c r="CNG6" s="61"/>
      <c r="CNH6" s="61"/>
      <c r="CNI6" s="61"/>
      <c r="CNJ6" s="61"/>
      <c r="CNK6" s="61"/>
      <c r="CNL6" s="61"/>
      <c r="CNM6" s="61"/>
      <c r="CNN6" s="61"/>
      <c r="CNO6" s="61"/>
      <c r="CNP6" s="61"/>
      <c r="CNQ6" s="61"/>
      <c r="CNR6" s="61"/>
      <c r="CNS6" s="61"/>
      <c r="CNT6" s="61"/>
      <c r="CNU6" s="61"/>
      <c r="CNV6" s="61"/>
      <c r="CNW6" s="61"/>
      <c r="CNX6" s="61"/>
      <c r="CNY6" s="61"/>
      <c r="CNZ6" s="61"/>
      <c r="COA6" s="61"/>
      <c r="COB6" s="61"/>
      <c r="COC6" s="61"/>
      <c r="COD6" s="61"/>
      <c r="COE6" s="61"/>
      <c r="COF6" s="61"/>
      <c r="COG6" s="61"/>
      <c r="COH6" s="61"/>
      <c r="COI6" s="61"/>
      <c r="COJ6" s="61"/>
      <c r="COK6" s="61"/>
      <c r="COL6" s="61"/>
      <c r="COM6" s="61"/>
      <c r="CON6" s="61"/>
      <c r="COO6" s="61"/>
      <c r="COP6" s="61"/>
      <c r="COQ6" s="61"/>
      <c r="COR6" s="61"/>
      <c r="COS6" s="61"/>
      <c r="COT6" s="61"/>
      <c r="COU6" s="61"/>
      <c r="COV6" s="61"/>
      <c r="COW6" s="61"/>
      <c r="COX6" s="61"/>
      <c r="COY6" s="61"/>
      <c r="COZ6" s="61"/>
      <c r="CPA6" s="61"/>
      <c r="CPB6" s="61"/>
      <c r="CPC6" s="61"/>
      <c r="CPD6" s="61"/>
      <c r="CPE6" s="61"/>
      <c r="CPF6" s="61"/>
      <c r="CPG6" s="61"/>
      <c r="CPH6" s="61"/>
      <c r="CPI6" s="61"/>
      <c r="CPJ6" s="61"/>
      <c r="CPK6" s="61"/>
      <c r="CPL6" s="61"/>
      <c r="CPM6" s="61"/>
      <c r="CPN6" s="61"/>
      <c r="CPO6" s="61"/>
      <c r="CPP6" s="61"/>
      <c r="CPQ6" s="61"/>
      <c r="CPR6" s="61"/>
      <c r="CPS6" s="61"/>
      <c r="CPT6" s="61"/>
      <c r="CPU6" s="61"/>
      <c r="CPV6" s="61"/>
      <c r="CPW6" s="61"/>
      <c r="CPX6" s="61"/>
      <c r="CPY6" s="61"/>
      <c r="CPZ6" s="61"/>
      <c r="CQA6" s="61"/>
      <c r="CQB6" s="61"/>
      <c r="CQC6" s="61"/>
      <c r="CQD6" s="61"/>
      <c r="CQE6" s="61"/>
      <c r="CQF6" s="61"/>
      <c r="CQG6" s="61"/>
      <c r="CQH6" s="61"/>
      <c r="CQI6" s="61"/>
      <c r="CQJ6" s="61"/>
      <c r="CQK6" s="61"/>
      <c r="CQL6" s="61"/>
      <c r="CQM6" s="61"/>
      <c r="CQN6" s="61"/>
      <c r="CQO6" s="61"/>
      <c r="CQP6" s="61"/>
      <c r="CQQ6" s="61"/>
      <c r="CQR6" s="61"/>
      <c r="CQS6" s="61"/>
      <c r="CQT6" s="61"/>
      <c r="CQU6" s="61"/>
      <c r="CQV6" s="61"/>
      <c r="CQW6" s="61"/>
      <c r="CQX6" s="61"/>
      <c r="CQY6" s="61"/>
      <c r="CQZ6" s="61"/>
      <c r="CRA6" s="61"/>
      <c r="CRB6" s="61"/>
      <c r="CRC6" s="61"/>
      <c r="CRD6" s="61"/>
      <c r="CRE6" s="61"/>
      <c r="CRF6" s="61"/>
      <c r="CRG6" s="61"/>
      <c r="CRH6" s="61"/>
      <c r="CRI6" s="61"/>
      <c r="CRJ6" s="61"/>
      <c r="CRK6" s="61"/>
      <c r="CRL6" s="61"/>
      <c r="CRM6" s="61"/>
      <c r="CRN6" s="61"/>
      <c r="CRO6" s="61"/>
      <c r="CRP6" s="61"/>
      <c r="CRQ6" s="61"/>
      <c r="CRR6" s="61"/>
      <c r="CRS6" s="61"/>
      <c r="CRT6" s="61"/>
      <c r="CRU6" s="61"/>
      <c r="CRV6" s="61"/>
      <c r="CRW6" s="61"/>
      <c r="CRX6" s="61"/>
      <c r="CRY6" s="61"/>
      <c r="CRZ6" s="61"/>
      <c r="CSA6" s="61"/>
      <c r="CSB6" s="61"/>
      <c r="CSC6" s="61"/>
      <c r="CSD6" s="61"/>
      <c r="CSE6" s="61"/>
      <c r="CSF6" s="61"/>
      <c r="CSG6" s="61"/>
      <c r="CSH6" s="61"/>
      <c r="CSI6" s="61"/>
      <c r="CSJ6" s="61"/>
      <c r="CSK6" s="61"/>
      <c r="CSL6" s="61"/>
      <c r="CSM6" s="61"/>
      <c r="CSN6" s="61"/>
      <c r="CSO6" s="61"/>
      <c r="CSP6" s="61"/>
      <c r="CSQ6" s="61"/>
      <c r="CSR6" s="61"/>
      <c r="CSS6" s="61"/>
      <c r="CST6" s="61"/>
      <c r="CSU6" s="61"/>
      <c r="CSV6" s="61"/>
      <c r="CSW6" s="61"/>
      <c r="CSX6" s="61"/>
      <c r="CSY6" s="61"/>
      <c r="CSZ6" s="61"/>
      <c r="CTA6" s="61"/>
      <c r="CTB6" s="61"/>
      <c r="CTC6" s="61"/>
      <c r="CTD6" s="61"/>
      <c r="CTE6" s="61"/>
      <c r="CTF6" s="61"/>
      <c r="CTG6" s="61"/>
      <c r="CTH6" s="61"/>
      <c r="CTI6" s="61"/>
      <c r="CTJ6" s="61"/>
      <c r="CTK6" s="61"/>
      <c r="CTL6" s="61"/>
      <c r="CTM6" s="61"/>
      <c r="CTN6" s="61"/>
      <c r="CTO6" s="61"/>
      <c r="CTP6" s="61"/>
      <c r="CTQ6" s="61"/>
      <c r="CTR6" s="61"/>
      <c r="CTS6" s="61"/>
      <c r="CTT6" s="61"/>
      <c r="CTU6" s="61"/>
      <c r="CTV6" s="61"/>
      <c r="CTW6" s="61"/>
      <c r="CTX6" s="61"/>
      <c r="CTY6" s="61"/>
      <c r="CTZ6" s="61"/>
      <c r="CUA6" s="61"/>
      <c r="CUB6" s="61"/>
      <c r="CUC6" s="61"/>
      <c r="CUD6" s="61"/>
      <c r="CUE6" s="61"/>
      <c r="CUF6" s="61"/>
      <c r="CUG6" s="61"/>
      <c r="CUH6" s="61"/>
      <c r="CUI6" s="61"/>
      <c r="CUJ6" s="61"/>
      <c r="CUK6" s="61"/>
      <c r="CUL6" s="61"/>
      <c r="CUM6" s="61"/>
      <c r="CUN6" s="61"/>
      <c r="CUO6" s="61"/>
      <c r="CUP6" s="61"/>
      <c r="CUQ6" s="61"/>
      <c r="CUR6" s="61"/>
      <c r="CUS6" s="61"/>
      <c r="CUT6" s="61"/>
      <c r="CUU6" s="61"/>
      <c r="CUV6" s="61"/>
      <c r="CUW6" s="61"/>
      <c r="CUX6" s="61"/>
      <c r="CUY6" s="61"/>
      <c r="CUZ6" s="61"/>
      <c r="CVA6" s="61"/>
      <c r="CVB6" s="61"/>
      <c r="CVC6" s="61"/>
      <c r="CVD6" s="61"/>
      <c r="CVE6" s="61"/>
      <c r="CVF6" s="61"/>
      <c r="CVG6" s="61"/>
      <c r="CVH6" s="61"/>
      <c r="CVI6" s="61"/>
      <c r="CVJ6" s="61"/>
      <c r="CVK6" s="61"/>
      <c r="CVL6" s="61"/>
      <c r="CVM6" s="61"/>
      <c r="CVN6" s="61"/>
      <c r="CVO6" s="61"/>
      <c r="CVP6" s="61"/>
      <c r="CVQ6" s="61"/>
      <c r="CVR6" s="61"/>
      <c r="CVS6" s="61"/>
      <c r="CVT6" s="61"/>
      <c r="CVU6" s="61"/>
      <c r="CVV6" s="61"/>
      <c r="CVW6" s="61"/>
      <c r="CVX6" s="61"/>
      <c r="CVY6" s="61"/>
      <c r="CVZ6" s="61"/>
      <c r="CWA6" s="61"/>
      <c r="CWB6" s="61"/>
      <c r="CWC6" s="61"/>
      <c r="CWD6" s="61"/>
      <c r="CWE6" s="61"/>
      <c r="CWF6" s="61"/>
      <c r="CWG6" s="61"/>
      <c r="CWH6" s="61"/>
      <c r="CWI6" s="61"/>
      <c r="CWJ6" s="61"/>
      <c r="CWK6" s="61"/>
      <c r="CWL6" s="61"/>
      <c r="CWM6" s="61"/>
      <c r="CWN6" s="61"/>
      <c r="CWO6" s="61"/>
      <c r="CWP6" s="61"/>
      <c r="CWQ6" s="61"/>
      <c r="CWR6" s="61"/>
      <c r="CWS6" s="61"/>
      <c r="CWT6" s="61"/>
      <c r="CWU6" s="61"/>
      <c r="CWV6" s="61"/>
      <c r="CWW6" s="61"/>
      <c r="CWX6" s="61"/>
      <c r="CWY6" s="61"/>
      <c r="CWZ6" s="61"/>
      <c r="CXA6" s="61"/>
      <c r="CXB6" s="61"/>
      <c r="CXC6" s="61"/>
      <c r="CXD6" s="61"/>
      <c r="CXE6" s="61"/>
      <c r="CXF6" s="61"/>
      <c r="CXG6" s="61"/>
      <c r="CXH6" s="61"/>
      <c r="CXI6" s="61"/>
      <c r="CXJ6" s="61"/>
      <c r="CXK6" s="61"/>
      <c r="CXL6" s="61"/>
      <c r="CXM6" s="61"/>
      <c r="CXN6" s="61"/>
      <c r="CXO6" s="61"/>
      <c r="CXP6" s="61"/>
      <c r="CXQ6" s="61"/>
      <c r="CXR6" s="61"/>
      <c r="CXS6" s="61"/>
      <c r="CXT6" s="61"/>
      <c r="CXU6" s="61"/>
      <c r="CXV6" s="61"/>
      <c r="CXW6" s="61"/>
      <c r="CXX6" s="61"/>
      <c r="CXY6" s="61"/>
      <c r="CXZ6" s="61"/>
      <c r="CYA6" s="61"/>
      <c r="CYB6" s="61"/>
      <c r="CYC6" s="61"/>
      <c r="CYD6" s="61"/>
      <c r="CYE6" s="61"/>
      <c r="CYF6" s="61"/>
      <c r="CYG6" s="61"/>
      <c r="CYH6" s="61"/>
      <c r="CYI6" s="61"/>
      <c r="CYJ6" s="61"/>
      <c r="CYK6" s="61"/>
      <c r="CYL6" s="61"/>
      <c r="CYM6" s="61"/>
      <c r="CYN6" s="61"/>
      <c r="CYO6" s="61"/>
      <c r="CYP6" s="61"/>
      <c r="CYQ6" s="61"/>
      <c r="CYR6" s="61"/>
      <c r="CYS6" s="61"/>
      <c r="CYT6" s="61"/>
      <c r="CYU6" s="61"/>
      <c r="CYV6" s="61"/>
      <c r="CYW6" s="61"/>
      <c r="CYX6" s="61"/>
      <c r="CYY6" s="61"/>
      <c r="CYZ6" s="61"/>
      <c r="CZA6" s="61"/>
      <c r="CZB6" s="61"/>
      <c r="CZC6" s="61"/>
      <c r="CZD6" s="61"/>
      <c r="CZE6" s="61"/>
      <c r="CZF6" s="61"/>
      <c r="CZG6" s="61"/>
      <c r="CZH6" s="61"/>
      <c r="CZI6" s="61"/>
      <c r="CZJ6" s="61"/>
      <c r="CZK6" s="61"/>
      <c r="CZL6" s="61"/>
      <c r="CZM6" s="61"/>
      <c r="CZN6" s="61"/>
      <c r="CZO6" s="61"/>
      <c r="CZP6" s="61"/>
      <c r="CZQ6" s="61"/>
      <c r="CZR6" s="61"/>
      <c r="CZS6" s="61"/>
      <c r="CZT6" s="61"/>
      <c r="CZU6" s="61"/>
      <c r="CZV6" s="61"/>
      <c r="CZW6" s="61"/>
      <c r="CZX6" s="61"/>
      <c r="CZY6" s="61"/>
      <c r="CZZ6" s="61"/>
      <c r="DAA6" s="61"/>
      <c r="DAB6" s="61"/>
      <c r="DAC6" s="61"/>
      <c r="DAD6" s="61"/>
      <c r="DAE6" s="61"/>
      <c r="DAF6" s="61"/>
      <c r="DAG6" s="61"/>
      <c r="DAH6" s="61"/>
      <c r="DAI6" s="61"/>
      <c r="DAJ6" s="61"/>
      <c r="DAK6" s="61"/>
      <c r="DAL6" s="61"/>
      <c r="DAM6" s="61"/>
      <c r="DAN6" s="61"/>
      <c r="DAO6" s="61"/>
      <c r="DAP6" s="61"/>
      <c r="DAQ6" s="61"/>
      <c r="DAR6" s="61"/>
      <c r="DAS6" s="61"/>
      <c r="DAT6" s="61"/>
      <c r="DAU6" s="61"/>
      <c r="DAV6" s="61"/>
      <c r="DAW6" s="61"/>
      <c r="DAX6" s="61"/>
      <c r="DAY6" s="61"/>
      <c r="DAZ6" s="61"/>
      <c r="DBA6" s="61"/>
      <c r="DBB6" s="61"/>
      <c r="DBC6" s="61"/>
      <c r="DBD6" s="61"/>
      <c r="DBE6" s="61"/>
      <c r="DBF6" s="61"/>
      <c r="DBG6" s="61"/>
      <c r="DBH6" s="61"/>
      <c r="DBI6" s="61"/>
      <c r="DBJ6" s="61"/>
      <c r="DBK6" s="61"/>
      <c r="DBL6" s="61"/>
      <c r="DBM6" s="61"/>
      <c r="DBN6" s="61"/>
      <c r="DBO6" s="61"/>
      <c r="DBP6" s="61"/>
      <c r="DBQ6" s="61"/>
      <c r="DBR6" s="61"/>
      <c r="DBS6" s="61"/>
      <c r="DBT6" s="61"/>
      <c r="DBU6" s="61"/>
      <c r="DBV6" s="61"/>
      <c r="DBW6" s="61"/>
      <c r="DBX6" s="61"/>
      <c r="DBY6" s="61"/>
      <c r="DBZ6" s="61"/>
      <c r="DCA6" s="61"/>
      <c r="DCB6" s="61"/>
      <c r="DCC6" s="61"/>
      <c r="DCD6" s="61"/>
      <c r="DCE6" s="61"/>
      <c r="DCF6" s="61"/>
      <c r="DCG6" s="61"/>
      <c r="DCH6" s="61"/>
      <c r="DCI6" s="61"/>
      <c r="DCJ6" s="61"/>
      <c r="DCK6" s="61"/>
      <c r="DCL6" s="61"/>
      <c r="DCM6" s="61"/>
      <c r="DCN6" s="61"/>
      <c r="DCO6" s="61"/>
      <c r="DCP6" s="61"/>
      <c r="DCQ6" s="61"/>
      <c r="DCR6" s="61"/>
      <c r="DCS6" s="61"/>
      <c r="DCT6" s="61"/>
      <c r="DCU6" s="61"/>
      <c r="DCV6" s="61"/>
      <c r="DCW6" s="61"/>
      <c r="DCX6" s="61"/>
      <c r="DCY6" s="61"/>
      <c r="DCZ6" s="61"/>
      <c r="DDA6" s="61"/>
      <c r="DDB6" s="61"/>
      <c r="DDC6" s="61"/>
      <c r="DDD6" s="61"/>
      <c r="DDE6" s="61"/>
      <c r="DDF6" s="61"/>
      <c r="DDG6" s="61"/>
      <c r="DDH6" s="61"/>
      <c r="DDI6" s="61"/>
      <c r="DDJ6" s="61"/>
      <c r="DDK6" s="61"/>
      <c r="DDL6" s="61"/>
      <c r="DDM6" s="61"/>
      <c r="DDN6" s="61"/>
      <c r="DDO6" s="61"/>
      <c r="DDP6" s="61"/>
      <c r="DDQ6" s="61"/>
      <c r="DDR6" s="61"/>
      <c r="DDS6" s="61"/>
      <c r="DDT6" s="61"/>
      <c r="DDU6" s="61"/>
      <c r="DDV6" s="61"/>
      <c r="DDW6" s="61"/>
      <c r="DDX6" s="61"/>
      <c r="DDY6" s="61"/>
      <c r="DDZ6" s="61"/>
      <c r="DEA6" s="61"/>
      <c r="DEB6" s="61"/>
      <c r="DEC6" s="61"/>
      <c r="DED6" s="61"/>
      <c r="DEE6" s="61"/>
      <c r="DEF6" s="61"/>
      <c r="DEG6" s="61"/>
      <c r="DEH6" s="61"/>
      <c r="DEI6" s="61"/>
      <c r="DEJ6" s="61"/>
      <c r="DEK6" s="61"/>
      <c r="DEL6" s="61"/>
      <c r="DEM6" s="61"/>
      <c r="DEN6" s="61"/>
      <c r="DEO6" s="61"/>
      <c r="DEP6" s="61"/>
      <c r="DEQ6" s="61"/>
      <c r="DER6" s="61"/>
      <c r="DES6" s="61"/>
      <c r="DET6" s="61"/>
      <c r="DEU6" s="61"/>
      <c r="DEV6" s="61"/>
      <c r="DEW6" s="61"/>
      <c r="DEX6" s="61"/>
      <c r="DEY6" s="61"/>
      <c r="DEZ6" s="61"/>
      <c r="DFA6" s="61"/>
      <c r="DFB6" s="61"/>
      <c r="DFC6" s="61"/>
      <c r="DFD6" s="61"/>
      <c r="DFE6" s="61"/>
      <c r="DFF6" s="61"/>
      <c r="DFG6" s="61"/>
      <c r="DFH6" s="61"/>
      <c r="DFI6" s="61"/>
      <c r="DFJ6" s="61"/>
      <c r="DFK6" s="61"/>
      <c r="DFL6" s="61"/>
      <c r="DFM6" s="61"/>
      <c r="DFN6" s="61"/>
      <c r="DFO6" s="61"/>
      <c r="DFP6" s="61"/>
      <c r="DFQ6" s="61"/>
      <c r="DFR6" s="61"/>
      <c r="DFS6" s="61"/>
      <c r="DFT6" s="61"/>
      <c r="DFU6" s="61"/>
      <c r="DFV6" s="61"/>
      <c r="DFW6" s="61"/>
      <c r="DFX6" s="61"/>
      <c r="DFY6" s="61"/>
      <c r="DFZ6" s="61"/>
      <c r="DGA6" s="61"/>
      <c r="DGB6" s="61"/>
      <c r="DGC6" s="61"/>
      <c r="DGD6" s="61"/>
      <c r="DGE6" s="61"/>
      <c r="DGF6" s="61"/>
      <c r="DGG6" s="61"/>
      <c r="DGH6" s="61"/>
      <c r="DGI6" s="61"/>
      <c r="DGJ6" s="61"/>
      <c r="DGK6" s="61"/>
      <c r="DGL6" s="61"/>
      <c r="DGM6" s="61"/>
      <c r="DGN6" s="61"/>
      <c r="DGO6" s="61"/>
      <c r="DGP6" s="61"/>
      <c r="DGQ6" s="61"/>
      <c r="DGR6" s="61"/>
      <c r="DGS6" s="61"/>
      <c r="DGT6" s="61"/>
      <c r="DGU6" s="61"/>
      <c r="DGV6" s="61"/>
      <c r="DGW6" s="61"/>
      <c r="DGX6" s="61"/>
      <c r="DGY6" s="61"/>
      <c r="DGZ6" s="61"/>
      <c r="DHA6" s="61"/>
      <c r="DHB6" s="61"/>
      <c r="DHC6" s="61"/>
      <c r="DHD6" s="61"/>
      <c r="DHE6" s="61"/>
      <c r="DHF6" s="61"/>
      <c r="DHG6" s="61"/>
      <c r="DHH6" s="61"/>
      <c r="DHI6" s="61"/>
      <c r="DHJ6" s="61"/>
      <c r="DHK6" s="61"/>
      <c r="DHL6" s="61"/>
      <c r="DHM6" s="61"/>
      <c r="DHN6" s="61"/>
      <c r="DHO6" s="61"/>
      <c r="DHP6" s="61"/>
      <c r="DHQ6" s="61"/>
      <c r="DHR6" s="61"/>
      <c r="DHS6" s="61"/>
      <c r="DHT6" s="61"/>
      <c r="DHU6" s="61"/>
      <c r="DHV6" s="61"/>
      <c r="DHW6" s="61"/>
      <c r="DHX6" s="61"/>
      <c r="DHY6" s="61"/>
      <c r="DHZ6" s="61"/>
      <c r="DIA6" s="61"/>
      <c r="DIB6" s="61"/>
      <c r="DIC6" s="61"/>
      <c r="DID6" s="61"/>
      <c r="DIE6" s="61"/>
      <c r="DIF6" s="61"/>
      <c r="DIG6" s="61"/>
      <c r="DIH6" s="61"/>
      <c r="DII6" s="61"/>
      <c r="DIJ6" s="61"/>
      <c r="DIK6" s="61"/>
      <c r="DIL6" s="61"/>
      <c r="DIM6" s="61"/>
      <c r="DIN6" s="61"/>
      <c r="DIO6" s="61"/>
      <c r="DIP6" s="61"/>
      <c r="DIQ6" s="61"/>
      <c r="DIR6" s="61"/>
      <c r="DIS6" s="61"/>
      <c r="DIT6" s="61"/>
      <c r="DIU6" s="61"/>
      <c r="DIV6" s="61"/>
      <c r="DIW6" s="61"/>
      <c r="DIX6" s="61"/>
      <c r="DIY6" s="61"/>
      <c r="DIZ6" s="61"/>
      <c r="DJA6" s="61"/>
      <c r="DJB6" s="61"/>
      <c r="DJC6" s="61"/>
      <c r="DJD6" s="61"/>
      <c r="DJE6" s="61"/>
      <c r="DJF6" s="61"/>
      <c r="DJG6" s="61"/>
      <c r="DJH6" s="61"/>
      <c r="DJI6" s="61"/>
      <c r="DJJ6" s="61"/>
      <c r="DJK6" s="61"/>
      <c r="DJL6" s="61"/>
      <c r="DJM6" s="61"/>
      <c r="DJN6" s="61"/>
      <c r="DJO6" s="61"/>
      <c r="DJP6" s="61"/>
      <c r="DJQ6" s="61"/>
      <c r="DJR6" s="61"/>
      <c r="DJS6" s="61"/>
      <c r="DJT6" s="61"/>
      <c r="DJU6" s="61"/>
      <c r="DJV6" s="61"/>
      <c r="DJW6" s="61"/>
      <c r="DJX6" s="61"/>
      <c r="DJY6" s="61"/>
      <c r="DJZ6" s="61"/>
      <c r="DKA6" s="61"/>
      <c r="DKB6" s="61"/>
      <c r="DKC6" s="61"/>
      <c r="DKD6" s="61"/>
      <c r="DKE6" s="61"/>
      <c r="DKF6" s="61"/>
      <c r="DKG6" s="61"/>
      <c r="DKH6" s="61"/>
      <c r="DKI6" s="61"/>
      <c r="DKJ6" s="61"/>
      <c r="DKK6" s="61"/>
      <c r="DKL6" s="61"/>
      <c r="DKM6" s="61"/>
      <c r="DKN6" s="61"/>
      <c r="DKO6" s="61"/>
      <c r="DKP6" s="61"/>
      <c r="DKQ6" s="61"/>
      <c r="DKR6" s="61"/>
      <c r="DKS6" s="61"/>
      <c r="DKT6" s="61"/>
      <c r="DKU6" s="61"/>
      <c r="DKV6" s="61"/>
      <c r="DKW6" s="61"/>
      <c r="DKX6" s="61"/>
      <c r="DKY6" s="61"/>
      <c r="DKZ6" s="61"/>
      <c r="DLA6" s="61"/>
      <c r="DLB6" s="61"/>
      <c r="DLC6" s="61"/>
      <c r="DLD6" s="61"/>
      <c r="DLE6" s="61"/>
      <c r="DLF6" s="61"/>
      <c r="DLG6" s="61"/>
      <c r="DLH6" s="61"/>
      <c r="DLI6" s="61"/>
      <c r="DLJ6" s="61"/>
      <c r="DLK6" s="61"/>
      <c r="DLL6" s="61"/>
      <c r="DLM6" s="61"/>
      <c r="DLN6" s="61"/>
      <c r="DLO6" s="61"/>
      <c r="DLP6" s="61"/>
      <c r="DLQ6" s="61"/>
      <c r="DLR6" s="61"/>
      <c r="DLS6" s="61"/>
      <c r="DLT6" s="61"/>
      <c r="DLU6" s="61"/>
      <c r="DLV6" s="61"/>
      <c r="DLW6" s="61"/>
      <c r="DLX6" s="61"/>
      <c r="DLY6" s="61"/>
      <c r="DLZ6" s="61"/>
      <c r="DMA6" s="61"/>
      <c r="DMB6" s="61"/>
      <c r="DMC6" s="61"/>
      <c r="DMD6" s="61"/>
      <c r="DME6" s="61"/>
      <c r="DMF6" s="61"/>
      <c r="DMG6" s="61"/>
      <c r="DMH6" s="61"/>
      <c r="DMI6" s="61"/>
      <c r="DMJ6" s="61"/>
      <c r="DMK6" s="61"/>
      <c r="DML6" s="61"/>
      <c r="DMM6" s="61"/>
      <c r="DMN6" s="61"/>
      <c r="DMO6" s="61"/>
      <c r="DMP6" s="61"/>
      <c r="DMQ6" s="61"/>
      <c r="DMR6" s="61"/>
      <c r="DMS6" s="61"/>
      <c r="DMT6" s="61"/>
      <c r="DMU6" s="61"/>
      <c r="DMV6" s="61"/>
      <c r="DMW6" s="61"/>
      <c r="DMX6" s="61"/>
      <c r="DMY6" s="61"/>
      <c r="DMZ6" s="61"/>
      <c r="DNA6" s="61"/>
      <c r="DNB6" s="61"/>
      <c r="DNC6" s="61"/>
      <c r="DND6" s="61"/>
      <c r="DNE6" s="61"/>
      <c r="DNF6" s="61"/>
      <c r="DNG6" s="61"/>
      <c r="DNH6" s="61"/>
      <c r="DNI6" s="61"/>
      <c r="DNJ6" s="61"/>
      <c r="DNK6" s="61"/>
      <c r="DNL6" s="61"/>
      <c r="DNM6" s="61"/>
      <c r="DNN6" s="61"/>
      <c r="DNO6" s="61"/>
      <c r="DNP6" s="61"/>
      <c r="DNQ6" s="61"/>
      <c r="DNR6" s="61"/>
      <c r="DNS6" s="61"/>
      <c r="DNT6" s="61"/>
      <c r="DNU6" s="61"/>
      <c r="DNV6" s="61"/>
      <c r="DNW6" s="61"/>
      <c r="DNX6" s="61"/>
      <c r="DNY6" s="61"/>
      <c r="DNZ6" s="61"/>
      <c r="DOA6" s="61"/>
      <c r="DOB6" s="61"/>
      <c r="DOC6" s="61"/>
      <c r="DOD6" s="61"/>
      <c r="DOE6" s="61"/>
      <c r="DOF6" s="61"/>
      <c r="DOG6" s="61"/>
      <c r="DOH6" s="61"/>
      <c r="DOI6" s="61"/>
      <c r="DOJ6" s="61"/>
      <c r="DOK6" s="61"/>
      <c r="DOL6" s="61"/>
      <c r="DOM6" s="61"/>
      <c r="DON6" s="61"/>
      <c r="DOO6" s="61"/>
      <c r="DOP6" s="61"/>
      <c r="DOQ6" s="61"/>
      <c r="DOR6" s="61"/>
      <c r="DOS6" s="61"/>
      <c r="DOT6" s="61"/>
      <c r="DOU6" s="61"/>
      <c r="DOV6" s="61"/>
      <c r="DOW6" s="61"/>
      <c r="DOX6" s="61"/>
      <c r="DOY6" s="61"/>
      <c r="DOZ6" s="61"/>
      <c r="DPA6" s="61"/>
      <c r="DPB6" s="61"/>
      <c r="DPC6" s="61"/>
      <c r="DPD6" s="61"/>
      <c r="DPE6" s="61"/>
      <c r="DPF6" s="61"/>
      <c r="DPG6" s="61"/>
      <c r="DPH6" s="61"/>
      <c r="DPI6" s="61"/>
      <c r="DPJ6" s="61"/>
      <c r="DPK6" s="61"/>
      <c r="DPL6" s="61"/>
      <c r="DPM6" s="61"/>
      <c r="DPN6" s="61"/>
      <c r="DPO6" s="61"/>
      <c r="DPP6" s="61"/>
      <c r="DPQ6" s="61"/>
      <c r="DPR6" s="61"/>
      <c r="DPS6" s="61"/>
      <c r="DPT6" s="61"/>
      <c r="DPU6" s="61"/>
      <c r="DPV6" s="61"/>
      <c r="DPW6" s="61"/>
      <c r="DPX6" s="61"/>
      <c r="DPY6" s="61"/>
      <c r="DPZ6" s="61"/>
      <c r="DQA6" s="61"/>
      <c r="DQB6" s="61"/>
      <c r="DQC6" s="61"/>
      <c r="DQD6" s="61"/>
      <c r="DQE6" s="61"/>
      <c r="DQF6" s="61"/>
      <c r="DQG6" s="61"/>
      <c r="DQH6" s="61"/>
      <c r="DQI6" s="61"/>
      <c r="DQJ6" s="61"/>
      <c r="DQK6" s="61"/>
      <c r="DQL6" s="61"/>
      <c r="DQM6" s="61"/>
      <c r="DQN6" s="61"/>
      <c r="DQO6" s="61"/>
      <c r="DQP6" s="61"/>
      <c r="DQQ6" s="61"/>
      <c r="DQR6" s="61"/>
      <c r="DQS6" s="61"/>
      <c r="DQT6" s="61"/>
      <c r="DQU6" s="61"/>
      <c r="DQV6" s="61"/>
      <c r="DQW6" s="61"/>
      <c r="DQX6" s="61"/>
      <c r="DQY6" s="61"/>
      <c r="DQZ6" s="61"/>
      <c r="DRA6" s="61"/>
      <c r="DRB6" s="61"/>
      <c r="DRC6" s="61"/>
      <c r="DRD6" s="61"/>
      <c r="DRE6" s="61"/>
      <c r="DRF6" s="61"/>
      <c r="DRG6" s="61"/>
      <c r="DRH6" s="61"/>
      <c r="DRI6" s="61"/>
      <c r="DRJ6" s="61"/>
      <c r="DRK6" s="61"/>
      <c r="DRL6" s="61"/>
      <c r="DRM6" s="61"/>
      <c r="DRN6" s="61"/>
      <c r="DRO6" s="61"/>
      <c r="DRP6" s="61"/>
      <c r="DRQ6" s="61"/>
      <c r="DRR6" s="61"/>
      <c r="DRS6" s="61"/>
      <c r="DRT6" s="61"/>
      <c r="DRU6" s="61"/>
      <c r="DRV6" s="61"/>
      <c r="DRW6" s="61"/>
      <c r="DRX6" s="61"/>
      <c r="DRY6" s="61"/>
      <c r="DRZ6" s="61"/>
      <c r="DSA6" s="61"/>
      <c r="DSB6" s="61"/>
      <c r="DSC6" s="61"/>
      <c r="DSD6" s="61"/>
      <c r="DSE6" s="61"/>
      <c r="DSF6" s="61"/>
      <c r="DSG6" s="61"/>
      <c r="DSH6" s="61"/>
      <c r="DSI6" s="61"/>
      <c r="DSJ6" s="61"/>
      <c r="DSK6" s="61"/>
      <c r="DSL6" s="61"/>
      <c r="DSM6" s="61"/>
      <c r="DSN6" s="61"/>
      <c r="DSO6" s="61"/>
      <c r="DSP6" s="61"/>
      <c r="DSQ6" s="61"/>
      <c r="DSR6" s="61"/>
      <c r="DSS6" s="61"/>
      <c r="DST6" s="61"/>
      <c r="DSU6" s="61"/>
      <c r="DSV6" s="61"/>
      <c r="DSW6" s="61"/>
      <c r="DSX6" s="61"/>
      <c r="DSY6" s="61"/>
      <c r="DSZ6" s="61"/>
      <c r="DTA6" s="61"/>
      <c r="DTB6" s="61"/>
      <c r="DTC6" s="61"/>
      <c r="DTD6" s="61"/>
      <c r="DTE6" s="61"/>
      <c r="DTF6" s="61"/>
      <c r="DTG6" s="61"/>
      <c r="DTH6" s="61"/>
      <c r="DTI6" s="61"/>
      <c r="DTJ6" s="61"/>
      <c r="DTK6" s="61"/>
      <c r="DTL6" s="61"/>
      <c r="DTM6" s="61"/>
      <c r="DTN6" s="61"/>
      <c r="DTO6" s="61"/>
      <c r="DTP6" s="61"/>
      <c r="DTQ6" s="61"/>
      <c r="DTR6" s="61"/>
      <c r="DTS6" s="61"/>
      <c r="DTT6" s="61"/>
      <c r="DTU6" s="61"/>
      <c r="DTV6" s="61"/>
      <c r="DTW6" s="61"/>
      <c r="DTX6" s="61"/>
      <c r="DTY6" s="61"/>
      <c r="DTZ6" s="61"/>
      <c r="DUA6" s="61"/>
      <c r="DUB6" s="61"/>
      <c r="DUC6" s="61"/>
      <c r="DUD6" s="61"/>
      <c r="DUE6" s="61"/>
      <c r="DUF6" s="61"/>
      <c r="DUG6" s="61"/>
      <c r="DUH6" s="61"/>
      <c r="DUI6" s="61"/>
      <c r="DUJ6" s="61"/>
      <c r="DUK6" s="61"/>
      <c r="DUL6" s="61"/>
      <c r="DUM6" s="61"/>
      <c r="DUN6" s="61"/>
      <c r="DUO6" s="61"/>
      <c r="DUP6" s="61"/>
      <c r="DUQ6" s="61"/>
      <c r="DUR6" s="61"/>
      <c r="DUS6" s="61"/>
      <c r="DUT6" s="61"/>
      <c r="DUU6" s="61"/>
      <c r="DUV6" s="61"/>
      <c r="DUW6" s="61"/>
      <c r="DUX6" s="61"/>
      <c r="DUY6" s="61"/>
      <c r="DUZ6" s="61"/>
      <c r="DVA6" s="61"/>
      <c r="DVB6" s="61"/>
      <c r="DVC6" s="61"/>
      <c r="DVD6" s="61"/>
      <c r="DVE6" s="61"/>
      <c r="DVF6" s="61"/>
      <c r="DVG6" s="61"/>
      <c r="DVH6" s="61"/>
      <c r="DVI6" s="61"/>
      <c r="DVJ6" s="61"/>
      <c r="DVK6" s="61"/>
      <c r="DVL6" s="61"/>
      <c r="DVM6" s="61"/>
      <c r="DVN6" s="61"/>
      <c r="DVO6" s="61"/>
      <c r="DVP6" s="61"/>
      <c r="DVQ6" s="61"/>
      <c r="DVR6" s="61"/>
      <c r="DVS6" s="61"/>
      <c r="DVT6" s="61"/>
      <c r="DVU6" s="61"/>
      <c r="DVV6" s="61"/>
      <c r="DVW6" s="61"/>
      <c r="DVX6" s="61"/>
      <c r="DVY6" s="61"/>
      <c r="DVZ6" s="61"/>
      <c r="DWA6" s="61"/>
      <c r="DWB6" s="61"/>
      <c r="DWC6" s="61"/>
      <c r="DWD6" s="61"/>
      <c r="DWE6" s="61"/>
      <c r="DWF6" s="61"/>
      <c r="DWG6" s="61"/>
      <c r="DWH6" s="61"/>
      <c r="DWI6" s="61"/>
      <c r="DWJ6" s="61"/>
      <c r="DWK6" s="61"/>
      <c r="DWL6" s="61"/>
      <c r="DWM6" s="61"/>
      <c r="DWN6" s="61"/>
      <c r="DWO6" s="61"/>
      <c r="DWP6" s="61"/>
      <c r="DWQ6" s="61"/>
      <c r="DWR6" s="61"/>
      <c r="DWS6" s="61"/>
      <c r="DWT6" s="61"/>
      <c r="DWU6" s="61"/>
      <c r="DWV6" s="61"/>
      <c r="DWW6" s="61"/>
      <c r="DWX6" s="61"/>
      <c r="DWY6" s="61"/>
      <c r="DWZ6" s="61"/>
      <c r="DXA6" s="61"/>
      <c r="DXB6" s="61"/>
      <c r="DXC6" s="61"/>
      <c r="DXD6" s="61"/>
      <c r="DXE6" s="61"/>
      <c r="DXF6" s="61"/>
      <c r="DXG6" s="61"/>
      <c r="DXH6" s="61"/>
      <c r="DXI6" s="61"/>
      <c r="DXJ6" s="61"/>
      <c r="DXK6" s="61"/>
      <c r="DXL6" s="61"/>
      <c r="DXM6" s="61"/>
      <c r="DXN6" s="61"/>
      <c r="DXO6" s="61"/>
      <c r="DXP6" s="61"/>
      <c r="DXQ6" s="61"/>
      <c r="DXR6" s="61"/>
      <c r="DXS6" s="61"/>
      <c r="DXT6" s="61"/>
      <c r="DXU6" s="61"/>
      <c r="DXV6" s="61"/>
      <c r="DXW6" s="61"/>
      <c r="DXX6" s="61"/>
      <c r="DXY6" s="61"/>
      <c r="DXZ6" s="61"/>
      <c r="DYA6" s="61"/>
      <c r="DYB6" s="61"/>
      <c r="DYC6" s="61"/>
      <c r="DYD6" s="61"/>
      <c r="DYE6" s="61"/>
      <c r="DYF6" s="61"/>
      <c r="DYG6" s="61"/>
      <c r="DYH6" s="61"/>
      <c r="DYI6" s="61"/>
      <c r="DYJ6" s="61"/>
      <c r="DYK6" s="61"/>
      <c r="DYL6" s="61"/>
      <c r="DYM6" s="61"/>
      <c r="DYN6" s="61"/>
      <c r="DYO6" s="61"/>
      <c r="DYP6" s="61"/>
      <c r="DYQ6" s="61"/>
      <c r="DYR6" s="61"/>
      <c r="DYS6" s="61"/>
      <c r="DYT6" s="61"/>
      <c r="DYU6" s="61"/>
      <c r="DYV6" s="61"/>
      <c r="DYW6" s="61"/>
      <c r="DYX6" s="61"/>
      <c r="DYY6" s="61"/>
      <c r="DYZ6" s="61"/>
      <c r="DZA6" s="61"/>
      <c r="DZB6" s="61"/>
      <c r="DZC6" s="61"/>
      <c r="DZD6" s="61"/>
      <c r="DZE6" s="61"/>
      <c r="DZF6" s="61"/>
      <c r="DZG6" s="61"/>
      <c r="DZH6" s="61"/>
      <c r="DZI6" s="61"/>
      <c r="DZJ6" s="61"/>
      <c r="DZK6" s="61"/>
      <c r="DZL6" s="61"/>
      <c r="DZM6" s="61"/>
      <c r="DZN6" s="61"/>
      <c r="DZO6" s="61"/>
      <c r="DZP6" s="61"/>
      <c r="DZQ6" s="61"/>
      <c r="DZR6" s="61"/>
      <c r="DZS6" s="61"/>
      <c r="DZT6" s="61"/>
      <c r="DZU6" s="61"/>
      <c r="DZV6" s="61"/>
      <c r="DZW6" s="61"/>
      <c r="DZX6" s="61"/>
      <c r="DZY6" s="61"/>
      <c r="DZZ6" s="61"/>
      <c r="EAA6" s="61"/>
      <c r="EAB6" s="61"/>
      <c r="EAC6" s="61"/>
      <c r="EAD6" s="61"/>
      <c r="EAE6" s="61"/>
      <c r="EAF6" s="61"/>
      <c r="EAG6" s="61"/>
      <c r="EAH6" s="61"/>
      <c r="EAI6" s="61"/>
      <c r="EAJ6" s="61"/>
      <c r="EAK6" s="61"/>
      <c r="EAL6" s="61"/>
      <c r="EAM6" s="61"/>
      <c r="EAN6" s="61"/>
      <c r="EAO6" s="61"/>
      <c r="EAP6" s="61"/>
      <c r="EAQ6" s="61"/>
      <c r="EAR6" s="61"/>
      <c r="EAS6" s="61"/>
      <c r="EAT6" s="61"/>
      <c r="EAU6" s="61"/>
      <c r="EAV6" s="61"/>
      <c r="EAW6" s="61"/>
      <c r="EAX6" s="61"/>
      <c r="EAY6" s="61"/>
      <c r="EAZ6" s="61"/>
      <c r="EBA6" s="61"/>
      <c r="EBB6" s="61"/>
      <c r="EBC6" s="61"/>
      <c r="EBD6" s="61"/>
      <c r="EBE6" s="61"/>
      <c r="EBF6" s="61"/>
      <c r="EBG6" s="61"/>
      <c r="EBH6" s="61"/>
      <c r="EBI6" s="61"/>
      <c r="EBJ6" s="61"/>
      <c r="EBK6" s="61"/>
      <c r="EBL6" s="61"/>
      <c r="EBM6" s="61"/>
      <c r="EBN6" s="61"/>
      <c r="EBO6" s="61"/>
      <c r="EBP6" s="61"/>
      <c r="EBQ6" s="61"/>
      <c r="EBR6" s="61"/>
      <c r="EBS6" s="61"/>
      <c r="EBT6" s="61"/>
      <c r="EBU6" s="61"/>
      <c r="EBV6" s="61"/>
      <c r="EBW6" s="61"/>
      <c r="EBX6" s="61"/>
      <c r="EBY6" s="61"/>
      <c r="EBZ6" s="61"/>
      <c r="ECA6" s="61"/>
      <c r="ECB6" s="61"/>
      <c r="ECC6" s="61"/>
      <c r="ECD6" s="61"/>
      <c r="ECE6" s="61"/>
      <c r="ECF6" s="61"/>
      <c r="ECG6" s="61"/>
      <c r="ECH6" s="61"/>
      <c r="ECI6" s="61"/>
      <c r="ECJ6" s="61"/>
      <c r="ECK6" s="61"/>
      <c r="ECL6" s="61"/>
      <c r="ECM6" s="61"/>
      <c r="ECN6" s="61"/>
      <c r="ECO6" s="61"/>
      <c r="ECP6" s="61"/>
      <c r="ECQ6" s="61"/>
      <c r="ECR6" s="61"/>
      <c r="ECS6" s="61"/>
      <c r="ECT6" s="61"/>
      <c r="ECU6" s="61"/>
      <c r="ECV6" s="61"/>
      <c r="ECW6" s="61"/>
      <c r="ECX6" s="61"/>
      <c r="ECY6" s="61"/>
      <c r="ECZ6" s="61"/>
      <c r="EDA6" s="61"/>
      <c r="EDB6" s="61"/>
      <c r="EDC6" s="61"/>
      <c r="EDD6" s="61"/>
      <c r="EDE6" s="61"/>
      <c r="EDF6" s="61"/>
      <c r="EDG6" s="61"/>
      <c r="EDH6" s="61"/>
      <c r="EDI6" s="61"/>
      <c r="EDJ6" s="61"/>
      <c r="EDK6" s="61"/>
      <c r="EDL6" s="61"/>
      <c r="EDM6" s="61"/>
      <c r="EDN6" s="61"/>
      <c r="EDO6" s="61"/>
      <c r="EDP6" s="61"/>
      <c r="EDQ6" s="61"/>
      <c r="EDR6" s="61"/>
      <c r="EDS6" s="61"/>
      <c r="EDT6" s="61"/>
      <c r="EDU6" s="61"/>
      <c r="EDV6" s="61"/>
      <c r="EDW6" s="61"/>
      <c r="EDX6" s="61"/>
      <c r="EDY6" s="61"/>
      <c r="EDZ6" s="61"/>
      <c r="EEA6" s="61"/>
      <c r="EEB6" s="61"/>
      <c r="EEC6" s="61"/>
      <c r="EED6" s="61"/>
      <c r="EEE6" s="61"/>
      <c r="EEF6" s="61"/>
      <c r="EEG6" s="61"/>
      <c r="EEH6" s="61"/>
      <c r="EEI6" s="61"/>
      <c r="EEJ6" s="61"/>
      <c r="EEK6" s="61"/>
      <c r="EEL6" s="61"/>
      <c r="EEM6" s="61"/>
      <c r="EEN6" s="61"/>
      <c r="EEO6" s="61"/>
      <c r="EEP6" s="61"/>
      <c r="EEQ6" s="61"/>
      <c r="EER6" s="61"/>
      <c r="EES6" s="61"/>
      <c r="EET6" s="61"/>
      <c r="EEU6" s="61"/>
      <c r="EEV6" s="61"/>
      <c r="EEW6" s="61"/>
      <c r="EEX6" s="61"/>
      <c r="EEY6" s="61"/>
      <c r="EEZ6" s="61"/>
      <c r="EFA6" s="61"/>
      <c r="EFB6" s="61"/>
      <c r="EFC6" s="61"/>
      <c r="EFD6" s="61"/>
      <c r="EFE6" s="61"/>
      <c r="EFF6" s="61"/>
      <c r="EFG6" s="61"/>
      <c r="EFH6" s="61"/>
      <c r="EFI6" s="61"/>
      <c r="EFJ6" s="61"/>
      <c r="EFK6" s="61"/>
      <c r="EFL6" s="61"/>
      <c r="EFM6" s="61"/>
      <c r="EFN6" s="61"/>
      <c r="EFO6" s="61"/>
      <c r="EFP6" s="61"/>
      <c r="EFQ6" s="61"/>
      <c r="EFR6" s="61"/>
      <c r="EFS6" s="61"/>
      <c r="EFT6" s="61"/>
      <c r="EFU6" s="61"/>
      <c r="EFV6" s="61"/>
      <c r="EFW6" s="61"/>
      <c r="EFX6" s="61"/>
      <c r="EFY6" s="61"/>
      <c r="EFZ6" s="61"/>
      <c r="EGA6" s="61"/>
      <c r="EGB6" s="61"/>
      <c r="EGC6" s="61"/>
      <c r="EGD6" s="61"/>
      <c r="EGE6" s="61"/>
      <c r="EGF6" s="61"/>
      <c r="EGG6" s="61"/>
      <c r="EGH6" s="61"/>
      <c r="EGI6" s="61"/>
      <c r="EGJ6" s="61"/>
      <c r="EGK6" s="61"/>
      <c r="EGL6" s="61"/>
      <c r="EGM6" s="61"/>
      <c r="EGN6" s="61"/>
      <c r="EGO6" s="61"/>
      <c r="EGP6" s="61"/>
      <c r="EGQ6" s="61"/>
      <c r="EGR6" s="61"/>
      <c r="EGS6" s="61"/>
      <c r="EGT6" s="61"/>
      <c r="EGU6" s="61"/>
      <c r="EGV6" s="61"/>
      <c r="EGW6" s="61"/>
      <c r="EGX6" s="61"/>
      <c r="EGY6" s="61"/>
      <c r="EGZ6" s="61"/>
      <c r="EHA6" s="61"/>
      <c r="EHB6" s="61"/>
      <c r="EHC6" s="61"/>
      <c r="EHD6" s="61"/>
      <c r="EHE6" s="61"/>
      <c r="EHF6" s="61"/>
      <c r="EHG6" s="61"/>
      <c r="EHH6" s="61"/>
      <c r="EHI6" s="61"/>
      <c r="EHJ6" s="61"/>
      <c r="EHK6" s="61"/>
      <c r="EHL6" s="61"/>
      <c r="EHM6" s="61"/>
      <c r="EHN6" s="61"/>
      <c r="EHO6" s="61"/>
      <c r="EHP6" s="61"/>
      <c r="EHQ6" s="61"/>
      <c r="EHR6" s="61"/>
      <c r="EHS6" s="61"/>
      <c r="EHT6" s="61"/>
      <c r="EHU6" s="61"/>
      <c r="EHV6" s="61"/>
      <c r="EHW6" s="61"/>
      <c r="EHX6" s="61"/>
      <c r="EHY6" s="61"/>
      <c r="EHZ6" s="61"/>
      <c r="EIA6" s="61"/>
      <c r="EIB6" s="61"/>
      <c r="EIC6" s="61"/>
      <c r="EID6" s="61"/>
      <c r="EIE6" s="61"/>
      <c r="EIF6" s="61"/>
      <c r="EIG6" s="61"/>
      <c r="EIH6" s="61"/>
      <c r="EII6" s="61"/>
      <c r="EIJ6" s="61"/>
      <c r="EIK6" s="61"/>
      <c r="EIL6" s="61"/>
      <c r="EIM6" s="61"/>
      <c r="EIN6" s="61"/>
      <c r="EIO6" s="61"/>
      <c r="EIP6" s="61"/>
      <c r="EIQ6" s="61"/>
      <c r="EIR6" s="61"/>
      <c r="EIS6" s="61"/>
      <c r="EIT6" s="61"/>
      <c r="EIU6" s="61"/>
      <c r="EIV6" s="61"/>
      <c r="EIW6" s="61"/>
      <c r="EIX6" s="61"/>
      <c r="EIY6" s="61"/>
      <c r="EIZ6" s="61"/>
      <c r="EJA6" s="61"/>
      <c r="EJB6" s="61"/>
      <c r="EJC6" s="61"/>
      <c r="EJD6" s="61"/>
      <c r="EJE6" s="61"/>
      <c r="EJF6" s="61"/>
      <c r="EJG6" s="61"/>
      <c r="EJH6" s="61"/>
      <c r="EJI6" s="61"/>
      <c r="EJJ6" s="61"/>
      <c r="EJK6" s="61"/>
      <c r="EJL6" s="61"/>
      <c r="EJM6" s="61"/>
      <c r="EJN6" s="61"/>
      <c r="EJO6" s="61"/>
      <c r="EJP6" s="61"/>
      <c r="EJQ6" s="61"/>
      <c r="EJR6" s="61"/>
      <c r="EJS6" s="61"/>
      <c r="EJT6" s="61"/>
      <c r="EJU6" s="61"/>
      <c r="EJV6" s="61"/>
      <c r="EJW6" s="61"/>
      <c r="EJX6" s="61"/>
      <c r="EJY6" s="61"/>
      <c r="EJZ6" s="61"/>
      <c r="EKA6" s="61"/>
      <c r="EKB6" s="61"/>
      <c r="EKC6" s="61"/>
      <c r="EKD6" s="61"/>
      <c r="EKE6" s="61"/>
      <c r="EKF6" s="61"/>
      <c r="EKG6" s="61"/>
      <c r="EKH6" s="61"/>
      <c r="EKI6" s="61"/>
      <c r="EKJ6" s="61"/>
      <c r="EKK6" s="61"/>
      <c r="EKL6" s="61"/>
      <c r="EKM6" s="61"/>
      <c r="EKN6" s="61"/>
      <c r="EKO6" s="61"/>
      <c r="EKP6" s="61"/>
      <c r="EKQ6" s="61"/>
      <c r="EKR6" s="61"/>
      <c r="EKS6" s="61"/>
      <c r="EKT6" s="61"/>
      <c r="EKU6" s="61"/>
      <c r="EKV6" s="61"/>
      <c r="EKW6" s="61"/>
      <c r="EKX6" s="61"/>
      <c r="EKY6" s="61"/>
      <c r="EKZ6" s="61"/>
      <c r="ELA6" s="61"/>
      <c r="ELB6" s="61"/>
      <c r="ELC6" s="61"/>
      <c r="ELD6" s="61"/>
      <c r="ELE6" s="61"/>
      <c r="ELF6" s="61"/>
      <c r="ELG6" s="61"/>
      <c r="ELH6" s="61"/>
      <c r="ELI6" s="61"/>
      <c r="ELJ6" s="61"/>
      <c r="ELK6" s="61"/>
      <c r="ELL6" s="61"/>
      <c r="ELM6" s="61"/>
      <c r="ELN6" s="61"/>
      <c r="ELO6" s="61"/>
      <c r="ELP6" s="61"/>
      <c r="ELQ6" s="61"/>
      <c r="ELR6" s="61"/>
      <c r="ELS6" s="61"/>
      <c r="ELT6" s="61"/>
      <c r="ELU6" s="61"/>
      <c r="ELV6" s="61"/>
      <c r="ELW6" s="61"/>
      <c r="ELX6" s="61"/>
      <c r="ELY6" s="61"/>
      <c r="ELZ6" s="61"/>
      <c r="EMA6" s="61"/>
      <c r="EMB6" s="61"/>
      <c r="EMC6" s="61"/>
      <c r="EMD6" s="61"/>
      <c r="EME6" s="61"/>
      <c r="EMF6" s="61"/>
      <c r="EMG6" s="61"/>
      <c r="EMH6" s="61"/>
      <c r="EMI6" s="61"/>
      <c r="EMJ6" s="61"/>
      <c r="EMK6" s="61"/>
      <c r="EML6" s="61"/>
      <c r="EMM6" s="61"/>
      <c r="EMN6" s="61"/>
      <c r="EMO6" s="61"/>
      <c r="EMP6" s="61"/>
      <c r="EMQ6" s="61"/>
      <c r="EMR6" s="61"/>
      <c r="EMS6" s="61"/>
      <c r="EMT6" s="61"/>
      <c r="EMU6" s="61"/>
      <c r="EMV6" s="61"/>
      <c r="EMW6" s="61"/>
      <c r="EMX6" s="61"/>
      <c r="EMY6" s="61"/>
      <c r="EMZ6" s="61"/>
      <c r="ENA6" s="61"/>
      <c r="ENB6" s="61"/>
      <c r="ENC6" s="61"/>
      <c r="END6" s="61"/>
      <c r="ENE6" s="61"/>
      <c r="ENF6" s="61"/>
      <c r="ENG6" s="61"/>
      <c r="ENH6" s="61"/>
      <c r="ENI6" s="61"/>
      <c r="ENJ6" s="61"/>
      <c r="ENK6" s="61"/>
      <c r="ENL6" s="61"/>
      <c r="ENM6" s="61"/>
      <c r="ENN6" s="61"/>
      <c r="ENO6" s="61"/>
      <c r="ENP6" s="61"/>
      <c r="ENQ6" s="61"/>
      <c r="ENR6" s="61"/>
      <c r="ENS6" s="61"/>
      <c r="ENT6" s="61"/>
      <c r="ENU6" s="61"/>
      <c r="ENV6" s="61"/>
      <c r="ENW6" s="61"/>
      <c r="ENX6" s="61"/>
      <c r="ENY6" s="61"/>
      <c r="ENZ6" s="61"/>
      <c r="EOA6" s="61"/>
      <c r="EOB6" s="61"/>
      <c r="EOC6" s="61"/>
      <c r="EOD6" s="61"/>
      <c r="EOE6" s="61"/>
      <c r="EOF6" s="61"/>
      <c r="EOG6" s="61"/>
      <c r="EOH6" s="61"/>
      <c r="EOI6" s="61"/>
      <c r="EOJ6" s="61"/>
      <c r="EOK6" s="61"/>
      <c r="EOL6" s="61"/>
      <c r="EOM6" s="61"/>
      <c r="EON6" s="61"/>
      <c r="EOO6" s="61"/>
      <c r="EOP6" s="61"/>
      <c r="EOQ6" s="61"/>
      <c r="EOR6" s="61"/>
      <c r="EOS6" s="61"/>
      <c r="EOT6" s="61"/>
      <c r="EOU6" s="61"/>
      <c r="EOV6" s="61"/>
      <c r="EOW6" s="61"/>
      <c r="EOX6" s="61"/>
      <c r="EOY6" s="61"/>
      <c r="EOZ6" s="61"/>
      <c r="EPA6" s="61"/>
      <c r="EPB6" s="61"/>
      <c r="EPC6" s="61"/>
      <c r="EPD6" s="61"/>
      <c r="EPE6" s="61"/>
      <c r="EPF6" s="61"/>
      <c r="EPG6" s="61"/>
      <c r="EPH6" s="61"/>
      <c r="EPI6" s="61"/>
      <c r="EPJ6" s="61"/>
      <c r="EPK6" s="61"/>
      <c r="EPL6" s="61"/>
      <c r="EPM6" s="61"/>
      <c r="EPN6" s="61"/>
      <c r="EPO6" s="61"/>
      <c r="EPP6" s="61"/>
      <c r="EPQ6" s="61"/>
      <c r="EPR6" s="61"/>
      <c r="EPS6" s="61"/>
      <c r="EPT6" s="61"/>
      <c r="EPU6" s="61"/>
      <c r="EPV6" s="61"/>
      <c r="EPW6" s="61"/>
      <c r="EPX6" s="61"/>
      <c r="EPY6" s="61"/>
      <c r="EPZ6" s="61"/>
      <c r="EQA6" s="61"/>
      <c r="EQB6" s="61"/>
      <c r="EQC6" s="61"/>
      <c r="EQD6" s="61"/>
      <c r="EQE6" s="61"/>
      <c r="EQF6" s="61"/>
      <c r="EQG6" s="61"/>
      <c r="EQH6" s="61"/>
      <c r="EQI6" s="61"/>
      <c r="EQJ6" s="61"/>
      <c r="EQK6" s="61"/>
      <c r="EQL6" s="61"/>
      <c r="EQM6" s="61"/>
      <c r="EQN6" s="61"/>
      <c r="EQO6" s="61"/>
      <c r="EQP6" s="61"/>
      <c r="EQQ6" s="61"/>
      <c r="EQR6" s="61"/>
      <c r="EQS6" s="61"/>
      <c r="EQT6" s="61"/>
      <c r="EQU6" s="61"/>
      <c r="EQV6" s="61"/>
      <c r="EQW6" s="61"/>
      <c r="EQX6" s="61"/>
      <c r="EQY6" s="61"/>
      <c r="EQZ6" s="61"/>
      <c r="ERA6" s="61"/>
      <c r="ERB6" s="61"/>
      <c r="ERC6" s="61"/>
      <c r="ERD6" s="61"/>
      <c r="ERE6" s="61"/>
      <c r="ERF6" s="61"/>
      <c r="ERG6" s="61"/>
      <c r="ERH6" s="61"/>
      <c r="ERI6" s="61"/>
      <c r="ERJ6" s="61"/>
      <c r="ERK6" s="61"/>
      <c r="ERL6" s="61"/>
      <c r="ERM6" s="61"/>
      <c r="ERN6" s="61"/>
      <c r="ERO6" s="61"/>
      <c r="ERP6" s="61"/>
      <c r="ERQ6" s="61"/>
      <c r="ERR6" s="61"/>
      <c r="ERS6" s="61"/>
      <c r="ERT6" s="61"/>
      <c r="ERU6" s="61"/>
      <c r="ERV6" s="61"/>
      <c r="ERW6" s="61"/>
      <c r="ERX6" s="61"/>
      <c r="ERY6" s="61"/>
      <c r="ERZ6" s="61"/>
      <c r="ESA6" s="61"/>
      <c r="ESB6" s="61"/>
      <c r="ESC6" s="61"/>
      <c r="ESD6" s="61"/>
      <c r="ESE6" s="61"/>
      <c r="ESF6" s="61"/>
      <c r="ESG6" s="61"/>
      <c r="ESH6" s="61"/>
      <c r="ESI6" s="61"/>
      <c r="ESJ6" s="61"/>
      <c r="ESK6" s="61"/>
      <c r="ESL6" s="61"/>
      <c r="ESM6" s="61"/>
      <c r="ESN6" s="61"/>
      <c r="ESO6" s="61"/>
      <c r="ESP6" s="61"/>
      <c r="ESQ6" s="61"/>
      <c r="ESR6" s="61"/>
      <c r="ESS6" s="61"/>
      <c r="EST6" s="61"/>
      <c r="ESU6" s="61"/>
      <c r="ESV6" s="61"/>
      <c r="ESW6" s="61"/>
      <c r="ESX6" s="61"/>
      <c r="ESY6" s="61"/>
      <c r="ESZ6" s="61"/>
      <c r="ETA6" s="61"/>
      <c r="ETB6" s="61"/>
      <c r="ETC6" s="61"/>
      <c r="ETD6" s="61"/>
      <c r="ETE6" s="61"/>
      <c r="ETF6" s="61"/>
      <c r="ETG6" s="61"/>
      <c r="ETH6" s="61"/>
      <c r="ETI6" s="61"/>
      <c r="ETJ6" s="61"/>
      <c r="ETK6" s="61"/>
      <c r="ETL6" s="61"/>
      <c r="ETM6" s="61"/>
      <c r="ETN6" s="61"/>
      <c r="ETO6" s="61"/>
      <c r="ETP6" s="61"/>
      <c r="ETQ6" s="61"/>
      <c r="ETR6" s="61"/>
      <c r="ETS6" s="61"/>
      <c r="ETT6" s="61"/>
      <c r="ETU6" s="61"/>
      <c r="ETV6" s="61"/>
      <c r="ETW6" s="61"/>
      <c r="ETX6" s="61"/>
      <c r="ETY6" s="61"/>
      <c r="ETZ6" s="61"/>
      <c r="EUA6" s="61"/>
      <c r="EUB6" s="61"/>
      <c r="EUC6" s="61"/>
      <c r="EUD6" s="61"/>
      <c r="EUE6" s="61"/>
      <c r="EUF6" s="61"/>
      <c r="EUG6" s="61"/>
      <c r="EUH6" s="61"/>
      <c r="EUI6" s="61"/>
      <c r="EUJ6" s="61"/>
      <c r="EUK6" s="61"/>
      <c r="EUL6" s="61"/>
      <c r="EUM6" s="61"/>
      <c r="EUN6" s="61"/>
      <c r="EUO6" s="61"/>
      <c r="EUP6" s="61"/>
      <c r="EUQ6" s="61"/>
      <c r="EUR6" s="61"/>
      <c r="EUS6" s="61"/>
      <c r="EUT6" s="61"/>
      <c r="EUU6" s="61"/>
      <c r="EUV6" s="61"/>
      <c r="EUW6" s="61"/>
      <c r="EUX6" s="61"/>
      <c r="EUY6" s="61"/>
      <c r="EUZ6" s="61"/>
      <c r="EVA6" s="61"/>
      <c r="EVB6" s="61"/>
      <c r="EVC6" s="61"/>
      <c r="EVD6" s="61"/>
      <c r="EVE6" s="61"/>
      <c r="EVF6" s="61"/>
      <c r="EVG6" s="61"/>
      <c r="EVH6" s="61"/>
      <c r="EVI6" s="61"/>
      <c r="EVJ6" s="61"/>
      <c r="EVK6" s="61"/>
      <c r="EVL6" s="61"/>
      <c r="EVM6" s="61"/>
      <c r="EVN6" s="61"/>
      <c r="EVO6" s="61"/>
      <c r="EVP6" s="61"/>
      <c r="EVQ6" s="61"/>
      <c r="EVR6" s="61"/>
      <c r="EVS6" s="61"/>
      <c r="EVT6" s="61"/>
      <c r="EVU6" s="61"/>
      <c r="EVV6" s="61"/>
      <c r="EVW6" s="61"/>
      <c r="EVX6" s="61"/>
      <c r="EVY6" s="61"/>
      <c r="EVZ6" s="61"/>
      <c r="EWA6" s="61"/>
      <c r="EWB6" s="61"/>
      <c r="EWC6" s="61"/>
      <c r="EWD6" s="61"/>
      <c r="EWE6" s="61"/>
      <c r="EWF6" s="61"/>
      <c r="EWG6" s="61"/>
      <c r="EWH6" s="61"/>
      <c r="EWI6" s="61"/>
      <c r="EWJ6" s="61"/>
      <c r="EWK6" s="61"/>
      <c r="EWL6" s="61"/>
      <c r="EWM6" s="61"/>
      <c r="EWN6" s="61"/>
      <c r="EWO6" s="61"/>
      <c r="EWP6" s="61"/>
      <c r="EWQ6" s="61"/>
      <c r="EWR6" s="61"/>
      <c r="EWS6" s="61"/>
      <c r="EWT6" s="61"/>
      <c r="EWU6" s="61"/>
      <c r="EWV6" s="61"/>
      <c r="EWW6" s="61"/>
      <c r="EWX6" s="61"/>
      <c r="EWY6" s="61"/>
      <c r="EWZ6" s="61"/>
      <c r="EXA6" s="61"/>
      <c r="EXB6" s="61"/>
      <c r="EXC6" s="61"/>
      <c r="EXD6" s="61"/>
      <c r="EXE6" s="61"/>
      <c r="EXF6" s="61"/>
      <c r="EXG6" s="61"/>
      <c r="EXH6" s="61"/>
      <c r="EXI6" s="61"/>
      <c r="EXJ6" s="61"/>
      <c r="EXK6" s="61"/>
      <c r="EXL6" s="61"/>
      <c r="EXM6" s="61"/>
      <c r="EXN6" s="61"/>
      <c r="EXO6" s="61"/>
      <c r="EXP6" s="61"/>
      <c r="EXQ6" s="61"/>
      <c r="EXR6" s="61"/>
      <c r="EXS6" s="61"/>
      <c r="EXT6" s="61"/>
      <c r="EXU6" s="61"/>
      <c r="EXV6" s="61"/>
      <c r="EXW6" s="61"/>
      <c r="EXX6" s="61"/>
      <c r="EXY6" s="61"/>
      <c r="EXZ6" s="61"/>
      <c r="EYA6" s="61"/>
      <c r="EYB6" s="61"/>
      <c r="EYC6" s="61"/>
      <c r="EYD6" s="61"/>
      <c r="EYE6" s="61"/>
      <c r="EYF6" s="61"/>
      <c r="EYG6" s="61"/>
      <c r="EYH6" s="61"/>
      <c r="EYI6" s="61"/>
      <c r="EYJ6" s="61"/>
      <c r="EYK6" s="61"/>
      <c r="EYL6" s="61"/>
      <c r="EYM6" s="61"/>
      <c r="EYN6" s="61"/>
      <c r="EYO6" s="61"/>
      <c r="EYP6" s="61"/>
      <c r="EYQ6" s="61"/>
      <c r="EYR6" s="61"/>
      <c r="EYS6" s="61"/>
      <c r="EYT6" s="61"/>
      <c r="EYU6" s="61"/>
      <c r="EYV6" s="61"/>
      <c r="EYW6" s="61"/>
      <c r="EYX6" s="61"/>
      <c r="EYY6" s="61"/>
      <c r="EYZ6" s="61"/>
      <c r="EZA6" s="61"/>
      <c r="EZB6" s="61"/>
      <c r="EZC6" s="61"/>
      <c r="EZD6" s="61"/>
      <c r="EZE6" s="61"/>
      <c r="EZF6" s="61"/>
      <c r="EZG6" s="61"/>
      <c r="EZH6" s="61"/>
      <c r="EZI6" s="61"/>
      <c r="EZJ6" s="61"/>
      <c r="EZK6" s="61"/>
      <c r="EZL6" s="61"/>
      <c r="EZM6" s="61"/>
      <c r="EZN6" s="61"/>
      <c r="EZO6" s="61"/>
      <c r="EZP6" s="61"/>
      <c r="EZQ6" s="61"/>
      <c r="EZR6" s="61"/>
      <c r="EZS6" s="61"/>
      <c r="EZT6" s="61"/>
      <c r="EZU6" s="61"/>
      <c r="EZV6" s="61"/>
      <c r="EZW6" s="61"/>
      <c r="EZX6" s="61"/>
      <c r="EZY6" s="61"/>
      <c r="EZZ6" s="61"/>
      <c r="FAA6" s="61"/>
      <c r="FAB6" s="61"/>
      <c r="FAC6" s="61"/>
      <c r="FAD6" s="61"/>
      <c r="FAE6" s="61"/>
      <c r="FAF6" s="61"/>
      <c r="FAG6" s="61"/>
      <c r="FAH6" s="61"/>
      <c r="FAI6" s="61"/>
      <c r="FAJ6" s="61"/>
      <c r="FAK6" s="61"/>
      <c r="FAL6" s="61"/>
      <c r="FAM6" s="61"/>
      <c r="FAN6" s="61"/>
      <c r="FAO6" s="61"/>
      <c r="FAP6" s="61"/>
      <c r="FAQ6" s="61"/>
      <c r="FAR6" s="61"/>
      <c r="FAS6" s="61"/>
      <c r="FAT6" s="61"/>
      <c r="FAU6" s="61"/>
      <c r="FAV6" s="61"/>
      <c r="FAW6" s="61"/>
      <c r="FAX6" s="61"/>
      <c r="FAY6" s="61"/>
      <c r="FAZ6" s="61"/>
      <c r="FBA6" s="61"/>
      <c r="FBB6" s="61"/>
      <c r="FBC6" s="61"/>
      <c r="FBD6" s="61"/>
      <c r="FBE6" s="61"/>
      <c r="FBF6" s="61"/>
      <c r="FBG6" s="61"/>
      <c r="FBH6" s="61"/>
      <c r="FBI6" s="61"/>
      <c r="FBJ6" s="61"/>
      <c r="FBK6" s="61"/>
      <c r="FBL6" s="61"/>
      <c r="FBM6" s="61"/>
      <c r="FBN6" s="61"/>
      <c r="FBO6" s="61"/>
      <c r="FBP6" s="61"/>
      <c r="FBQ6" s="61"/>
      <c r="FBR6" s="61"/>
      <c r="FBS6" s="61"/>
      <c r="FBT6" s="61"/>
      <c r="FBU6" s="61"/>
      <c r="FBV6" s="61"/>
      <c r="FBW6" s="61"/>
      <c r="FBX6" s="61"/>
      <c r="FBY6" s="61"/>
      <c r="FBZ6" s="61"/>
      <c r="FCA6" s="61"/>
      <c r="FCB6" s="61"/>
      <c r="FCC6" s="61"/>
      <c r="FCD6" s="61"/>
      <c r="FCE6" s="61"/>
      <c r="FCF6" s="61"/>
      <c r="FCG6" s="61"/>
      <c r="FCH6" s="61"/>
      <c r="FCI6" s="61"/>
      <c r="FCJ6" s="61"/>
      <c r="FCK6" s="61"/>
      <c r="FCL6" s="61"/>
      <c r="FCM6" s="61"/>
      <c r="FCN6" s="61"/>
      <c r="FCO6" s="61"/>
      <c r="FCP6" s="61"/>
      <c r="FCQ6" s="61"/>
      <c r="FCR6" s="61"/>
      <c r="FCS6" s="61"/>
      <c r="FCT6" s="61"/>
      <c r="FCU6" s="61"/>
      <c r="FCV6" s="61"/>
      <c r="FCW6" s="61"/>
      <c r="FCX6" s="61"/>
      <c r="FCY6" s="61"/>
      <c r="FCZ6" s="61"/>
      <c r="FDA6" s="61"/>
      <c r="FDB6" s="61"/>
      <c r="FDC6" s="61"/>
      <c r="FDD6" s="61"/>
      <c r="FDE6" s="61"/>
      <c r="FDF6" s="61"/>
      <c r="FDG6" s="61"/>
      <c r="FDH6" s="61"/>
      <c r="FDI6" s="61"/>
      <c r="FDJ6" s="61"/>
      <c r="FDK6" s="61"/>
      <c r="FDL6" s="61"/>
      <c r="FDM6" s="61"/>
      <c r="FDN6" s="61"/>
      <c r="FDO6" s="61"/>
      <c r="FDP6" s="61"/>
      <c r="FDQ6" s="61"/>
      <c r="FDR6" s="61"/>
      <c r="FDS6" s="61"/>
      <c r="FDT6" s="61"/>
      <c r="FDU6" s="61"/>
      <c r="FDV6" s="61"/>
      <c r="FDW6" s="61"/>
      <c r="FDX6" s="61"/>
      <c r="FDY6" s="61"/>
      <c r="FDZ6" s="61"/>
      <c r="FEA6" s="61"/>
      <c r="FEB6" s="61"/>
      <c r="FEC6" s="61"/>
      <c r="FED6" s="61"/>
      <c r="FEE6" s="61"/>
      <c r="FEF6" s="61"/>
      <c r="FEG6" s="61"/>
      <c r="FEH6" s="61"/>
      <c r="FEI6" s="61"/>
      <c r="FEJ6" s="61"/>
      <c r="FEK6" s="61"/>
      <c r="FEL6" s="61"/>
      <c r="FEM6" s="61"/>
      <c r="FEN6" s="61"/>
      <c r="FEO6" s="61"/>
      <c r="FEP6" s="61"/>
      <c r="FEQ6" s="61"/>
      <c r="FER6" s="61"/>
      <c r="FES6" s="61"/>
      <c r="FET6" s="61"/>
      <c r="FEU6" s="61"/>
      <c r="FEV6" s="61"/>
      <c r="FEW6" s="61"/>
      <c r="FEX6" s="61"/>
      <c r="FEY6" s="61"/>
      <c r="FEZ6" s="61"/>
      <c r="FFA6" s="61"/>
      <c r="FFB6" s="61"/>
      <c r="FFC6" s="61"/>
      <c r="FFD6" s="61"/>
      <c r="FFE6" s="61"/>
      <c r="FFF6" s="61"/>
      <c r="FFG6" s="61"/>
      <c r="FFH6" s="61"/>
      <c r="FFI6" s="61"/>
      <c r="FFJ6" s="61"/>
      <c r="FFK6" s="61"/>
      <c r="FFL6" s="61"/>
      <c r="FFM6" s="61"/>
      <c r="FFN6" s="61"/>
      <c r="FFO6" s="61"/>
      <c r="FFP6" s="61"/>
      <c r="FFQ6" s="61"/>
      <c r="FFR6" s="61"/>
      <c r="FFS6" s="61"/>
      <c r="FFT6" s="61"/>
      <c r="FFU6" s="61"/>
      <c r="FFV6" s="61"/>
      <c r="FFW6" s="61"/>
      <c r="FFX6" s="61"/>
      <c r="FFY6" s="61"/>
      <c r="FFZ6" s="61"/>
      <c r="FGA6" s="61"/>
      <c r="FGB6" s="61"/>
      <c r="FGC6" s="61"/>
      <c r="FGD6" s="61"/>
      <c r="FGE6" s="61"/>
      <c r="FGF6" s="61"/>
      <c r="FGG6" s="61"/>
      <c r="FGH6" s="61"/>
      <c r="FGI6" s="61"/>
      <c r="FGJ6" s="61"/>
      <c r="FGK6" s="61"/>
      <c r="FGL6" s="61"/>
      <c r="FGM6" s="61"/>
      <c r="FGN6" s="61"/>
      <c r="FGO6" s="61"/>
      <c r="FGP6" s="61"/>
      <c r="FGQ6" s="61"/>
      <c r="FGR6" s="61"/>
      <c r="FGS6" s="61"/>
      <c r="FGT6" s="61"/>
      <c r="FGU6" s="61"/>
      <c r="FGV6" s="61"/>
      <c r="FGW6" s="61"/>
      <c r="FGX6" s="61"/>
      <c r="FGY6" s="61"/>
      <c r="FGZ6" s="61"/>
      <c r="FHA6" s="61"/>
      <c r="FHB6" s="61"/>
      <c r="FHC6" s="61"/>
      <c r="FHD6" s="61"/>
      <c r="FHE6" s="61"/>
      <c r="FHF6" s="61"/>
      <c r="FHG6" s="61"/>
      <c r="FHH6" s="61"/>
      <c r="FHI6" s="61"/>
      <c r="FHJ6" s="61"/>
      <c r="FHK6" s="61"/>
      <c r="FHL6" s="61"/>
      <c r="FHM6" s="61"/>
      <c r="FHN6" s="61"/>
      <c r="FHO6" s="61"/>
      <c r="FHP6" s="61"/>
      <c r="FHQ6" s="61"/>
      <c r="FHR6" s="61"/>
      <c r="FHS6" s="61"/>
      <c r="FHT6" s="61"/>
      <c r="FHU6" s="61"/>
      <c r="FHV6" s="61"/>
      <c r="FHW6" s="61"/>
      <c r="FHX6" s="61"/>
      <c r="FHY6" s="61"/>
      <c r="FHZ6" s="61"/>
      <c r="FIA6" s="61"/>
      <c r="FIB6" s="61"/>
      <c r="FIC6" s="61"/>
      <c r="FID6" s="61"/>
      <c r="FIE6" s="61"/>
      <c r="FIF6" s="61"/>
      <c r="FIG6" s="61"/>
      <c r="FIH6" s="61"/>
      <c r="FII6" s="61"/>
      <c r="FIJ6" s="61"/>
      <c r="FIK6" s="61"/>
      <c r="FIL6" s="61"/>
      <c r="FIM6" s="61"/>
      <c r="FIN6" s="61"/>
      <c r="FIO6" s="61"/>
      <c r="FIP6" s="61"/>
      <c r="FIQ6" s="61"/>
      <c r="FIR6" s="61"/>
      <c r="FIS6" s="61"/>
      <c r="FIT6" s="61"/>
      <c r="FIU6" s="61"/>
      <c r="FIV6" s="61"/>
      <c r="FIW6" s="61"/>
      <c r="FIX6" s="61"/>
      <c r="FIY6" s="61"/>
      <c r="FIZ6" s="61"/>
      <c r="FJA6" s="61"/>
      <c r="FJB6" s="61"/>
      <c r="FJC6" s="61"/>
      <c r="FJD6" s="61"/>
      <c r="FJE6" s="61"/>
      <c r="FJF6" s="61"/>
      <c r="FJG6" s="61"/>
      <c r="FJH6" s="61"/>
      <c r="FJI6" s="61"/>
      <c r="FJJ6" s="61"/>
      <c r="FJK6" s="61"/>
      <c r="FJL6" s="61"/>
      <c r="FJM6" s="61"/>
      <c r="FJN6" s="61"/>
      <c r="FJO6" s="61"/>
      <c r="FJP6" s="61"/>
      <c r="FJQ6" s="61"/>
      <c r="FJR6" s="61"/>
      <c r="FJS6" s="61"/>
      <c r="FJT6" s="61"/>
      <c r="FJU6" s="61"/>
      <c r="FJV6" s="61"/>
      <c r="FJW6" s="61"/>
      <c r="FJX6" s="61"/>
      <c r="FJY6" s="61"/>
      <c r="FJZ6" s="61"/>
      <c r="FKA6" s="61"/>
      <c r="FKB6" s="61"/>
      <c r="FKC6" s="61"/>
      <c r="FKD6" s="61"/>
      <c r="FKE6" s="61"/>
      <c r="FKF6" s="61"/>
      <c r="FKG6" s="61"/>
      <c r="FKH6" s="61"/>
      <c r="FKI6" s="61"/>
      <c r="FKJ6" s="61"/>
      <c r="FKK6" s="61"/>
      <c r="FKL6" s="61"/>
      <c r="FKM6" s="61"/>
      <c r="FKN6" s="61"/>
      <c r="FKO6" s="61"/>
      <c r="FKP6" s="61"/>
      <c r="FKQ6" s="61"/>
      <c r="FKR6" s="61"/>
      <c r="FKS6" s="61"/>
      <c r="FKT6" s="61"/>
      <c r="FKU6" s="61"/>
      <c r="FKV6" s="61"/>
      <c r="FKW6" s="61"/>
      <c r="FKX6" s="61"/>
      <c r="FKY6" s="61"/>
      <c r="FKZ6" s="61"/>
      <c r="FLA6" s="61"/>
      <c r="FLB6" s="61"/>
      <c r="FLC6" s="61"/>
      <c r="FLD6" s="61"/>
      <c r="FLE6" s="61"/>
      <c r="FLF6" s="61"/>
      <c r="FLG6" s="61"/>
      <c r="FLH6" s="61"/>
      <c r="FLI6" s="61"/>
      <c r="FLJ6" s="61"/>
      <c r="FLK6" s="61"/>
      <c r="FLL6" s="61"/>
      <c r="FLM6" s="61"/>
      <c r="FLN6" s="61"/>
      <c r="FLO6" s="61"/>
      <c r="FLP6" s="61"/>
      <c r="FLQ6" s="61"/>
      <c r="FLR6" s="61"/>
      <c r="FLS6" s="61"/>
      <c r="FLT6" s="61"/>
      <c r="FLU6" s="61"/>
      <c r="FLV6" s="61"/>
      <c r="FLW6" s="61"/>
      <c r="FLX6" s="61"/>
      <c r="FLY6" s="61"/>
      <c r="FLZ6" s="61"/>
      <c r="FMA6" s="61"/>
      <c r="FMB6" s="61"/>
      <c r="FMC6" s="61"/>
      <c r="FMD6" s="61"/>
      <c r="FME6" s="61"/>
      <c r="FMF6" s="61"/>
      <c r="FMG6" s="61"/>
      <c r="FMH6" s="61"/>
      <c r="FMI6" s="61"/>
      <c r="FMJ6" s="61"/>
      <c r="FMK6" s="61"/>
      <c r="FML6" s="61"/>
      <c r="FMM6" s="61"/>
      <c r="FMN6" s="61"/>
      <c r="FMO6" s="61"/>
      <c r="FMP6" s="61"/>
      <c r="FMQ6" s="61"/>
      <c r="FMR6" s="61"/>
      <c r="FMS6" s="61"/>
      <c r="FMT6" s="61"/>
      <c r="FMU6" s="61"/>
      <c r="FMV6" s="61"/>
      <c r="FMW6" s="61"/>
      <c r="FMX6" s="61"/>
      <c r="FMY6" s="61"/>
      <c r="FMZ6" s="61"/>
      <c r="FNA6" s="61"/>
      <c r="FNB6" s="61"/>
      <c r="FNC6" s="61"/>
      <c r="FND6" s="61"/>
      <c r="FNE6" s="61"/>
      <c r="FNF6" s="61"/>
      <c r="FNG6" s="61"/>
      <c r="FNH6" s="61"/>
      <c r="FNI6" s="61"/>
      <c r="FNJ6" s="61"/>
      <c r="FNK6" s="61"/>
      <c r="FNL6" s="61"/>
      <c r="FNM6" s="61"/>
      <c r="FNN6" s="61"/>
      <c r="FNO6" s="61"/>
      <c r="FNP6" s="61"/>
      <c r="FNQ6" s="61"/>
      <c r="FNR6" s="61"/>
      <c r="FNS6" s="61"/>
      <c r="FNT6" s="61"/>
      <c r="FNU6" s="61"/>
      <c r="FNV6" s="61"/>
      <c r="FNW6" s="61"/>
      <c r="FNX6" s="61"/>
      <c r="FNY6" s="61"/>
      <c r="FNZ6" s="61"/>
      <c r="FOA6" s="61"/>
      <c r="FOB6" s="61"/>
      <c r="FOC6" s="61"/>
      <c r="FOD6" s="61"/>
      <c r="FOE6" s="61"/>
      <c r="FOF6" s="61"/>
      <c r="FOG6" s="61"/>
      <c r="FOH6" s="61"/>
      <c r="FOI6" s="61"/>
      <c r="FOJ6" s="61"/>
      <c r="FOK6" s="61"/>
      <c r="FOL6" s="61"/>
      <c r="FOM6" s="61"/>
      <c r="FON6" s="61"/>
      <c r="FOO6" s="61"/>
      <c r="FOP6" s="61"/>
      <c r="FOQ6" s="61"/>
      <c r="FOR6" s="61"/>
      <c r="FOS6" s="61"/>
      <c r="FOT6" s="61"/>
      <c r="FOU6" s="61"/>
      <c r="FOV6" s="61"/>
      <c r="FOW6" s="61"/>
      <c r="FOX6" s="61"/>
      <c r="FOY6" s="61"/>
      <c r="FOZ6" s="61"/>
      <c r="FPA6" s="61"/>
      <c r="FPB6" s="61"/>
      <c r="FPC6" s="61"/>
      <c r="FPD6" s="61"/>
      <c r="FPE6" s="61"/>
      <c r="FPF6" s="61"/>
      <c r="FPG6" s="61"/>
      <c r="FPH6" s="61"/>
      <c r="FPI6" s="61"/>
      <c r="FPJ6" s="61"/>
      <c r="FPK6" s="61"/>
      <c r="FPL6" s="61"/>
      <c r="FPM6" s="61"/>
      <c r="FPN6" s="61"/>
      <c r="FPO6" s="61"/>
      <c r="FPP6" s="61"/>
      <c r="FPQ6" s="61"/>
      <c r="FPR6" s="61"/>
      <c r="FPS6" s="61"/>
      <c r="FPT6" s="61"/>
      <c r="FPU6" s="61"/>
      <c r="FPV6" s="61"/>
      <c r="FPW6" s="61"/>
      <c r="FPX6" s="61"/>
      <c r="FPY6" s="61"/>
      <c r="FPZ6" s="61"/>
      <c r="FQA6" s="61"/>
      <c r="FQB6" s="61"/>
      <c r="FQC6" s="61"/>
      <c r="FQD6" s="61"/>
      <c r="FQE6" s="61"/>
      <c r="FQF6" s="61"/>
      <c r="FQG6" s="61"/>
      <c r="FQH6" s="61"/>
      <c r="FQI6" s="61"/>
      <c r="FQJ6" s="61"/>
      <c r="FQK6" s="61"/>
      <c r="FQL6" s="61"/>
      <c r="FQM6" s="61"/>
      <c r="FQN6" s="61"/>
      <c r="FQO6" s="61"/>
      <c r="FQP6" s="61"/>
      <c r="FQQ6" s="61"/>
      <c r="FQR6" s="61"/>
      <c r="FQS6" s="61"/>
      <c r="FQT6" s="61"/>
      <c r="FQU6" s="61"/>
      <c r="FQV6" s="61"/>
      <c r="FQW6" s="61"/>
      <c r="FQX6" s="61"/>
      <c r="FQY6" s="61"/>
      <c r="FQZ6" s="61"/>
      <c r="FRA6" s="61"/>
      <c r="FRB6" s="61"/>
      <c r="FRC6" s="61"/>
      <c r="FRD6" s="61"/>
      <c r="FRE6" s="61"/>
      <c r="FRF6" s="61"/>
      <c r="FRG6" s="61"/>
      <c r="FRH6" s="61"/>
      <c r="FRI6" s="61"/>
      <c r="FRJ6" s="61"/>
      <c r="FRK6" s="61"/>
      <c r="FRL6" s="61"/>
      <c r="FRM6" s="61"/>
      <c r="FRN6" s="61"/>
      <c r="FRO6" s="61"/>
      <c r="FRP6" s="61"/>
      <c r="FRQ6" s="61"/>
      <c r="FRR6" s="61"/>
      <c r="FRS6" s="61"/>
      <c r="FRT6" s="61"/>
      <c r="FRU6" s="61"/>
      <c r="FRV6" s="61"/>
      <c r="FRW6" s="61"/>
      <c r="FRX6" s="61"/>
      <c r="FRY6" s="61"/>
      <c r="FRZ6" s="61"/>
      <c r="FSA6" s="61"/>
      <c r="FSB6" s="61"/>
      <c r="FSC6" s="61"/>
      <c r="FSD6" s="61"/>
      <c r="FSE6" s="61"/>
      <c r="FSF6" s="61"/>
      <c r="FSG6" s="61"/>
      <c r="FSH6" s="61"/>
      <c r="FSI6" s="61"/>
      <c r="FSJ6" s="61"/>
      <c r="FSK6" s="61"/>
      <c r="FSL6" s="61"/>
      <c r="FSM6" s="61"/>
      <c r="FSN6" s="61"/>
      <c r="FSO6" s="61"/>
      <c r="FSP6" s="61"/>
      <c r="FSQ6" s="61"/>
      <c r="FSR6" s="61"/>
      <c r="FSS6" s="61"/>
      <c r="FST6" s="61"/>
      <c r="FSU6" s="61"/>
      <c r="FSV6" s="61"/>
      <c r="FSW6" s="61"/>
      <c r="FSX6" s="61"/>
      <c r="FSY6" s="61"/>
      <c r="FSZ6" s="61"/>
      <c r="FTA6" s="61"/>
      <c r="FTB6" s="61"/>
      <c r="FTC6" s="61"/>
      <c r="FTD6" s="61"/>
      <c r="FTE6" s="61"/>
      <c r="FTF6" s="61"/>
      <c r="FTG6" s="61"/>
      <c r="FTH6" s="61"/>
      <c r="FTI6" s="61"/>
      <c r="FTJ6" s="61"/>
      <c r="FTK6" s="61"/>
      <c r="FTL6" s="61"/>
      <c r="FTM6" s="61"/>
      <c r="FTN6" s="61"/>
      <c r="FTO6" s="61"/>
      <c r="FTP6" s="61"/>
      <c r="FTQ6" s="61"/>
      <c r="FTR6" s="61"/>
      <c r="FTS6" s="61"/>
      <c r="FTT6" s="61"/>
      <c r="FTU6" s="61"/>
      <c r="FTV6" s="61"/>
      <c r="FTW6" s="61"/>
      <c r="FTX6" s="61"/>
      <c r="FTY6" s="61"/>
      <c r="FTZ6" s="61"/>
      <c r="FUA6" s="61"/>
      <c r="FUB6" s="61"/>
      <c r="FUC6" s="61"/>
      <c r="FUD6" s="61"/>
      <c r="FUE6" s="61"/>
      <c r="FUF6" s="61"/>
      <c r="FUG6" s="61"/>
      <c r="FUH6" s="61"/>
      <c r="FUI6" s="61"/>
      <c r="FUJ6" s="61"/>
      <c r="FUK6" s="61"/>
      <c r="FUL6" s="61"/>
      <c r="FUM6" s="61"/>
      <c r="FUN6" s="61"/>
      <c r="FUO6" s="61"/>
      <c r="FUP6" s="61"/>
      <c r="FUQ6" s="61"/>
      <c r="FUR6" s="61"/>
      <c r="FUS6" s="61"/>
      <c r="FUT6" s="61"/>
      <c r="FUU6" s="61"/>
      <c r="FUV6" s="61"/>
      <c r="FUW6" s="61"/>
      <c r="FUX6" s="61"/>
      <c r="FUY6" s="61"/>
      <c r="FUZ6" s="61"/>
      <c r="FVA6" s="61"/>
      <c r="FVB6" s="61"/>
      <c r="FVC6" s="61"/>
      <c r="FVD6" s="61"/>
      <c r="FVE6" s="61"/>
      <c r="FVF6" s="61"/>
      <c r="FVG6" s="61"/>
      <c r="FVH6" s="61"/>
      <c r="FVI6" s="61"/>
      <c r="FVJ6" s="61"/>
      <c r="FVK6" s="61"/>
      <c r="FVL6" s="61"/>
      <c r="FVM6" s="61"/>
      <c r="FVN6" s="61"/>
      <c r="FVO6" s="61"/>
      <c r="FVP6" s="61"/>
      <c r="FVQ6" s="61"/>
      <c r="FVR6" s="61"/>
      <c r="FVS6" s="61"/>
      <c r="FVT6" s="61"/>
      <c r="FVU6" s="61"/>
      <c r="FVV6" s="61"/>
      <c r="FVW6" s="61"/>
      <c r="FVX6" s="61"/>
      <c r="FVY6" s="61"/>
      <c r="FVZ6" s="61"/>
      <c r="FWA6" s="61"/>
      <c r="FWB6" s="61"/>
      <c r="FWC6" s="61"/>
      <c r="FWD6" s="61"/>
      <c r="FWE6" s="61"/>
      <c r="FWF6" s="61"/>
      <c r="FWG6" s="61"/>
      <c r="FWH6" s="61"/>
      <c r="FWI6" s="61"/>
      <c r="FWJ6" s="61"/>
      <c r="FWK6" s="61"/>
      <c r="FWL6" s="61"/>
      <c r="FWM6" s="61"/>
      <c r="FWN6" s="61"/>
      <c r="FWO6" s="61"/>
      <c r="FWP6" s="61"/>
      <c r="FWQ6" s="61"/>
      <c r="FWR6" s="61"/>
      <c r="FWS6" s="61"/>
      <c r="FWT6" s="61"/>
      <c r="FWU6" s="61"/>
      <c r="FWV6" s="61"/>
      <c r="FWW6" s="61"/>
      <c r="FWX6" s="61"/>
      <c r="FWY6" s="61"/>
      <c r="FWZ6" s="61"/>
      <c r="FXA6" s="61"/>
      <c r="FXB6" s="61"/>
      <c r="FXC6" s="61"/>
      <c r="FXD6" s="61"/>
      <c r="FXE6" s="61"/>
      <c r="FXF6" s="61"/>
      <c r="FXG6" s="61"/>
      <c r="FXH6" s="61"/>
      <c r="FXI6" s="61"/>
      <c r="FXJ6" s="61"/>
      <c r="FXK6" s="61"/>
      <c r="FXL6" s="61"/>
      <c r="FXM6" s="61"/>
      <c r="FXN6" s="61"/>
      <c r="FXO6" s="61"/>
      <c r="FXP6" s="61"/>
      <c r="FXQ6" s="61"/>
      <c r="FXR6" s="61"/>
      <c r="FXS6" s="61"/>
      <c r="FXT6" s="61"/>
      <c r="FXU6" s="61"/>
      <c r="FXV6" s="61"/>
      <c r="FXW6" s="61"/>
      <c r="FXX6" s="61"/>
      <c r="FXY6" s="61"/>
      <c r="FXZ6" s="61"/>
      <c r="FYA6" s="61"/>
      <c r="FYB6" s="61"/>
      <c r="FYC6" s="61"/>
      <c r="FYD6" s="61"/>
      <c r="FYE6" s="61"/>
      <c r="FYF6" s="61"/>
      <c r="FYG6" s="61"/>
      <c r="FYH6" s="61"/>
      <c r="FYI6" s="61"/>
      <c r="FYJ6" s="61"/>
      <c r="FYK6" s="61"/>
      <c r="FYL6" s="61"/>
      <c r="FYM6" s="61"/>
      <c r="FYN6" s="61"/>
      <c r="FYO6" s="61"/>
      <c r="FYP6" s="61"/>
      <c r="FYQ6" s="61"/>
      <c r="FYR6" s="61"/>
      <c r="FYS6" s="61"/>
      <c r="FYT6" s="61"/>
      <c r="FYU6" s="61"/>
      <c r="FYV6" s="61"/>
      <c r="FYW6" s="61"/>
      <c r="FYX6" s="61"/>
      <c r="FYY6" s="61"/>
      <c r="FYZ6" s="61"/>
      <c r="FZA6" s="61"/>
      <c r="FZB6" s="61"/>
      <c r="FZC6" s="61"/>
      <c r="FZD6" s="61"/>
      <c r="FZE6" s="61"/>
      <c r="FZF6" s="61"/>
      <c r="FZG6" s="61"/>
      <c r="FZH6" s="61"/>
      <c r="FZI6" s="61"/>
      <c r="FZJ6" s="61"/>
      <c r="FZK6" s="61"/>
      <c r="FZL6" s="61"/>
      <c r="FZM6" s="61"/>
      <c r="FZN6" s="61"/>
      <c r="FZO6" s="61"/>
      <c r="FZP6" s="61"/>
      <c r="FZQ6" s="61"/>
      <c r="FZR6" s="61"/>
      <c r="FZS6" s="61"/>
      <c r="FZT6" s="61"/>
      <c r="FZU6" s="61"/>
      <c r="FZV6" s="61"/>
      <c r="FZW6" s="61"/>
      <c r="FZX6" s="61"/>
      <c r="FZY6" s="61"/>
      <c r="FZZ6" s="61"/>
      <c r="GAA6" s="61"/>
      <c r="GAB6" s="61"/>
      <c r="GAC6" s="61"/>
      <c r="GAD6" s="61"/>
      <c r="GAE6" s="61"/>
      <c r="GAF6" s="61"/>
      <c r="GAG6" s="61"/>
      <c r="GAH6" s="61"/>
      <c r="GAI6" s="61"/>
      <c r="GAJ6" s="61"/>
      <c r="GAK6" s="61"/>
      <c r="GAL6" s="61"/>
      <c r="GAM6" s="61"/>
      <c r="GAN6" s="61"/>
      <c r="GAO6" s="61"/>
      <c r="GAP6" s="61"/>
      <c r="GAQ6" s="61"/>
      <c r="GAR6" s="61"/>
      <c r="GAS6" s="61"/>
      <c r="GAT6" s="61"/>
      <c r="GAU6" s="61"/>
      <c r="GAV6" s="61"/>
      <c r="GAW6" s="61"/>
      <c r="GAX6" s="61"/>
      <c r="GAY6" s="61"/>
      <c r="GAZ6" s="61"/>
      <c r="GBA6" s="61"/>
      <c r="GBB6" s="61"/>
      <c r="GBC6" s="61"/>
      <c r="GBD6" s="61"/>
      <c r="GBE6" s="61"/>
      <c r="GBF6" s="61"/>
      <c r="GBG6" s="61"/>
      <c r="GBH6" s="61"/>
      <c r="GBI6" s="61"/>
      <c r="GBJ6" s="61"/>
      <c r="GBK6" s="61"/>
      <c r="GBL6" s="61"/>
      <c r="GBM6" s="61"/>
      <c r="GBN6" s="61"/>
      <c r="GBO6" s="61"/>
      <c r="GBP6" s="61"/>
      <c r="GBQ6" s="61"/>
      <c r="GBR6" s="61"/>
      <c r="GBS6" s="61"/>
      <c r="GBT6" s="61"/>
      <c r="GBU6" s="61"/>
      <c r="GBV6" s="61"/>
      <c r="GBW6" s="61"/>
      <c r="GBX6" s="61"/>
      <c r="GBY6" s="61"/>
      <c r="GBZ6" s="61"/>
      <c r="GCA6" s="61"/>
      <c r="GCB6" s="61"/>
      <c r="GCC6" s="61"/>
      <c r="GCD6" s="61"/>
      <c r="GCE6" s="61"/>
      <c r="GCF6" s="61"/>
      <c r="GCG6" s="61"/>
      <c r="GCH6" s="61"/>
      <c r="GCI6" s="61"/>
      <c r="GCJ6" s="61"/>
      <c r="GCK6" s="61"/>
      <c r="GCL6" s="61"/>
      <c r="GCM6" s="61"/>
      <c r="GCN6" s="61"/>
      <c r="GCO6" s="61"/>
      <c r="GCP6" s="61"/>
      <c r="GCQ6" s="61"/>
      <c r="GCR6" s="61"/>
      <c r="GCS6" s="61"/>
      <c r="GCT6" s="61"/>
      <c r="GCU6" s="61"/>
      <c r="GCV6" s="61"/>
      <c r="GCW6" s="61"/>
      <c r="GCX6" s="61"/>
      <c r="GCY6" s="61"/>
      <c r="GCZ6" s="61"/>
      <c r="GDA6" s="61"/>
      <c r="GDB6" s="61"/>
      <c r="GDC6" s="61"/>
      <c r="GDD6" s="61"/>
      <c r="GDE6" s="61"/>
      <c r="GDF6" s="61"/>
      <c r="GDG6" s="61"/>
      <c r="GDH6" s="61"/>
      <c r="GDI6" s="61"/>
      <c r="GDJ6" s="61"/>
      <c r="GDK6" s="61"/>
      <c r="GDL6" s="61"/>
      <c r="GDM6" s="61"/>
      <c r="GDN6" s="61"/>
      <c r="GDO6" s="61"/>
      <c r="GDP6" s="61"/>
      <c r="GDQ6" s="61"/>
      <c r="GDR6" s="61"/>
      <c r="GDS6" s="61"/>
      <c r="GDT6" s="61"/>
      <c r="GDU6" s="61"/>
      <c r="GDV6" s="61"/>
      <c r="GDW6" s="61"/>
      <c r="GDX6" s="61"/>
      <c r="GDY6" s="61"/>
      <c r="GDZ6" s="61"/>
      <c r="GEA6" s="61"/>
      <c r="GEB6" s="61"/>
      <c r="GEC6" s="61"/>
      <c r="GED6" s="61"/>
      <c r="GEE6" s="61"/>
      <c r="GEF6" s="61"/>
      <c r="GEG6" s="61"/>
      <c r="GEH6" s="61"/>
      <c r="GEI6" s="61"/>
      <c r="GEJ6" s="61"/>
      <c r="GEK6" s="61"/>
      <c r="GEL6" s="61"/>
      <c r="GEM6" s="61"/>
      <c r="GEN6" s="61"/>
      <c r="GEO6" s="61"/>
      <c r="GEP6" s="61"/>
      <c r="GEQ6" s="61"/>
      <c r="GER6" s="61"/>
      <c r="GES6" s="61"/>
      <c r="GET6" s="61"/>
      <c r="GEU6" s="61"/>
      <c r="GEV6" s="61"/>
      <c r="GEW6" s="61"/>
      <c r="GEX6" s="61"/>
      <c r="GEY6" s="61"/>
      <c r="GEZ6" s="61"/>
      <c r="GFA6" s="61"/>
      <c r="GFB6" s="61"/>
      <c r="GFC6" s="61"/>
      <c r="GFD6" s="61"/>
      <c r="GFE6" s="61"/>
      <c r="GFF6" s="61"/>
      <c r="GFG6" s="61"/>
      <c r="GFH6" s="61"/>
      <c r="GFI6" s="61"/>
      <c r="GFJ6" s="61"/>
      <c r="GFK6" s="61"/>
      <c r="GFL6" s="61"/>
      <c r="GFM6" s="61"/>
      <c r="GFN6" s="61"/>
      <c r="GFO6" s="61"/>
      <c r="GFP6" s="61"/>
      <c r="GFQ6" s="61"/>
      <c r="GFR6" s="61"/>
      <c r="GFS6" s="61"/>
      <c r="GFT6" s="61"/>
      <c r="GFU6" s="61"/>
      <c r="GFV6" s="61"/>
      <c r="GFW6" s="61"/>
      <c r="GFX6" s="61"/>
      <c r="GFY6" s="61"/>
      <c r="GFZ6" s="61"/>
      <c r="GGA6" s="61"/>
      <c r="GGB6" s="61"/>
      <c r="GGC6" s="61"/>
      <c r="GGD6" s="61"/>
      <c r="GGE6" s="61"/>
      <c r="GGF6" s="61"/>
      <c r="GGG6" s="61"/>
      <c r="GGH6" s="61"/>
      <c r="GGI6" s="61"/>
      <c r="GGJ6" s="61"/>
      <c r="GGK6" s="61"/>
      <c r="GGL6" s="61"/>
      <c r="GGM6" s="61"/>
      <c r="GGN6" s="61"/>
      <c r="GGO6" s="61"/>
      <c r="GGP6" s="61"/>
      <c r="GGQ6" s="61"/>
      <c r="GGR6" s="61"/>
      <c r="GGS6" s="61"/>
      <c r="GGT6" s="61"/>
      <c r="GGU6" s="61"/>
      <c r="GGV6" s="61"/>
      <c r="GGW6" s="61"/>
      <c r="GGX6" s="61"/>
      <c r="GGY6" s="61"/>
      <c r="GGZ6" s="61"/>
      <c r="GHA6" s="61"/>
      <c r="GHB6" s="61"/>
      <c r="GHC6" s="61"/>
      <c r="GHD6" s="61"/>
      <c r="GHE6" s="61"/>
      <c r="GHF6" s="61"/>
      <c r="GHG6" s="61"/>
      <c r="GHH6" s="61"/>
      <c r="GHI6" s="61"/>
      <c r="GHJ6" s="61"/>
      <c r="GHK6" s="61"/>
      <c r="GHL6" s="61"/>
      <c r="GHM6" s="61"/>
      <c r="GHN6" s="61"/>
      <c r="GHO6" s="61"/>
      <c r="GHP6" s="61"/>
      <c r="GHQ6" s="61"/>
      <c r="GHR6" s="61"/>
      <c r="GHS6" s="61"/>
      <c r="GHT6" s="61"/>
      <c r="GHU6" s="61"/>
      <c r="GHV6" s="61"/>
      <c r="GHW6" s="61"/>
      <c r="GHX6" s="61"/>
      <c r="GHY6" s="61"/>
      <c r="GHZ6" s="61"/>
      <c r="GIA6" s="61"/>
      <c r="GIB6" s="61"/>
      <c r="GIC6" s="61"/>
      <c r="GID6" s="61"/>
      <c r="GIE6" s="61"/>
      <c r="GIF6" s="61"/>
      <c r="GIG6" s="61"/>
      <c r="GIH6" s="61"/>
      <c r="GII6" s="61"/>
      <c r="GIJ6" s="61"/>
      <c r="GIK6" s="61"/>
      <c r="GIL6" s="61"/>
      <c r="GIM6" s="61"/>
      <c r="GIN6" s="61"/>
      <c r="GIO6" s="61"/>
      <c r="GIP6" s="61"/>
      <c r="GIQ6" s="61"/>
      <c r="GIR6" s="61"/>
      <c r="GIS6" s="61"/>
      <c r="GIT6" s="61"/>
      <c r="GIU6" s="61"/>
      <c r="GIV6" s="61"/>
      <c r="GIW6" s="61"/>
      <c r="GIX6" s="61"/>
      <c r="GIY6" s="61"/>
      <c r="GIZ6" s="61"/>
      <c r="GJA6" s="61"/>
      <c r="GJB6" s="61"/>
      <c r="GJC6" s="61"/>
      <c r="GJD6" s="61"/>
      <c r="GJE6" s="61"/>
      <c r="GJF6" s="61"/>
      <c r="GJG6" s="61"/>
      <c r="GJH6" s="61"/>
      <c r="GJI6" s="61"/>
      <c r="GJJ6" s="61"/>
      <c r="GJK6" s="61"/>
      <c r="GJL6" s="61"/>
      <c r="GJM6" s="61"/>
      <c r="GJN6" s="61"/>
      <c r="GJO6" s="61"/>
      <c r="GJP6" s="61"/>
      <c r="GJQ6" s="61"/>
      <c r="GJR6" s="61"/>
      <c r="GJS6" s="61"/>
      <c r="GJT6" s="61"/>
      <c r="GJU6" s="61"/>
      <c r="GJV6" s="61"/>
      <c r="GJW6" s="61"/>
      <c r="GJX6" s="61"/>
      <c r="GJY6" s="61"/>
      <c r="GJZ6" s="61"/>
      <c r="GKA6" s="61"/>
      <c r="GKB6" s="61"/>
      <c r="GKC6" s="61"/>
      <c r="GKD6" s="61"/>
      <c r="GKE6" s="61"/>
      <c r="GKF6" s="61"/>
      <c r="GKG6" s="61"/>
      <c r="GKH6" s="61"/>
      <c r="GKI6" s="61"/>
      <c r="GKJ6" s="61"/>
      <c r="GKK6" s="61"/>
      <c r="GKL6" s="61"/>
      <c r="GKM6" s="61"/>
      <c r="GKN6" s="61"/>
      <c r="GKO6" s="61"/>
      <c r="GKP6" s="61"/>
      <c r="GKQ6" s="61"/>
      <c r="GKR6" s="61"/>
      <c r="GKS6" s="61"/>
      <c r="GKT6" s="61"/>
      <c r="GKU6" s="61"/>
      <c r="GKV6" s="61"/>
      <c r="GKW6" s="61"/>
      <c r="GKX6" s="61"/>
      <c r="GKY6" s="61"/>
      <c r="GKZ6" s="61"/>
      <c r="GLA6" s="61"/>
      <c r="GLB6" s="61"/>
      <c r="GLC6" s="61"/>
      <c r="GLD6" s="61"/>
      <c r="GLE6" s="61"/>
      <c r="GLF6" s="61"/>
      <c r="GLG6" s="61"/>
      <c r="GLH6" s="61"/>
      <c r="GLI6" s="61"/>
      <c r="GLJ6" s="61"/>
      <c r="GLK6" s="61"/>
      <c r="GLL6" s="61"/>
      <c r="GLM6" s="61"/>
      <c r="GLN6" s="61"/>
      <c r="GLO6" s="61"/>
      <c r="GLP6" s="61"/>
      <c r="GLQ6" s="61"/>
      <c r="GLR6" s="61"/>
      <c r="GLS6" s="61"/>
      <c r="GLT6" s="61"/>
      <c r="GLU6" s="61"/>
      <c r="GLV6" s="61"/>
      <c r="GLW6" s="61"/>
      <c r="GLX6" s="61"/>
      <c r="GLY6" s="61"/>
      <c r="GLZ6" s="61"/>
      <c r="GMA6" s="61"/>
      <c r="GMB6" s="61"/>
      <c r="GMC6" s="61"/>
      <c r="GMD6" s="61"/>
      <c r="GME6" s="61"/>
      <c r="GMF6" s="61"/>
      <c r="GMG6" s="61"/>
      <c r="GMH6" s="61"/>
      <c r="GMI6" s="61"/>
      <c r="GMJ6" s="61"/>
      <c r="GMK6" s="61"/>
      <c r="GML6" s="61"/>
      <c r="GMM6" s="61"/>
      <c r="GMN6" s="61"/>
      <c r="GMO6" s="61"/>
      <c r="GMP6" s="61"/>
      <c r="GMQ6" s="61"/>
      <c r="GMR6" s="61"/>
      <c r="GMS6" s="61"/>
      <c r="GMT6" s="61"/>
      <c r="GMU6" s="61"/>
      <c r="GMV6" s="61"/>
      <c r="GMW6" s="61"/>
      <c r="GMX6" s="61"/>
      <c r="GMY6" s="61"/>
      <c r="GMZ6" s="61"/>
      <c r="GNA6" s="61"/>
      <c r="GNB6" s="61"/>
      <c r="GNC6" s="61"/>
      <c r="GND6" s="61"/>
      <c r="GNE6" s="61"/>
      <c r="GNF6" s="61"/>
      <c r="GNG6" s="61"/>
      <c r="GNH6" s="61"/>
      <c r="GNI6" s="61"/>
      <c r="GNJ6" s="61"/>
      <c r="GNK6" s="61"/>
      <c r="GNL6" s="61"/>
      <c r="GNM6" s="61"/>
      <c r="GNN6" s="61"/>
      <c r="GNO6" s="61"/>
      <c r="GNP6" s="61"/>
      <c r="GNQ6" s="61"/>
      <c r="GNR6" s="61"/>
      <c r="GNS6" s="61"/>
      <c r="GNT6" s="61"/>
      <c r="GNU6" s="61"/>
      <c r="GNV6" s="61"/>
      <c r="GNW6" s="61"/>
      <c r="GNX6" s="61"/>
      <c r="GNY6" s="61"/>
      <c r="GNZ6" s="61"/>
      <c r="GOA6" s="61"/>
      <c r="GOB6" s="61"/>
      <c r="GOC6" s="61"/>
      <c r="GOD6" s="61"/>
      <c r="GOE6" s="61"/>
      <c r="GOF6" s="61"/>
      <c r="GOG6" s="61"/>
      <c r="GOH6" s="61"/>
      <c r="GOI6" s="61"/>
      <c r="GOJ6" s="61"/>
      <c r="GOK6" s="61"/>
      <c r="GOL6" s="61"/>
      <c r="GOM6" s="61"/>
      <c r="GON6" s="61"/>
      <c r="GOO6" s="61"/>
      <c r="GOP6" s="61"/>
      <c r="GOQ6" s="61"/>
      <c r="GOR6" s="61"/>
      <c r="GOS6" s="61"/>
      <c r="GOT6" s="61"/>
      <c r="GOU6" s="61"/>
      <c r="GOV6" s="61"/>
      <c r="GOW6" s="61"/>
      <c r="GOX6" s="61"/>
      <c r="GOY6" s="61"/>
      <c r="GOZ6" s="61"/>
      <c r="GPA6" s="61"/>
      <c r="GPB6" s="61"/>
      <c r="GPC6" s="61"/>
      <c r="GPD6" s="61"/>
      <c r="GPE6" s="61"/>
      <c r="GPF6" s="61"/>
      <c r="GPG6" s="61"/>
      <c r="GPH6" s="61"/>
      <c r="GPI6" s="61"/>
      <c r="GPJ6" s="61"/>
      <c r="GPK6" s="61"/>
      <c r="GPL6" s="61"/>
      <c r="GPM6" s="61"/>
      <c r="GPN6" s="61"/>
      <c r="GPO6" s="61"/>
      <c r="GPP6" s="61"/>
      <c r="GPQ6" s="61"/>
      <c r="GPR6" s="61"/>
      <c r="GPS6" s="61"/>
      <c r="GPT6" s="61"/>
      <c r="GPU6" s="61"/>
      <c r="GPV6" s="61"/>
      <c r="GPW6" s="61"/>
      <c r="GPX6" s="61"/>
      <c r="GPY6" s="61"/>
      <c r="GPZ6" s="61"/>
      <c r="GQA6" s="61"/>
      <c r="GQB6" s="61"/>
      <c r="GQC6" s="61"/>
      <c r="GQD6" s="61"/>
      <c r="GQE6" s="61"/>
      <c r="GQF6" s="61"/>
      <c r="GQG6" s="61"/>
      <c r="GQH6" s="61"/>
      <c r="GQI6" s="61"/>
      <c r="GQJ6" s="61"/>
      <c r="GQK6" s="61"/>
      <c r="GQL6" s="61"/>
      <c r="GQM6" s="61"/>
      <c r="GQN6" s="61"/>
      <c r="GQO6" s="61"/>
      <c r="GQP6" s="61"/>
      <c r="GQQ6" s="61"/>
      <c r="GQR6" s="61"/>
      <c r="GQS6" s="61"/>
      <c r="GQT6" s="61"/>
      <c r="GQU6" s="61"/>
      <c r="GQV6" s="61"/>
      <c r="GQW6" s="61"/>
      <c r="GQX6" s="61"/>
      <c r="GQY6" s="61"/>
      <c r="GQZ6" s="61"/>
      <c r="GRA6" s="61"/>
      <c r="GRB6" s="61"/>
      <c r="GRC6" s="61"/>
      <c r="GRD6" s="61"/>
      <c r="GRE6" s="61"/>
      <c r="GRF6" s="61"/>
      <c r="GRG6" s="61"/>
      <c r="GRH6" s="61"/>
      <c r="GRI6" s="61"/>
      <c r="GRJ6" s="61"/>
      <c r="GRK6" s="61"/>
      <c r="GRL6" s="61"/>
      <c r="GRM6" s="61"/>
      <c r="GRN6" s="61"/>
      <c r="GRO6" s="61"/>
      <c r="GRP6" s="61"/>
      <c r="GRQ6" s="61"/>
      <c r="GRR6" s="61"/>
      <c r="GRS6" s="61"/>
      <c r="GRT6" s="61"/>
      <c r="GRU6" s="61"/>
      <c r="GRV6" s="61"/>
      <c r="GRW6" s="61"/>
      <c r="GRX6" s="61"/>
      <c r="GRY6" s="61"/>
      <c r="GRZ6" s="61"/>
      <c r="GSA6" s="61"/>
      <c r="GSB6" s="61"/>
      <c r="GSC6" s="61"/>
      <c r="GSD6" s="61"/>
      <c r="GSE6" s="61"/>
      <c r="GSF6" s="61"/>
      <c r="GSG6" s="61"/>
      <c r="GSH6" s="61"/>
      <c r="GSI6" s="61"/>
      <c r="GSJ6" s="61"/>
      <c r="GSK6" s="61"/>
      <c r="GSL6" s="61"/>
      <c r="GSM6" s="61"/>
      <c r="GSN6" s="61"/>
      <c r="GSO6" s="61"/>
      <c r="GSP6" s="61"/>
      <c r="GSQ6" s="61"/>
      <c r="GSR6" s="61"/>
      <c r="GSS6" s="61"/>
      <c r="GST6" s="61"/>
      <c r="GSU6" s="61"/>
      <c r="GSV6" s="61"/>
      <c r="GSW6" s="61"/>
      <c r="GSX6" s="61"/>
      <c r="GSY6" s="61"/>
      <c r="GSZ6" s="61"/>
      <c r="GTA6" s="61"/>
      <c r="GTB6" s="61"/>
      <c r="GTC6" s="61"/>
      <c r="GTD6" s="61"/>
      <c r="GTE6" s="61"/>
      <c r="GTF6" s="61"/>
      <c r="GTG6" s="61"/>
      <c r="GTH6" s="61"/>
      <c r="GTI6" s="61"/>
      <c r="GTJ6" s="61"/>
      <c r="GTK6" s="61"/>
      <c r="GTL6" s="61"/>
      <c r="GTM6" s="61"/>
      <c r="GTN6" s="61"/>
      <c r="GTO6" s="61"/>
      <c r="GTP6" s="61"/>
      <c r="GTQ6" s="61"/>
      <c r="GTR6" s="61"/>
      <c r="GTS6" s="61"/>
      <c r="GTT6" s="61"/>
      <c r="GTU6" s="61"/>
      <c r="GTV6" s="61"/>
      <c r="GTW6" s="61"/>
      <c r="GTX6" s="61"/>
      <c r="GTY6" s="61"/>
      <c r="GTZ6" s="61"/>
      <c r="GUA6" s="61"/>
      <c r="GUB6" s="61"/>
      <c r="GUC6" s="61"/>
      <c r="GUD6" s="61"/>
      <c r="GUE6" s="61"/>
      <c r="GUF6" s="61"/>
      <c r="GUG6" s="61"/>
      <c r="GUH6" s="61"/>
      <c r="GUI6" s="61"/>
      <c r="GUJ6" s="61"/>
      <c r="GUK6" s="61"/>
      <c r="GUL6" s="61"/>
      <c r="GUM6" s="61"/>
      <c r="GUN6" s="61"/>
      <c r="GUO6" s="61"/>
      <c r="GUP6" s="61"/>
      <c r="GUQ6" s="61"/>
      <c r="GUR6" s="61"/>
      <c r="GUS6" s="61"/>
      <c r="GUT6" s="61"/>
      <c r="GUU6" s="61"/>
      <c r="GUV6" s="61"/>
      <c r="GUW6" s="61"/>
      <c r="GUX6" s="61"/>
      <c r="GUY6" s="61"/>
      <c r="GUZ6" s="61"/>
      <c r="GVA6" s="61"/>
      <c r="GVB6" s="61"/>
      <c r="GVC6" s="61"/>
      <c r="GVD6" s="61"/>
      <c r="GVE6" s="61"/>
      <c r="GVF6" s="61"/>
      <c r="GVG6" s="61"/>
      <c r="GVH6" s="61"/>
      <c r="GVI6" s="61"/>
      <c r="GVJ6" s="61"/>
      <c r="GVK6" s="61"/>
      <c r="GVL6" s="61"/>
      <c r="GVM6" s="61"/>
      <c r="GVN6" s="61"/>
      <c r="GVO6" s="61"/>
      <c r="GVP6" s="61"/>
      <c r="GVQ6" s="61"/>
      <c r="GVR6" s="61"/>
      <c r="GVS6" s="61"/>
      <c r="GVT6" s="61"/>
      <c r="GVU6" s="61"/>
      <c r="GVV6" s="61"/>
      <c r="GVW6" s="61"/>
      <c r="GVX6" s="61"/>
      <c r="GVY6" s="61"/>
      <c r="GVZ6" s="61"/>
      <c r="GWA6" s="61"/>
      <c r="GWB6" s="61"/>
      <c r="GWC6" s="61"/>
      <c r="GWD6" s="61"/>
      <c r="GWE6" s="61"/>
      <c r="GWF6" s="61"/>
      <c r="GWG6" s="61"/>
      <c r="GWH6" s="61"/>
      <c r="GWI6" s="61"/>
      <c r="GWJ6" s="61"/>
      <c r="GWK6" s="61"/>
      <c r="GWL6" s="61"/>
      <c r="GWM6" s="61"/>
      <c r="GWN6" s="61"/>
      <c r="GWO6" s="61"/>
      <c r="GWP6" s="61"/>
      <c r="GWQ6" s="61"/>
      <c r="GWR6" s="61"/>
      <c r="GWS6" s="61"/>
      <c r="GWT6" s="61"/>
      <c r="GWU6" s="61"/>
      <c r="GWV6" s="61"/>
      <c r="GWW6" s="61"/>
      <c r="GWX6" s="61"/>
      <c r="GWY6" s="61"/>
      <c r="GWZ6" s="61"/>
      <c r="GXA6" s="61"/>
      <c r="GXB6" s="61"/>
      <c r="GXC6" s="61"/>
      <c r="GXD6" s="61"/>
      <c r="GXE6" s="61"/>
      <c r="GXF6" s="61"/>
      <c r="GXG6" s="61"/>
      <c r="GXH6" s="61"/>
      <c r="GXI6" s="61"/>
      <c r="GXJ6" s="61"/>
      <c r="GXK6" s="61"/>
      <c r="GXL6" s="61"/>
      <c r="GXM6" s="61"/>
      <c r="GXN6" s="61"/>
      <c r="GXO6" s="61"/>
      <c r="GXP6" s="61"/>
      <c r="GXQ6" s="61"/>
      <c r="GXR6" s="61"/>
      <c r="GXS6" s="61"/>
      <c r="GXT6" s="61"/>
      <c r="GXU6" s="61"/>
      <c r="GXV6" s="61"/>
      <c r="GXW6" s="61"/>
      <c r="GXX6" s="61"/>
      <c r="GXY6" s="61"/>
      <c r="GXZ6" s="61"/>
      <c r="GYA6" s="61"/>
      <c r="GYB6" s="61"/>
      <c r="GYC6" s="61"/>
      <c r="GYD6" s="61"/>
      <c r="GYE6" s="61"/>
      <c r="GYF6" s="61"/>
      <c r="GYG6" s="61"/>
      <c r="GYH6" s="61"/>
      <c r="GYI6" s="61"/>
      <c r="GYJ6" s="61"/>
      <c r="GYK6" s="61"/>
      <c r="GYL6" s="61"/>
      <c r="GYM6" s="61"/>
      <c r="GYN6" s="61"/>
      <c r="GYO6" s="61"/>
      <c r="GYP6" s="61"/>
      <c r="GYQ6" s="61"/>
      <c r="GYR6" s="61"/>
      <c r="GYS6" s="61"/>
      <c r="GYT6" s="61"/>
      <c r="GYU6" s="61"/>
      <c r="GYV6" s="61"/>
      <c r="GYW6" s="61"/>
      <c r="GYX6" s="61"/>
      <c r="GYY6" s="61"/>
      <c r="GYZ6" s="61"/>
      <c r="GZA6" s="61"/>
      <c r="GZB6" s="61"/>
      <c r="GZC6" s="61"/>
      <c r="GZD6" s="61"/>
      <c r="GZE6" s="61"/>
      <c r="GZF6" s="61"/>
      <c r="GZG6" s="61"/>
      <c r="GZH6" s="61"/>
      <c r="GZI6" s="61"/>
      <c r="GZJ6" s="61"/>
      <c r="GZK6" s="61"/>
      <c r="GZL6" s="61"/>
      <c r="GZM6" s="61"/>
      <c r="GZN6" s="61"/>
      <c r="GZO6" s="61"/>
      <c r="GZP6" s="61"/>
      <c r="GZQ6" s="61"/>
      <c r="GZR6" s="61"/>
      <c r="GZS6" s="61"/>
      <c r="GZT6" s="61"/>
      <c r="GZU6" s="61"/>
      <c r="GZV6" s="61"/>
      <c r="GZW6" s="61"/>
      <c r="GZX6" s="61"/>
      <c r="GZY6" s="61"/>
      <c r="GZZ6" s="61"/>
      <c r="HAA6" s="61"/>
      <c r="HAB6" s="61"/>
      <c r="HAC6" s="61"/>
      <c r="HAD6" s="61"/>
      <c r="HAE6" s="61"/>
      <c r="HAF6" s="61"/>
      <c r="HAG6" s="61"/>
      <c r="HAH6" s="61"/>
      <c r="HAI6" s="61"/>
      <c r="HAJ6" s="61"/>
      <c r="HAK6" s="61"/>
      <c r="HAL6" s="61"/>
      <c r="HAM6" s="61"/>
      <c r="HAN6" s="61"/>
      <c r="HAO6" s="61"/>
      <c r="HAP6" s="61"/>
      <c r="HAQ6" s="61"/>
      <c r="HAR6" s="61"/>
      <c r="HAS6" s="61"/>
      <c r="HAT6" s="61"/>
      <c r="HAU6" s="61"/>
      <c r="HAV6" s="61"/>
      <c r="HAW6" s="61"/>
      <c r="HAX6" s="61"/>
      <c r="HAY6" s="61"/>
      <c r="HAZ6" s="61"/>
      <c r="HBA6" s="61"/>
      <c r="HBB6" s="61"/>
      <c r="HBC6" s="61"/>
      <c r="HBD6" s="61"/>
      <c r="HBE6" s="61"/>
      <c r="HBF6" s="61"/>
      <c r="HBG6" s="61"/>
      <c r="HBH6" s="61"/>
      <c r="HBI6" s="61"/>
      <c r="HBJ6" s="61"/>
      <c r="HBK6" s="61"/>
      <c r="HBL6" s="61"/>
      <c r="HBM6" s="61"/>
      <c r="HBN6" s="61"/>
      <c r="HBO6" s="61"/>
      <c r="HBP6" s="61"/>
      <c r="HBQ6" s="61"/>
      <c r="HBR6" s="61"/>
      <c r="HBS6" s="61"/>
      <c r="HBT6" s="61"/>
      <c r="HBU6" s="61"/>
      <c r="HBV6" s="61"/>
      <c r="HBW6" s="61"/>
      <c r="HBX6" s="61"/>
      <c r="HBY6" s="61"/>
      <c r="HBZ6" s="61"/>
      <c r="HCA6" s="61"/>
      <c r="HCB6" s="61"/>
      <c r="HCC6" s="61"/>
      <c r="HCD6" s="61"/>
      <c r="HCE6" s="61"/>
      <c r="HCF6" s="61"/>
      <c r="HCG6" s="61"/>
      <c r="HCH6" s="61"/>
      <c r="HCI6" s="61"/>
      <c r="HCJ6" s="61"/>
      <c r="HCK6" s="61"/>
      <c r="HCL6" s="61"/>
      <c r="HCM6" s="61"/>
      <c r="HCN6" s="61"/>
      <c r="HCO6" s="61"/>
      <c r="HCP6" s="61"/>
      <c r="HCQ6" s="61"/>
      <c r="HCR6" s="61"/>
      <c r="HCS6" s="61"/>
      <c r="HCT6" s="61"/>
      <c r="HCU6" s="61"/>
      <c r="HCV6" s="61"/>
      <c r="HCW6" s="61"/>
      <c r="HCX6" s="61"/>
      <c r="HCY6" s="61"/>
      <c r="HCZ6" s="61"/>
      <c r="HDA6" s="61"/>
      <c r="HDB6" s="61"/>
      <c r="HDC6" s="61"/>
      <c r="HDD6" s="61"/>
      <c r="HDE6" s="61"/>
      <c r="HDF6" s="61"/>
      <c r="HDG6" s="61"/>
      <c r="HDH6" s="61"/>
      <c r="HDI6" s="61"/>
      <c r="HDJ6" s="61"/>
      <c r="HDK6" s="61"/>
      <c r="HDL6" s="61"/>
      <c r="HDM6" s="61"/>
      <c r="HDN6" s="61"/>
      <c r="HDO6" s="61"/>
      <c r="HDP6" s="61"/>
      <c r="HDQ6" s="61"/>
      <c r="HDR6" s="61"/>
      <c r="HDS6" s="61"/>
      <c r="HDT6" s="61"/>
      <c r="HDU6" s="61"/>
      <c r="HDV6" s="61"/>
      <c r="HDW6" s="61"/>
      <c r="HDX6" s="61"/>
      <c r="HDY6" s="61"/>
      <c r="HDZ6" s="61"/>
      <c r="HEA6" s="61"/>
      <c r="HEB6" s="61"/>
      <c r="HEC6" s="61"/>
      <c r="HED6" s="61"/>
      <c r="HEE6" s="61"/>
      <c r="HEF6" s="61"/>
      <c r="HEG6" s="61"/>
      <c r="HEH6" s="61"/>
      <c r="HEI6" s="61"/>
      <c r="HEJ6" s="61"/>
      <c r="HEK6" s="61"/>
      <c r="HEL6" s="61"/>
      <c r="HEM6" s="61"/>
      <c r="HEN6" s="61"/>
      <c r="HEO6" s="61"/>
      <c r="HEP6" s="61"/>
      <c r="HEQ6" s="61"/>
      <c r="HER6" s="61"/>
      <c r="HES6" s="61"/>
      <c r="HET6" s="61"/>
      <c r="HEU6" s="61"/>
      <c r="HEV6" s="61"/>
      <c r="HEW6" s="61"/>
      <c r="HEX6" s="61"/>
      <c r="HEY6" s="61"/>
      <c r="HEZ6" s="61"/>
      <c r="HFA6" s="61"/>
      <c r="HFB6" s="61"/>
      <c r="HFC6" s="61"/>
      <c r="HFD6" s="61"/>
      <c r="HFE6" s="61"/>
      <c r="HFF6" s="61"/>
      <c r="HFG6" s="61"/>
      <c r="HFH6" s="61"/>
      <c r="HFI6" s="61"/>
      <c r="HFJ6" s="61"/>
      <c r="HFK6" s="61"/>
      <c r="HFL6" s="61"/>
      <c r="HFM6" s="61"/>
      <c r="HFN6" s="61"/>
      <c r="HFO6" s="61"/>
      <c r="HFP6" s="61"/>
      <c r="HFQ6" s="61"/>
      <c r="HFR6" s="61"/>
      <c r="HFS6" s="61"/>
      <c r="HFT6" s="61"/>
      <c r="HFU6" s="61"/>
      <c r="HFV6" s="61"/>
      <c r="HFW6" s="61"/>
      <c r="HFX6" s="61"/>
      <c r="HFY6" s="61"/>
      <c r="HFZ6" s="61"/>
      <c r="HGA6" s="61"/>
      <c r="HGB6" s="61"/>
      <c r="HGC6" s="61"/>
      <c r="HGD6" s="61"/>
      <c r="HGE6" s="61"/>
      <c r="HGF6" s="61"/>
      <c r="HGG6" s="61"/>
      <c r="HGH6" s="61"/>
      <c r="HGI6" s="61"/>
      <c r="HGJ6" s="61"/>
      <c r="HGK6" s="61"/>
      <c r="HGL6" s="61"/>
      <c r="HGM6" s="61"/>
      <c r="HGN6" s="61"/>
      <c r="HGO6" s="61"/>
      <c r="HGP6" s="61"/>
      <c r="HGQ6" s="61"/>
      <c r="HGR6" s="61"/>
      <c r="HGS6" s="61"/>
      <c r="HGT6" s="61"/>
      <c r="HGU6" s="61"/>
      <c r="HGV6" s="61"/>
      <c r="HGW6" s="61"/>
      <c r="HGX6" s="61"/>
      <c r="HGY6" s="61"/>
      <c r="HGZ6" s="61"/>
      <c r="HHA6" s="61"/>
      <c r="HHB6" s="61"/>
      <c r="HHC6" s="61"/>
      <c r="HHD6" s="61"/>
      <c r="HHE6" s="61"/>
      <c r="HHF6" s="61"/>
      <c r="HHG6" s="61"/>
      <c r="HHH6" s="61"/>
      <c r="HHI6" s="61"/>
      <c r="HHJ6" s="61"/>
      <c r="HHK6" s="61"/>
      <c r="HHL6" s="61"/>
      <c r="HHM6" s="61"/>
      <c r="HHN6" s="61"/>
      <c r="HHO6" s="61"/>
      <c r="HHP6" s="61"/>
      <c r="HHQ6" s="61"/>
      <c r="HHR6" s="61"/>
      <c r="HHS6" s="61"/>
      <c r="HHT6" s="61"/>
      <c r="HHU6" s="61"/>
      <c r="HHV6" s="61"/>
      <c r="HHW6" s="61"/>
      <c r="HHX6" s="61"/>
      <c r="HHY6" s="61"/>
      <c r="HHZ6" s="61"/>
      <c r="HIA6" s="61"/>
      <c r="HIB6" s="61"/>
      <c r="HIC6" s="61"/>
      <c r="HID6" s="61"/>
      <c r="HIE6" s="61"/>
      <c r="HIF6" s="61"/>
      <c r="HIG6" s="61"/>
      <c r="HIH6" s="61"/>
      <c r="HII6" s="61"/>
      <c r="HIJ6" s="61"/>
      <c r="HIK6" s="61"/>
      <c r="HIL6" s="61"/>
      <c r="HIM6" s="61"/>
      <c r="HIN6" s="61"/>
      <c r="HIO6" s="61"/>
      <c r="HIP6" s="61"/>
      <c r="HIQ6" s="61"/>
      <c r="HIR6" s="61"/>
      <c r="HIS6" s="61"/>
      <c r="HIT6" s="61"/>
      <c r="HIU6" s="61"/>
      <c r="HIV6" s="61"/>
      <c r="HIW6" s="61"/>
      <c r="HIX6" s="61"/>
      <c r="HIY6" s="61"/>
      <c r="HIZ6" s="61"/>
      <c r="HJA6" s="61"/>
      <c r="HJB6" s="61"/>
      <c r="HJC6" s="61"/>
      <c r="HJD6" s="61"/>
      <c r="HJE6" s="61"/>
      <c r="HJF6" s="61"/>
      <c r="HJG6" s="61"/>
      <c r="HJH6" s="61"/>
      <c r="HJI6" s="61"/>
      <c r="HJJ6" s="61"/>
      <c r="HJK6" s="61"/>
      <c r="HJL6" s="61"/>
      <c r="HJM6" s="61"/>
      <c r="HJN6" s="61"/>
      <c r="HJO6" s="61"/>
      <c r="HJP6" s="61"/>
      <c r="HJQ6" s="61"/>
      <c r="HJR6" s="61"/>
      <c r="HJS6" s="61"/>
      <c r="HJT6" s="61"/>
      <c r="HJU6" s="61"/>
      <c r="HJV6" s="61"/>
      <c r="HJW6" s="61"/>
      <c r="HJX6" s="61"/>
      <c r="HJY6" s="61"/>
      <c r="HJZ6" s="61"/>
      <c r="HKA6" s="61"/>
      <c r="HKB6" s="61"/>
      <c r="HKC6" s="61"/>
      <c r="HKD6" s="61"/>
      <c r="HKE6" s="61"/>
      <c r="HKF6" s="61"/>
      <c r="HKG6" s="61"/>
      <c r="HKH6" s="61"/>
      <c r="HKI6" s="61"/>
      <c r="HKJ6" s="61"/>
      <c r="HKK6" s="61"/>
      <c r="HKL6" s="61"/>
      <c r="HKM6" s="61"/>
      <c r="HKN6" s="61"/>
      <c r="HKO6" s="61"/>
      <c r="HKP6" s="61"/>
      <c r="HKQ6" s="61"/>
      <c r="HKR6" s="61"/>
      <c r="HKS6" s="61"/>
      <c r="HKT6" s="61"/>
      <c r="HKU6" s="61"/>
      <c r="HKV6" s="61"/>
      <c r="HKW6" s="61"/>
      <c r="HKX6" s="61"/>
      <c r="HKY6" s="61"/>
      <c r="HKZ6" s="61"/>
      <c r="HLA6" s="61"/>
      <c r="HLB6" s="61"/>
      <c r="HLC6" s="61"/>
      <c r="HLD6" s="61"/>
      <c r="HLE6" s="61"/>
      <c r="HLF6" s="61"/>
      <c r="HLG6" s="61"/>
      <c r="HLH6" s="61"/>
      <c r="HLI6" s="61"/>
      <c r="HLJ6" s="61"/>
      <c r="HLK6" s="61"/>
      <c r="HLL6" s="61"/>
      <c r="HLM6" s="61"/>
      <c r="HLN6" s="61"/>
      <c r="HLO6" s="61"/>
      <c r="HLP6" s="61"/>
      <c r="HLQ6" s="61"/>
      <c r="HLR6" s="61"/>
      <c r="HLS6" s="61"/>
      <c r="HLT6" s="61"/>
      <c r="HLU6" s="61"/>
      <c r="HLV6" s="61"/>
      <c r="HLW6" s="61"/>
      <c r="HLX6" s="61"/>
      <c r="HLY6" s="61"/>
      <c r="HLZ6" s="61"/>
      <c r="HMA6" s="61"/>
      <c r="HMB6" s="61"/>
      <c r="HMC6" s="61"/>
      <c r="HMD6" s="61"/>
      <c r="HME6" s="61"/>
      <c r="HMF6" s="61"/>
      <c r="HMG6" s="61"/>
      <c r="HMH6" s="61"/>
      <c r="HMI6" s="61"/>
      <c r="HMJ6" s="61"/>
      <c r="HMK6" s="61"/>
      <c r="HML6" s="61"/>
      <c r="HMM6" s="61"/>
      <c r="HMN6" s="61"/>
      <c r="HMO6" s="61"/>
      <c r="HMP6" s="61"/>
      <c r="HMQ6" s="61"/>
      <c r="HMR6" s="61"/>
      <c r="HMS6" s="61"/>
      <c r="HMT6" s="61"/>
      <c r="HMU6" s="61"/>
      <c r="HMV6" s="61"/>
      <c r="HMW6" s="61"/>
      <c r="HMX6" s="61"/>
      <c r="HMY6" s="61"/>
      <c r="HMZ6" s="61"/>
      <c r="HNA6" s="61"/>
      <c r="HNB6" s="61"/>
      <c r="HNC6" s="61"/>
      <c r="HND6" s="61"/>
      <c r="HNE6" s="61"/>
      <c r="HNF6" s="61"/>
      <c r="HNG6" s="61"/>
      <c r="HNH6" s="61"/>
      <c r="HNI6" s="61"/>
      <c r="HNJ6" s="61"/>
      <c r="HNK6" s="61"/>
      <c r="HNL6" s="61"/>
      <c r="HNM6" s="61"/>
      <c r="HNN6" s="61"/>
      <c r="HNO6" s="61"/>
      <c r="HNP6" s="61"/>
      <c r="HNQ6" s="61"/>
      <c r="HNR6" s="61"/>
      <c r="HNS6" s="61"/>
      <c r="HNT6" s="61"/>
      <c r="HNU6" s="61"/>
      <c r="HNV6" s="61"/>
      <c r="HNW6" s="61"/>
      <c r="HNX6" s="61"/>
      <c r="HNY6" s="61"/>
      <c r="HNZ6" s="61"/>
      <c r="HOA6" s="61"/>
      <c r="HOB6" s="61"/>
      <c r="HOC6" s="61"/>
      <c r="HOD6" s="61"/>
      <c r="HOE6" s="61"/>
      <c r="HOF6" s="61"/>
      <c r="HOG6" s="61"/>
      <c r="HOH6" s="61"/>
      <c r="HOI6" s="61"/>
      <c r="HOJ6" s="61"/>
      <c r="HOK6" s="61"/>
      <c r="HOL6" s="61"/>
      <c r="HOM6" s="61"/>
      <c r="HON6" s="61"/>
      <c r="HOO6" s="61"/>
      <c r="HOP6" s="61"/>
      <c r="HOQ6" s="61"/>
      <c r="HOR6" s="61"/>
      <c r="HOS6" s="61"/>
      <c r="HOT6" s="61"/>
      <c r="HOU6" s="61"/>
      <c r="HOV6" s="61"/>
      <c r="HOW6" s="61"/>
      <c r="HOX6" s="61"/>
      <c r="HOY6" s="61"/>
      <c r="HOZ6" s="61"/>
      <c r="HPA6" s="61"/>
      <c r="HPB6" s="61"/>
      <c r="HPC6" s="61"/>
      <c r="HPD6" s="61"/>
      <c r="HPE6" s="61"/>
      <c r="HPF6" s="61"/>
      <c r="HPG6" s="61"/>
      <c r="HPH6" s="61"/>
      <c r="HPI6" s="61"/>
      <c r="HPJ6" s="61"/>
      <c r="HPK6" s="61"/>
      <c r="HPL6" s="61"/>
      <c r="HPM6" s="61"/>
      <c r="HPN6" s="61"/>
      <c r="HPO6" s="61"/>
      <c r="HPP6" s="61"/>
      <c r="HPQ6" s="61"/>
      <c r="HPR6" s="61"/>
      <c r="HPS6" s="61"/>
      <c r="HPT6" s="61"/>
      <c r="HPU6" s="61"/>
      <c r="HPV6" s="61"/>
      <c r="HPW6" s="61"/>
      <c r="HPX6" s="61"/>
      <c r="HPY6" s="61"/>
      <c r="HPZ6" s="61"/>
      <c r="HQA6" s="61"/>
      <c r="HQB6" s="61"/>
      <c r="HQC6" s="61"/>
      <c r="HQD6" s="61"/>
      <c r="HQE6" s="61"/>
      <c r="HQF6" s="61"/>
      <c r="HQG6" s="61"/>
      <c r="HQH6" s="61"/>
      <c r="HQI6" s="61"/>
      <c r="HQJ6" s="61"/>
      <c r="HQK6" s="61"/>
      <c r="HQL6" s="61"/>
      <c r="HQM6" s="61"/>
      <c r="HQN6" s="61"/>
      <c r="HQO6" s="61"/>
      <c r="HQP6" s="61"/>
      <c r="HQQ6" s="61"/>
      <c r="HQR6" s="61"/>
      <c r="HQS6" s="61"/>
      <c r="HQT6" s="61"/>
      <c r="HQU6" s="61"/>
      <c r="HQV6" s="61"/>
      <c r="HQW6" s="61"/>
      <c r="HQX6" s="61"/>
      <c r="HQY6" s="61"/>
      <c r="HQZ6" s="61"/>
      <c r="HRA6" s="61"/>
      <c r="HRB6" s="61"/>
      <c r="HRC6" s="61"/>
      <c r="HRD6" s="61"/>
      <c r="HRE6" s="61"/>
      <c r="HRF6" s="61"/>
      <c r="HRG6" s="61"/>
      <c r="HRH6" s="61"/>
      <c r="HRI6" s="61"/>
      <c r="HRJ6" s="61"/>
      <c r="HRK6" s="61"/>
      <c r="HRL6" s="61"/>
      <c r="HRM6" s="61"/>
      <c r="HRN6" s="61"/>
      <c r="HRO6" s="61"/>
      <c r="HRP6" s="61"/>
      <c r="HRQ6" s="61"/>
      <c r="HRR6" s="61"/>
      <c r="HRS6" s="61"/>
      <c r="HRT6" s="61"/>
      <c r="HRU6" s="61"/>
      <c r="HRV6" s="61"/>
      <c r="HRW6" s="61"/>
      <c r="HRX6" s="61"/>
      <c r="HRY6" s="61"/>
      <c r="HRZ6" s="61"/>
      <c r="HSA6" s="61"/>
      <c r="HSB6" s="61"/>
      <c r="HSC6" s="61"/>
      <c r="HSD6" s="61"/>
      <c r="HSE6" s="61"/>
      <c r="HSF6" s="61"/>
      <c r="HSG6" s="61"/>
      <c r="HSH6" s="61"/>
      <c r="HSI6" s="61"/>
      <c r="HSJ6" s="61"/>
      <c r="HSK6" s="61"/>
      <c r="HSL6" s="61"/>
      <c r="HSM6" s="61"/>
      <c r="HSN6" s="61"/>
      <c r="HSO6" s="61"/>
      <c r="HSP6" s="61"/>
      <c r="HSQ6" s="61"/>
      <c r="HSR6" s="61"/>
      <c r="HSS6" s="61"/>
      <c r="HST6" s="61"/>
      <c r="HSU6" s="61"/>
      <c r="HSV6" s="61"/>
      <c r="HSW6" s="61"/>
      <c r="HSX6" s="61"/>
      <c r="HSY6" s="61"/>
      <c r="HSZ6" s="61"/>
      <c r="HTA6" s="61"/>
      <c r="HTB6" s="61"/>
      <c r="HTC6" s="61"/>
      <c r="HTD6" s="61"/>
      <c r="HTE6" s="61"/>
      <c r="HTF6" s="61"/>
      <c r="HTG6" s="61"/>
      <c r="HTH6" s="61"/>
      <c r="HTI6" s="61"/>
      <c r="HTJ6" s="61"/>
      <c r="HTK6" s="61"/>
      <c r="HTL6" s="61"/>
      <c r="HTM6" s="61"/>
      <c r="HTN6" s="61"/>
      <c r="HTO6" s="61"/>
      <c r="HTP6" s="61"/>
      <c r="HTQ6" s="61"/>
      <c r="HTR6" s="61"/>
      <c r="HTS6" s="61"/>
      <c r="HTT6" s="61"/>
      <c r="HTU6" s="61"/>
      <c r="HTV6" s="61"/>
      <c r="HTW6" s="61"/>
      <c r="HTX6" s="61"/>
      <c r="HTY6" s="61"/>
      <c r="HTZ6" s="61"/>
      <c r="HUA6" s="61"/>
      <c r="HUB6" s="61"/>
      <c r="HUC6" s="61"/>
      <c r="HUD6" s="61"/>
      <c r="HUE6" s="61"/>
      <c r="HUF6" s="61"/>
      <c r="HUG6" s="61"/>
      <c r="HUH6" s="61"/>
      <c r="HUI6" s="61"/>
      <c r="HUJ6" s="61"/>
      <c r="HUK6" s="61"/>
      <c r="HUL6" s="61"/>
      <c r="HUM6" s="61"/>
      <c r="HUN6" s="61"/>
      <c r="HUO6" s="61"/>
      <c r="HUP6" s="61"/>
      <c r="HUQ6" s="61"/>
      <c r="HUR6" s="61"/>
      <c r="HUS6" s="61"/>
      <c r="HUT6" s="61"/>
      <c r="HUU6" s="61"/>
      <c r="HUV6" s="61"/>
      <c r="HUW6" s="61"/>
      <c r="HUX6" s="61"/>
      <c r="HUY6" s="61"/>
      <c r="HUZ6" s="61"/>
      <c r="HVA6" s="61"/>
      <c r="HVB6" s="61"/>
      <c r="HVC6" s="61"/>
      <c r="HVD6" s="61"/>
      <c r="HVE6" s="61"/>
      <c r="HVF6" s="61"/>
      <c r="HVG6" s="61"/>
      <c r="HVH6" s="61"/>
      <c r="HVI6" s="61"/>
      <c r="HVJ6" s="61"/>
      <c r="HVK6" s="61"/>
      <c r="HVL6" s="61"/>
      <c r="HVM6" s="61"/>
      <c r="HVN6" s="61"/>
      <c r="HVO6" s="61"/>
      <c r="HVP6" s="61"/>
      <c r="HVQ6" s="61"/>
      <c r="HVR6" s="61"/>
      <c r="HVS6" s="61"/>
      <c r="HVT6" s="61"/>
      <c r="HVU6" s="61"/>
      <c r="HVV6" s="61"/>
      <c r="HVW6" s="61"/>
      <c r="HVX6" s="61"/>
      <c r="HVY6" s="61"/>
      <c r="HVZ6" s="61"/>
      <c r="HWA6" s="61"/>
      <c r="HWB6" s="61"/>
      <c r="HWC6" s="61"/>
      <c r="HWD6" s="61"/>
      <c r="HWE6" s="61"/>
      <c r="HWF6" s="61"/>
      <c r="HWG6" s="61"/>
      <c r="HWH6" s="61"/>
      <c r="HWI6" s="61"/>
      <c r="HWJ6" s="61"/>
      <c r="HWK6" s="61"/>
      <c r="HWL6" s="61"/>
      <c r="HWM6" s="61"/>
      <c r="HWN6" s="61"/>
      <c r="HWO6" s="61"/>
      <c r="HWP6" s="61"/>
      <c r="HWQ6" s="61"/>
      <c r="HWR6" s="61"/>
      <c r="HWS6" s="61"/>
      <c r="HWT6" s="61"/>
      <c r="HWU6" s="61"/>
      <c r="HWV6" s="61"/>
      <c r="HWW6" s="61"/>
      <c r="HWX6" s="61"/>
      <c r="HWY6" s="61"/>
      <c r="HWZ6" s="61"/>
      <c r="HXA6" s="61"/>
      <c r="HXB6" s="61"/>
      <c r="HXC6" s="61"/>
      <c r="HXD6" s="61"/>
      <c r="HXE6" s="61"/>
      <c r="HXF6" s="61"/>
      <c r="HXG6" s="61"/>
      <c r="HXH6" s="61"/>
      <c r="HXI6" s="61"/>
      <c r="HXJ6" s="61"/>
      <c r="HXK6" s="61"/>
      <c r="HXL6" s="61"/>
      <c r="HXM6" s="61"/>
      <c r="HXN6" s="61"/>
      <c r="HXO6" s="61"/>
      <c r="HXP6" s="61"/>
      <c r="HXQ6" s="61"/>
      <c r="HXR6" s="61"/>
      <c r="HXS6" s="61"/>
      <c r="HXT6" s="61"/>
      <c r="HXU6" s="61"/>
      <c r="HXV6" s="61"/>
      <c r="HXW6" s="61"/>
      <c r="HXX6" s="61"/>
      <c r="HXY6" s="61"/>
      <c r="HXZ6" s="61"/>
      <c r="HYA6" s="61"/>
      <c r="HYB6" s="61"/>
      <c r="HYC6" s="61"/>
      <c r="HYD6" s="61"/>
      <c r="HYE6" s="61"/>
      <c r="HYF6" s="61"/>
      <c r="HYG6" s="61"/>
      <c r="HYH6" s="61"/>
      <c r="HYI6" s="61"/>
      <c r="HYJ6" s="61"/>
      <c r="HYK6" s="61"/>
      <c r="HYL6" s="61"/>
      <c r="HYM6" s="61"/>
      <c r="HYN6" s="61"/>
      <c r="HYO6" s="61"/>
      <c r="HYP6" s="61"/>
      <c r="HYQ6" s="61"/>
      <c r="HYR6" s="61"/>
      <c r="HYS6" s="61"/>
      <c r="HYT6" s="61"/>
      <c r="HYU6" s="61"/>
      <c r="HYV6" s="61"/>
      <c r="HYW6" s="61"/>
      <c r="HYX6" s="61"/>
      <c r="HYY6" s="61"/>
      <c r="HYZ6" s="61"/>
      <c r="HZA6" s="61"/>
      <c r="HZB6" s="61"/>
      <c r="HZC6" s="61"/>
      <c r="HZD6" s="61"/>
      <c r="HZE6" s="61"/>
      <c r="HZF6" s="61"/>
      <c r="HZG6" s="61"/>
      <c r="HZH6" s="61"/>
      <c r="HZI6" s="61"/>
      <c r="HZJ6" s="61"/>
      <c r="HZK6" s="61"/>
      <c r="HZL6" s="61"/>
      <c r="HZM6" s="61"/>
      <c r="HZN6" s="61"/>
      <c r="HZO6" s="61"/>
      <c r="HZP6" s="61"/>
      <c r="HZQ6" s="61"/>
      <c r="HZR6" s="61"/>
      <c r="HZS6" s="61"/>
      <c r="HZT6" s="61"/>
      <c r="HZU6" s="61"/>
      <c r="HZV6" s="61"/>
      <c r="HZW6" s="61"/>
      <c r="HZX6" s="61"/>
      <c r="HZY6" s="61"/>
      <c r="HZZ6" s="61"/>
      <c r="IAA6" s="61"/>
      <c r="IAB6" s="61"/>
      <c r="IAC6" s="61"/>
      <c r="IAD6" s="61"/>
      <c r="IAE6" s="61"/>
      <c r="IAF6" s="61"/>
      <c r="IAG6" s="61"/>
      <c r="IAH6" s="61"/>
      <c r="IAI6" s="61"/>
      <c r="IAJ6" s="61"/>
      <c r="IAK6" s="61"/>
      <c r="IAL6" s="61"/>
      <c r="IAM6" s="61"/>
      <c r="IAN6" s="61"/>
      <c r="IAO6" s="61"/>
      <c r="IAP6" s="61"/>
      <c r="IAQ6" s="61"/>
      <c r="IAR6" s="61"/>
      <c r="IAS6" s="61"/>
      <c r="IAT6" s="61"/>
      <c r="IAU6" s="61"/>
      <c r="IAV6" s="61"/>
      <c r="IAW6" s="61"/>
      <c r="IAX6" s="61"/>
      <c r="IAY6" s="61"/>
      <c r="IAZ6" s="61"/>
      <c r="IBA6" s="61"/>
      <c r="IBB6" s="61"/>
      <c r="IBC6" s="61"/>
      <c r="IBD6" s="61"/>
      <c r="IBE6" s="61"/>
      <c r="IBF6" s="61"/>
      <c r="IBG6" s="61"/>
      <c r="IBH6" s="61"/>
      <c r="IBI6" s="61"/>
      <c r="IBJ6" s="61"/>
      <c r="IBK6" s="61"/>
      <c r="IBL6" s="61"/>
      <c r="IBM6" s="61"/>
      <c r="IBN6" s="61"/>
      <c r="IBO6" s="61"/>
      <c r="IBP6" s="61"/>
      <c r="IBQ6" s="61"/>
      <c r="IBR6" s="61"/>
      <c r="IBS6" s="61"/>
      <c r="IBT6" s="61"/>
      <c r="IBU6" s="61"/>
      <c r="IBV6" s="61"/>
      <c r="IBW6" s="61"/>
      <c r="IBX6" s="61"/>
      <c r="IBY6" s="61"/>
      <c r="IBZ6" s="61"/>
      <c r="ICA6" s="61"/>
      <c r="ICB6" s="61"/>
      <c r="ICC6" s="61"/>
      <c r="ICD6" s="61"/>
      <c r="ICE6" s="61"/>
      <c r="ICF6" s="61"/>
      <c r="ICG6" s="61"/>
      <c r="ICH6" s="61"/>
      <c r="ICI6" s="61"/>
      <c r="ICJ6" s="61"/>
      <c r="ICK6" s="61"/>
      <c r="ICL6" s="61"/>
      <c r="ICM6" s="61"/>
      <c r="ICN6" s="61"/>
      <c r="ICO6" s="61"/>
      <c r="ICP6" s="61"/>
      <c r="ICQ6" s="61"/>
      <c r="ICR6" s="61"/>
      <c r="ICS6" s="61"/>
      <c r="ICT6" s="61"/>
      <c r="ICU6" s="61"/>
      <c r="ICV6" s="61"/>
      <c r="ICW6" s="61"/>
      <c r="ICX6" s="61"/>
      <c r="ICY6" s="61"/>
      <c r="ICZ6" s="61"/>
      <c r="IDA6" s="61"/>
      <c r="IDB6" s="61"/>
      <c r="IDC6" s="61"/>
      <c r="IDD6" s="61"/>
      <c r="IDE6" s="61"/>
      <c r="IDF6" s="61"/>
      <c r="IDG6" s="61"/>
      <c r="IDH6" s="61"/>
      <c r="IDI6" s="61"/>
      <c r="IDJ6" s="61"/>
      <c r="IDK6" s="61"/>
      <c r="IDL6" s="61"/>
      <c r="IDM6" s="61"/>
      <c r="IDN6" s="61"/>
      <c r="IDO6" s="61"/>
      <c r="IDP6" s="61"/>
      <c r="IDQ6" s="61"/>
      <c r="IDR6" s="61"/>
      <c r="IDS6" s="61"/>
      <c r="IDT6" s="61"/>
      <c r="IDU6" s="61"/>
      <c r="IDV6" s="61"/>
      <c r="IDW6" s="61"/>
      <c r="IDX6" s="61"/>
      <c r="IDY6" s="61"/>
      <c r="IDZ6" s="61"/>
      <c r="IEA6" s="61"/>
      <c r="IEB6" s="61"/>
      <c r="IEC6" s="61"/>
      <c r="IED6" s="61"/>
      <c r="IEE6" s="61"/>
      <c r="IEF6" s="61"/>
      <c r="IEG6" s="61"/>
      <c r="IEH6" s="61"/>
      <c r="IEI6" s="61"/>
      <c r="IEJ6" s="61"/>
      <c r="IEK6" s="61"/>
      <c r="IEL6" s="61"/>
      <c r="IEM6" s="61"/>
      <c r="IEN6" s="61"/>
      <c r="IEO6" s="61"/>
      <c r="IEP6" s="61"/>
      <c r="IEQ6" s="61"/>
      <c r="IER6" s="61"/>
      <c r="IES6" s="61"/>
      <c r="IET6" s="61"/>
      <c r="IEU6" s="61"/>
      <c r="IEV6" s="61"/>
      <c r="IEW6" s="61"/>
      <c r="IEX6" s="61"/>
      <c r="IEY6" s="61"/>
      <c r="IEZ6" s="61"/>
      <c r="IFA6" s="61"/>
      <c r="IFB6" s="61"/>
      <c r="IFC6" s="61"/>
      <c r="IFD6" s="61"/>
      <c r="IFE6" s="61"/>
      <c r="IFF6" s="61"/>
      <c r="IFG6" s="61"/>
      <c r="IFH6" s="61"/>
      <c r="IFI6" s="61"/>
      <c r="IFJ6" s="61"/>
      <c r="IFK6" s="61"/>
      <c r="IFL6" s="61"/>
      <c r="IFM6" s="61"/>
      <c r="IFN6" s="61"/>
      <c r="IFO6" s="61"/>
      <c r="IFP6" s="61"/>
      <c r="IFQ6" s="61"/>
      <c r="IFR6" s="61"/>
      <c r="IFS6" s="61"/>
      <c r="IFT6" s="61"/>
      <c r="IFU6" s="61"/>
      <c r="IFV6" s="61"/>
      <c r="IFW6" s="61"/>
      <c r="IFX6" s="61"/>
      <c r="IFY6" s="61"/>
      <c r="IFZ6" s="61"/>
      <c r="IGA6" s="61"/>
      <c r="IGB6" s="61"/>
      <c r="IGC6" s="61"/>
      <c r="IGD6" s="61"/>
      <c r="IGE6" s="61"/>
      <c r="IGF6" s="61"/>
      <c r="IGG6" s="61"/>
      <c r="IGH6" s="61"/>
      <c r="IGI6" s="61"/>
      <c r="IGJ6" s="61"/>
      <c r="IGK6" s="61"/>
      <c r="IGL6" s="61"/>
      <c r="IGM6" s="61"/>
      <c r="IGN6" s="61"/>
      <c r="IGO6" s="61"/>
      <c r="IGP6" s="61"/>
      <c r="IGQ6" s="61"/>
      <c r="IGR6" s="61"/>
      <c r="IGS6" s="61"/>
      <c r="IGT6" s="61"/>
      <c r="IGU6" s="61"/>
      <c r="IGV6" s="61"/>
      <c r="IGW6" s="61"/>
      <c r="IGX6" s="61"/>
      <c r="IGY6" s="61"/>
      <c r="IGZ6" s="61"/>
      <c r="IHA6" s="61"/>
      <c r="IHB6" s="61"/>
      <c r="IHC6" s="61"/>
      <c r="IHD6" s="61"/>
      <c r="IHE6" s="61"/>
      <c r="IHF6" s="61"/>
      <c r="IHG6" s="61"/>
      <c r="IHH6" s="61"/>
      <c r="IHI6" s="61"/>
      <c r="IHJ6" s="61"/>
      <c r="IHK6" s="61"/>
      <c r="IHL6" s="61"/>
      <c r="IHM6" s="61"/>
      <c r="IHN6" s="61"/>
      <c r="IHO6" s="61"/>
      <c r="IHP6" s="61"/>
      <c r="IHQ6" s="61"/>
      <c r="IHR6" s="61"/>
      <c r="IHS6" s="61"/>
      <c r="IHT6" s="61"/>
      <c r="IHU6" s="61"/>
      <c r="IHV6" s="61"/>
      <c r="IHW6" s="61"/>
      <c r="IHX6" s="61"/>
      <c r="IHY6" s="61"/>
      <c r="IHZ6" s="61"/>
      <c r="IIA6" s="61"/>
      <c r="IIB6" s="61"/>
      <c r="IIC6" s="61"/>
      <c r="IID6" s="61"/>
      <c r="IIE6" s="61"/>
      <c r="IIF6" s="61"/>
      <c r="IIG6" s="61"/>
      <c r="IIH6" s="61"/>
      <c r="III6" s="61"/>
      <c r="IIJ6" s="61"/>
      <c r="IIK6" s="61"/>
      <c r="IIL6" s="61"/>
      <c r="IIM6" s="61"/>
      <c r="IIN6" s="61"/>
      <c r="IIO6" s="61"/>
      <c r="IIP6" s="61"/>
      <c r="IIQ6" s="61"/>
      <c r="IIR6" s="61"/>
      <c r="IIS6" s="61"/>
      <c r="IIT6" s="61"/>
      <c r="IIU6" s="61"/>
      <c r="IIV6" s="61"/>
      <c r="IIW6" s="61"/>
      <c r="IIX6" s="61"/>
      <c r="IIY6" s="61"/>
      <c r="IIZ6" s="61"/>
      <c r="IJA6" s="61"/>
      <c r="IJB6" s="61"/>
      <c r="IJC6" s="61"/>
      <c r="IJD6" s="61"/>
      <c r="IJE6" s="61"/>
      <c r="IJF6" s="61"/>
      <c r="IJG6" s="61"/>
      <c r="IJH6" s="61"/>
      <c r="IJI6" s="61"/>
      <c r="IJJ6" s="61"/>
      <c r="IJK6" s="61"/>
      <c r="IJL6" s="61"/>
      <c r="IJM6" s="61"/>
      <c r="IJN6" s="61"/>
      <c r="IJO6" s="61"/>
      <c r="IJP6" s="61"/>
      <c r="IJQ6" s="61"/>
      <c r="IJR6" s="61"/>
      <c r="IJS6" s="61"/>
      <c r="IJT6" s="61"/>
      <c r="IJU6" s="61"/>
      <c r="IJV6" s="61"/>
      <c r="IJW6" s="61"/>
      <c r="IJX6" s="61"/>
      <c r="IJY6" s="61"/>
      <c r="IJZ6" s="61"/>
      <c r="IKA6" s="61"/>
      <c r="IKB6" s="61"/>
      <c r="IKC6" s="61"/>
      <c r="IKD6" s="61"/>
      <c r="IKE6" s="61"/>
      <c r="IKF6" s="61"/>
      <c r="IKG6" s="61"/>
      <c r="IKH6" s="61"/>
      <c r="IKI6" s="61"/>
      <c r="IKJ6" s="61"/>
      <c r="IKK6" s="61"/>
      <c r="IKL6" s="61"/>
      <c r="IKM6" s="61"/>
      <c r="IKN6" s="61"/>
      <c r="IKO6" s="61"/>
      <c r="IKP6" s="61"/>
      <c r="IKQ6" s="61"/>
      <c r="IKR6" s="61"/>
      <c r="IKS6" s="61"/>
      <c r="IKT6" s="61"/>
      <c r="IKU6" s="61"/>
      <c r="IKV6" s="61"/>
      <c r="IKW6" s="61"/>
      <c r="IKX6" s="61"/>
      <c r="IKY6" s="61"/>
      <c r="IKZ6" s="61"/>
      <c r="ILA6" s="61"/>
      <c r="ILB6" s="61"/>
      <c r="ILC6" s="61"/>
      <c r="ILD6" s="61"/>
      <c r="ILE6" s="61"/>
      <c r="ILF6" s="61"/>
      <c r="ILG6" s="61"/>
      <c r="ILH6" s="61"/>
      <c r="ILI6" s="61"/>
      <c r="ILJ6" s="61"/>
      <c r="ILK6" s="61"/>
      <c r="ILL6" s="61"/>
      <c r="ILM6" s="61"/>
      <c r="ILN6" s="61"/>
      <c r="ILO6" s="61"/>
      <c r="ILP6" s="61"/>
      <c r="ILQ6" s="61"/>
      <c r="ILR6" s="61"/>
      <c r="ILS6" s="61"/>
      <c r="ILT6" s="61"/>
      <c r="ILU6" s="61"/>
      <c r="ILV6" s="61"/>
      <c r="ILW6" s="61"/>
      <c r="ILX6" s="61"/>
      <c r="ILY6" s="61"/>
      <c r="ILZ6" s="61"/>
      <c r="IMA6" s="61"/>
      <c r="IMB6" s="61"/>
      <c r="IMC6" s="61"/>
      <c r="IMD6" s="61"/>
      <c r="IME6" s="61"/>
      <c r="IMF6" s="61"/>
      <c r="IMG6" s="61"/>
      <c r="IMH6" s="61"/>
      <c r="IMI6" s="61"/>
      <c r="IMJ6" s="61"/>
      <c r="IMK6" s="61"/>
      <c r="IML6" s="61"/>
      <c r="IMM6" s="61"/>
      <c r="IMN6" s="61"/>
      <c r="IMO6" s="61"/>
      <c r="IMP6" s="61"/>
      <c r="IMQ6" s="61"/>
      <c r="IMR6" s="61"/>
      <c r="IMS6" s="61"/>
      <c r="IMT6" s="61"/>
      <c r="IMU6" s="61"/>
      <c r="IMV6" s="61"/>
      <c r="IMW6" s="61"/>
      <c r="IMX6" s="61"/>
      <c r="IMY6" s="61"/>
      <c r="IMZ6" s="61"/>
      <c r="INA6" s="61"/>
      <c r="INB6" s="61"/>
      <c r="INC6" s="61"/>
      <c r="IND6" s="61"/>
      <c r="INE6" s="61"/>
      <c r="INF6" s="61"/>
      <c r="ING6" s="61"/>
      <c r="INH6" s="61"/>
      <c r="INI6" s="61"/>
      <c r="INJ6" s="61"/>
      <c r="INK6" s="61"/>
      <c r="INL6" s="61"/>
      <c r="INM6" s="61"/>
      <c r="INN6" s="61"/>
      <c r="INO6" s="61"/>
      <c r="INP6" s="61"/>
      <c r="INQ6" s="61"/>
      <c r="INR6" s="61"/>
      <c r="INS6" s="61"/>
      <c r="INT6" s="61"/>
      <c r="INU6" s="61"/>
      <c r="INV6" s="61"/>
      <c r="INW6" s="61"/>
      <c r="INX6" s="61"/>
      <c r="INY6" s="61"/>
      <c r="INZ6" s="61"/>
      <c r="IOA6" s="61"/>
      <c r="IOB6" s="61"/>
      <c r="IOC6" s="61"/>
      <c r="IOD6" s="61"/>
      <c r="IOE6" s="61"/>
      <c r="IOF6" s="61"/>
      <c r="IOG6" s="61"/>
      <c r="IOH6" s="61"/>
      <c r="IOI6" s="61"/>
      <c r="IOJ6" s="61"/>
      <c r="IOK6" s="61"/>
      <c r="IOL6" s="61"/>
      <c r="IOM6" s="61"/>
      <c r="ION6" s="61"/>
      <c r="IOO6" s="61"/>
      <c r="IOP6" s="61"/>
      <c r="IOQ6" s="61"/>
      <c r="IOR6" s="61"/>
      <c r="IOS6" s="61"/>
      <c r="IOT6" s="61"/>
      <c r="IOU6" s="61"/>
      <c r="IOV6" s="61"/>
      <c r="IOW6" s="61"/>
      <c r="IOX6" s="61"/>
      <c r="IOY6" s="61"/>
      <c r="IOZ6" s="61"/>
      <c r="IPA6" s="61"/>
      <c r="IPB6" s="61"/>
      <c r="IPC6" s="61"/>
      <c r="IPD6" s="61"/>
      <c r="IPE6" s="61"/>
      <c r="IPF6" s="61"/>
      <c r="IPG6" s="61"/>
      <c r="IPH6" s="61"/>
      <c r="IPI6" s="61"/>
      <c r="IPJ6" s="61"/>
      <c r="IPK6" s="61"/>
      <c r="IPL6" s="61"/>
      <c r="IPM6" s="61"/>
      <c r="IPN6" s="61"/>
      <c r="IPO6" s="61"/>
      <c r="IPP6" s="61"/>
      <c r="IPQ6" s="61"/>
      <c r="IPR6" s="61"/>
      <c r="IPS6" s="61"/>
      <c r="IPT6" s="61"/>
      <c r="IPU6" s="61"/>
      <c r="IPV6" s="61"/>
      <c r="IPW6" s="61"/>
      <c r="IPX6" s="61"/>
      <c r="IPY6" s="61"/>
      <c r="IPZ6" s="61"/>
      <c r="IQA6" s="61"/>
      <c r="IQB6" s="61"/>
      <c r="IQC6" s="61"/>
      <c r="IQD6" s="61"/>
      <c r="IQE6" s="61"/>
      <c r="IQF6" s="61"/>
      <c r="IQG6" s="61"/>
      <c r="IQH6" s="61"/>
      <c r="IQI6" s="61"/>
      <c r="IQJ6" s="61"/>
      <c r="IQK6" s="61"/>
      <c r="IQL6" s="61"/>
      <c r="IQM6" s="61"/>
      <c r="IQN6" s="61"/>
      <c r="IQO6" s="61"/>
      <c r="IQP6" s="61"/>
      <c r="IQQ6" s="61"/>
      <c r="IQR6" s="61"/>
      <c r="IQS6" s="61"/>
      <c r="IQT6" s="61"/>
      <c r="IQU6" s="61"/>
      <c r="IQV6" s="61"/>
      <c r="IQW6" s="61"/>
      <c r="IQX6" s="61"/>
      <c r="IQY6" s="61"/>
      <c r="IQZ6" s="61"/>
      <c r="IRA6" s="61"/>
      <c r="IRB6" s="61"/>
      <c r="IRC6" s="61"/>
      <c r="IRD6" s="61"/>
      <c r="IRE6" s="61"/>
      <c r="IRF6" s="61"/>
      <c r="IRG6" s="61"/>
      <c r="IRH6" s="61"/>
      <c r="IRI6" s="61"/>
      <c r="IRJ6" s="61"/>
      <c r="IRK6" s="61"/>
      <c r="IRL6" s="61"/>
      <c r="IRM6" s="61"/>
      <c r="IRN6" s="61"/>
      <c r="IRO6" s="61"/>
      <c r="IRP6" s="61"/>
      <c r="IRQ6" s="61"/>
      <c r="IRR6" s="61"/>
      <c r="IRS6" s="61"/>
      <c r="IRT6" s="61"/>
      <c r="IRU6" s="61"/>
      <c r="IRV6" s="61"/>
      <c r="IRW6" s="61"/>
      <c r="IRX6" s="61"/>
      <c r="IRY6" s="61"/>
      <c r="IRZ6" s="61"/>
      <c r="ISA6" s="61"/>
      <c r="ISB6" s="61"/>
      <c r="ISC6" s="61"/>
      <c r="ISD6" s="61"/>
      <c r="ISE6" s="61"/>
      <c r="ISF6" s="61"/>
      <c r="ISG6" s="61"/>
      <c r="ISH6" s="61"/>
      <c r="ISI6" s="61"/>
      <c r="ISJ6" s="61"/>
      <c r="ISK6" s="61"/>
      <c r="ISL6" s="61"/>
      <c r="ISM6" s="61"/>
      <c r="ISN6" s="61"/>
      <c r="ISO6" s="61"/>
      <c r="ISP6" s="61"/>
      <c r="ISQ6" s="61"/>
      <c r="ISR6" s="61"/>
      <c r="ISS6" s="61"/>
      <c r="IST6" s="61"/>
      <c r="ISU6" s="61"/>
      <c r="ISV6" s="61"/>
      <c r="ISW6" s="61"/>
      <c r="ISX6" s="61"/>
      <c r="ISY6" s="61"/>
      <c r="ISZ6" s="61"/>
      <c r="ITA6" s="61"/>
      <c r="ITB6" s="61"/>
      <c r="ITC6" s="61"/>
      <c r="ITD6" s="61"/>
      <c r="ITE6" s="61"/>
      <c r="ITF6" s="61"/>
      <c r="ITG6" s="61"/>
      <c r="ITH6" s="61"/>
      <c r="ITI6" s="61"/>
      <c r="ITJ6" s="61"/>
      <c r="ITK6" s="61"/>
      <c r="ITL6" s="61"/>
      <c r="ITM6" s="61"/>
      <c r="ITN6" s="61"/>
      <c r="ITO6" s="61"/>
      <c r="ITP6" s="61"/>
      <c r="ITQ6" s="61"/>
      <c r="ITR6" s="61"/>
      <c r="ITS6" s="61"/>
      <c r="ITT6" s="61"/>
      <c r="ITU6" s="61"/>
      <c r="ITV6" s="61"/>
      <c r="ITW6" s="61"/>
      <c r="ITX6" s="61"/>
      <c r="ITY6" s="61"/>
      <c r="ITZ6" s="61"/>
      <c r="IUA6" s="61"/>
      <c r="IUB6" s="61"/>
      <c r="IUC6" s="61"/>
      <c r="IUD6" s="61"/>
      <c r="IUE6" s="61"/>
      <c r="IUF6" s="61"/>
      <c r="IUG6" s="61"/>
      <c r="IUH6" s="61"/>
      <c r="IUI6" s="61"/>
      <c r="IUJ6" s="61"/>
      <c r="IUK6" s="61"/>
      <c r="IUL6" s="61"/>
      <c r="IUM6" s="61"/>
      <c r="IUN6" s="61"/>
      <c r="IUO6" s="61"/>
      <c r="IUP6" s="61"/>
      <c r="IUQ6" s="61"/>
      <c r="IUR6" s="61"/>
      <c r="IUS6" s="61"/>
      <c r="IUT6" s="61"/>
      <c r="IUU6" s="61"/>
      <c r="IUV6" s="61"/>
      <c r="IUW6" s="61"/>
      <c r="IUX6" s="61"/>
      <c r="IUY6" s="61"/>
      <c r="IUZ6" s="61"/>
      <c r="IVA6" s="61"/>
      <c r="IVB6" s="61"/>
      <c r="IVC6" s="61"/>
      <c r="IVD6" s="61"/>
      <c r="IVE6" s="61"/>
      <c r="IVF6" s="61"/>
      <c r="IVG6" s="61"/>
      <c r="IVH6" s="61"/>
      <c r="IVI6" s="61"/>
      <c r="IVJ6" s="61"/>
      <c r="IVK6" s="61"/>
      <c r="IVL6" s="61"/>
      <c r="IVM6" s="61"/>
      <c r="IVN6" s="61"/>
      <c r="IVO6" s="61"/>
      <c r="IVP6" s="61"/>
      <c r="IVQ6" s="61"/>
      <c r="IVR6" s="61"/>
      <c r="IVS6" s="61"/>
      <c r="IVT6" s="61"/>
      <c r="IVU6" s="61"/>
      <c r="IVV6" s="61"/>
      <c r="IVW6" s="61"/>
      <c r="IVX6" s="61"/>
      <c r="IVY6" s="61"/>
      <c r="IVZ6" s="61"/>
      <c r="IWA6" s="61"/>
      <c r="IWB6" s="61"/>
      <c r="IWC6" s="61"/>
      <c r="IWD6" s="61"/>
      <c r="IWE6" s="61"/>
      <c r="IWF6" s="61"/>
      <c r="IWG6" s="61"/>
      <c r="IWH6" s="61"/>
      <c r="IWI6" s="61"/>
      <c r="IWJ6" s="61"/>
      <c r="IWK6" s="61"/>
      <c r="IWL6" s="61"/>
      <c r="IWM6" s="61"/>
      <c r="IWN6" s="61"/>
      <c r="IWO6" s="61"/>
      <c r="IWP6" s="61"/>
      <c r="IWQ6" s="61"/>
      <c r="IWR6" s="61"/>
      <c r="IWS6" s="61"/>
      <c r="IWT6" s="61"/>
      <c r="IWU6" s="61"/>
      <c r="IWV6" s="61"/>
      <c r="IWW6" s="61"/>
      <c r="IWX6" s="61"/>
      <c r="IWY6" s="61"/>
      <c r="IWZ6" s="61"/>
      <c r="IXA6" s="61"/>
      <c r="IXB6" s="61"/>
      <c r="IXC6" s="61"/>
      <c r="IXD6" s="61"/>
      <c r="IXE6" s="61"/>
      <c r="IXF6" s="61"/>
      <c r="IXG6" s="61"/>
      <c r="IXH6" s="61"/>
      <c r="IXI6" s="61"/>
      <c r="IXJ6" s="61"/>
      <c r="IXK6" s="61"/>
      <c r="IXL6" s="61"/>
      <c r="IXM6" s="61"/>
      <c r="IXN6" s="61"/>
      <c r="IXO6" s="61"/>
      <c r="IXP6" s="61"/>
      <c r="IXQ6" s="61"/>
      <c r="IXR6" s="61"/>
      <c r="IXS6" s="61"/>
      <c r="IXT6" s="61"/>
      <c r="IXU6" s="61"/>
      <c r="IXV6" s="61"/>
      <c r="IXW6" s="61"/>
      <c r="IXX6" s="61"/>
      <c r="IXY6" s="61"/>
      <c r="IXZ6" s="61"/>
      <c r="IYA6" s="61"/>
      <c r="IYB6" s="61"/>
      <c r="IYC6" s="61"/>
      <c r="IYD6" s="61"/>
      <c r="IYE6" s="61"/>
      <c r="IYF6" s="61"/>
      <c r="IYG6" s="61"/>
      <c r="IYH6" s="61"/>
      <c r="IYI6" s="61"/>
      <c r="IYJ6" s="61"/>
      <c r="IYK6" s="61"/>
      <c r="IYL6" s="61"/>
      <c r="IYM6" s="61"/>
      <c r="IYN6" s="61"/>
      <c r="IYO6" s="61"/>
      <c r="IYP6" s="61"/>
      <c r="IYQ6" s="61"/>
      <c r="IYR6" s="61"/>
      <c r="IYS6" s="61"/>
      <c r="IYT6" s="61"/>
      <c r="IYU6" s="61"/>
      <c r="IYV6" s="61"/>
      <c r="IYW6" s="61"/>
      <c r="IYX6" s="61"/>
      <c r="IYY6" s="61"/>
      <c r="IYZ6" s="61"/>
      <c r="IZA6" s="61"/>
      <c r="IZB6" s="61"/>
      <c r="IZC6" s="61"/>
      <c r="IZD6" s="61"/>
      <c r="IZE6" s="61"/>
      <c r="IZF6" s="61"/>
      <c r="IZG6" s="61"/>
      <c r="IZH6" s="61"/>
      <c r="IZI6" s="61"/>
      <c r="IZJ6" s="61"/>
      <c r="IZK6" s="61"/>
      <c r="IZL6" s="61"/>
      <c r="IZM6" s="61"/>
      <c r="IZN6" s="61"/>
      <c r="IZO6" s="61"/>
      <c r="IZP6" s="61"/>
      <c r="IZQ6" s="61"/>
      <c r="IZR6" s="61"/>
      <c r="IZS6" s="61"/>
      <c r="IZT6" s="61"/>
      <c r="IZU6" s="61"/>
      <c r="IZV6" s="61"/>
      <c r="IZW6" s="61"/>
      <c r="IZX6" s="61"/>
      <c r="IZY6" s="61"/>
      <c r="IZZ6" s="61"/>
      <c r="JAA6" s="61"/>
      <c r="JAB6" s="61"/>
      <c r="JAC6" s="61"/>
      <c r="JAD6" s="61"/>
      <c r="JAE6" s="61"/>
      <c r="JAF6" s="61"/>
      <c r="JAG6" s="61"/>
      <c r="JAH6" s="61"/>
      <c r="JAI6" s="61"/>
      <c r="JAJ6" s="61"/>
      <c r="JAK6" s="61"/>
      <c r="JAL6" s="61"/>
      <c r="JAM6" s="61"/>
      <c r="JAN6" s="61"/>
      <c r="JAO6" s="61"/>
      <c r="JAP6" s="61"/>
      <c r="JAQ6" s="61"/>
      <c r="JAR6" s="61"/>
      <c r="JAS6" s="61"/>
      <c r="JAT6" s="61"/>
      <c r="JAU6" s="61"/>
      <c r="JAV6" s="61"/>
      <c r="JAW6" s="61"/>
      <c r="JAX6" s="61"/>
      <c r="JAY6" s="61"/>
      <c r="JAZ6" s="61"/>
      <c r="JBA6" s="61"/>
      <c r="JBB6" s="61"/>
      <c r="JBC6" s="61"/>
      <c r="JBD6" s="61"/>
      <c r="JBE6" s="61"/>
      <c r="JBF6" s="61"/>
      <c r="JBG6" s="61"/>
      <c r="JBH6" s="61"/>
      <c r="JBI6" s="61"/>
      <c r="JBJ6" s="61"/>
      <c r="JBK6" s="61"/>
      <c r="JBL6" s="61"/>
      <c r="JBM6" s="61"/>
      <c r="JBN6" s="61"/>
      <c r="JBO6" s="61"/>
      <c r="JBP6" s="61"/>
      <c r="JBQ6" s="61"/>
      <c r="JBR6" s="61"/>
      <c r="JBS6" s="61"/>
      <c r="JBT6" s="61"/>
      <c r="JBU6" s="61"/>
      <c r="JBV6" s="61"/>
      <c r="JBW6" s="61"/>
      <c r="JBX6" s="61"/>
      <c r="JBY6" s="61"/>
      <c r="JBZ6" s="61"/>
      <c r="JCA6" s="61"/>
      <c r="JCB6" s="61"/>
      <c r="JCC6" s="61"/>
      <c r="JCD6" s="61"/>
      <c r="JCE6" s="61"/>
      <c r="JCF6" s="61"/>
      <c r="JCG6" s="61"/>
      <c r="JCH6" s="61"/>
      <c r="JCI6" s="61"/>
      <c r="JCJ6" s="61"/>
      <c r="JCK6" s="61"/>
      <c r="JCL6" s="61"/>
      <c r="JCM6" s="61"/>
      <c r="JCN6" s="61"/>
      <c r="JCO6" s="61"/>
      <c r="JCP6" s="61"/>
      <c r="JCQ6" s="61"/>
      <c r="JCR6" s="61"/>
      <c r="JCS6" s="61"/>
      <c r="JCT6" s="61"/>
      <c r="JCU6" s="61"/>
      <c r="JCV6" s="61"/>
      <c r="JCW6" s="61"/>
      <c r="JCX6" s="61"/>
      <c r="JCY6" s="61"/>
      <c r="JCZ6" s="61"/>
      <c r="JDA6" s="61"/>
      <c r="JDB6" s="61"/>
      <c r="JDC6" s="61"/>
      <c r="JDD6" s="61"/>
      <c r="JDE6" s="61"/>
      <c r="JDF6" s="61"/>
      <c r="JDG6" s="61"/>
      <c r="JDH6" s="61"/>
      <c r="JDI6" s="61"/>
      <c r="JDJ6" s="61"/>
      <c r="JDK6" s="61"/>
      <c r="JDL6" s="61"/>
      <c r="JDM6" s="61"/>
      <c r="JDN6" s="61"/>
      <c r="JDO6" s="61"/>
      <c r="JDP6" s="61"/>
      <c r="JDQ6" s="61"/>
      <c r="JDR6" s="61"/>
      <c r="JDS6" s="61"/>
      <c r="JDT6" s="61"/>
      <c r="JDU6" s="61"/>
      <c r="JDV6" s="61"/>
      <c r="JDW6" s="61"/>
      <c r="JDX6" s="61"/>
      <c r="JDY6" s="61"/>
      <c r="JDZ6" s="61"/>
      <c r="JEA6" s="61"/>
      <c r="JEB6" s="61"/>
      <c r="JEC6" s="61"/>
      <c r="JED6" s="61"/>
      <c r="JEE6" s="61"/>
      <c r="JEF6" s="61"/>
      <c r="JEG6" s="61"/>
      <c r="JEH6" s="61"/>
      <c r="JEI6" s="61"/>
      <c r="JEJ6" s="61"/>
      <c r="JEK6" s="61"/>
      <c r="JEL6" s="61"/>
      <c r="JEM6" s="61"/>
      <c r="JEN6" s="61"/>
      <c r="JEO6" s="61"/>
      <c r="JEP6" s="61"/>
      <c r="JEQ6" s="61"/>
      <c r="JER6" s="61"/>
      <c r="JES6" s="61"/>
      <c r="JET6" s="61"/>
      <c r="JEU6" s="61"/>
      <c r="JEV6" s="61"/>
      <c r="JEW6" s="61"/>
      <c r="JEX6" s="61"/>
      <c r="JEY6" s="61"/>
      <c r="JEZ6" s="61"/>
      <c r="JFA6" s="61"/>
      <c r="JFB6" s="61"/>
      <c r="JFC6" s="61"/>
      <c r="JFD6" s="61"/>
      <c r="JFE6" s="61"/>
      <c r="JFF6" s="61"/>
      <c r="JFG6" s="61"/>
      <c r="JFH6" s="61"/>
      <c r="JFI6" s="61"/>
      <c r="JFJ6" s="61"/>
      <c r="JFK6" s="61"/>
      <c r="JFL6" s="61"/>
      <c r="JFM6" s="61"/>
      <c r="JFN6" s="61"/>
      <c r="JFO6" s="61"/>
      <c r="JFP6" s="61"/>
      <c r="JFQ6" s="61"/>
      <c r="JFR6" s="61"/>
      <c r="JFS6" s="61"/>
      <c r="JFT6" s="61"/>
      <c r="JFU6" s="61"/>
      <c r="JFV6" s="61"/>
      <c r="JFW6" s="61"/>
      <c r="JFX6" s="61"/>
      <c r="JFY6" s="61"/>
      <c r="JFZ6" s="61"/>
      <c r="JGA6" s="61"/>
      <c r="JGB6" s="61"/>
      <c r="JGC6" s="61"/>
      <c r="JGD6" s="61"/>
      <c r="JGE6" s="61"/>
      <c r="JGF6" s="61"/>
      <c r="JGG6" s="61"/>
      <c r="JGH6" s="61"/>
      <c r="JGI6" s="61"/>
      <c r="JGJ6" s="61"/>
      <c r="JGK6" s="61"/>
      <c r="JGL6" s="61"/>
      <c r="JGM6" s="61"/>
      <c r="JGN6" s="61"/>
      <c r="JGO6" s="61"/>
      <c r="JGP6" s="61"/>
      <c r="JGQ6" s="61"/>
      <c r="JGR6" s="61"/>
      <c r="JGS6" s="61"/>
      <c r="JGT6" s="61"/>
      <c r="JGU6" s="61"/>
      <c r="JGV6" s="61"/>
      <c r="JGW6" s="61"/>
      <c r="JGX6" s="61"/>
      <c r="JGY6" s="61"/>
      <c r="JGZ6" s="61"/>
      <c r="JHA6" s="61"/>
      <c r="JHB6" s="61"/>
      <c r="JHC6" s="61"/>
      <c r="JHD6" s="61"/>
      <c r="JHE6" s="61"/>
      <c r="JHF6" s="61"/>
      <c r="JHG6" s="61"/>
      <c r="JHH6" s="61"/>
      <c r="JHI6" s="61"/>
      <c r="JHJ6" s="61"/>
      <c r="JHK6" s="61"/>
      <c r="JHL6" s="61"/>
      <c r="JHM6" s="61"/>
      <c r="JHN6" s="61"/>
      <c r="JHO6" s="61"/>
      <c r="JHP6" s="61"/>
      <c r="JHQ6" s="61"/>
      <c r="JHR6" s="61"/>
      <c r="JHS6" s="61"/>
      <c r="JHT6" s="61"/>
      <c r="JHU6" s="61"/>
      <c r="JHV6" s="61"/>
      <c r="JHW6" s="61"/>
      <c r="JHX6" s="61"/>
      <c r="JHY6" s="61"/>
      <c r="JHZ6" s="61"/>
      <c r="JIA6" s="61"/>
      <c r="JIB6" s="61"/>
      <c r="JIC6" s="61"/>
      <c r="JID6" s="61"/>
      <c r="JIE6" s="61"/>
      <c r="JIF6" s="61"/>
      <c r="JIG6" s="61"/>
      <c r="JIH6" s="61"/>
      <c r="JII6" s="61"/>
      <c r="JIJ6" s="61"/>
      <c r="JIK6" s="61"/>
      <c r="JIL6" s="61"/>
      <c r="JIM6" s="61"/>
      <c r="JIN6" s="61"/>
      <c r="JIO6" s="61"/>
      <c r="JIP6" s="61"/>
      <c r="JIQ6" s="61"/>
      <c r="JIR6" s="61"/>
      <c r="JIS6" s="61"/>
      <c r="JIT6" s="61"/>
      <c r="JIU6" s="61"/>
      <c r="JIV6" s="61"/>
      <c r="JIW6" s="61"/>
      <c r="JIX6" s="61"/>
      <c r="JIY6" s="61"/>
      <c r="JIZ6" s="61"/>
      <c r="JJA6" s="61"/>
      <c r="JJB6" s="61"/>
      <c r="JJC6" s="61"/>
      <c r="JJD6" s="61"/>
      <c r="JJE6" s="61"/>
      <c r="JJF6" s="61"/>
      <c r="JJG6" s="61"/>
      <c r="JJH6" s="61"/>
      <c r="JJI6" s="61"/>
      <c r="JJJ6" s="61"/>
      <c r="JJK6" s="61"/>
      <c r="JJL6" s="61"/>
      <c r="JJM6" s="61"/>
      <c r="JJN6" s="61"/>
      <c r="JJO6" s="61"/>
      <c r="JJP6" s="61"/>
      <c r="JJQ6" s="61"/>
      <c r="JJR6" s="61"/>
      <c r="JJS6" s="61"/>
      <c r="JJT6" s="61"/>
      <c r="JJU6" s="61"/>
      <c r="JJV6" s="61"/>
      <c r="JJW6" s="61"/>
      <c r="JJX6" s="61"/>
      <c r="JJY6" s="61"/>
      <c r="JJZ6" s="61"/>
      <c r="JKA6" s="61"/>
      <c r="JKB6" s="61"/>
      <c r="JKC6" s="61"/>
      <c r="JKD6" s="61"/>
      <c r="JKE6" s="61"/>
      <c r="JKF6" s="61"/>
      <c r="JKG6" s="61"/>
      <c r="JKH6" s="61"/>
      <c r="JKI6" s="61"/>
      <c r="JKJ6" s="61"/>
      <c r="JKK6" s="61"/>
      <c r="JKL6" s="61"/>
      <c r="JKM6" s="61"/>
      <c r="JKN6" s="61"/>
      <c r="JKO6" s="61"/>
      <c r="JKP6" s="61"/>
      <c r="JKQ6" s="61"/>
      <c r="JKR6" s="61"/>
      <c r="JKS6" s="61"/>
      <c r="JKT6" s="61"/>
      <c r="JKU6" s="61"/>
      <c r="JKV6" s="61"/>
      <c r="JKW6" s="61"/>
      <c r="JKX6" s="61"/>
      <c r="JKY6" s="61"/>
      <c r="JKZ6" s="61"/>
      <c r="JLA6" s="61"/>
      <c r="JLB6" s="61"/>
      <c r="JLC6" s="61"/>
      <c r="JLD6" s="61"/>
      <c r="JLE6" s="61"/>
      <c r="JLF6" s="61"/>
      <c r="JLG6" s="61"/>
      <c r="JLH6" s="61"/>
      <c r="JLI6" s="61"/>
      <c r="JLJ6" s="61"/>
      <c r="JLK6" s="61"/>
      <c r="JLL6" s="61"/>
      <c r="JLM6" s="61"/>
      <c r="JLN6" s="61"/>
      <c r="JLO6" s="61"/>
      <c r="JLP6" s="61"/>
      <c r="JLQ6" s="61"/>
      <c r="JLR6" s="61"/>
      <c r="JLS6" s="61"/>
      <c r="JLT6" s="61"/>
      <c r="JLU6" s="61"/>
      <c r="JLV6" s="61"/>
      <c r="JLW6" s="61"/>
      <c r="JLX6" s="61"/>
      <c r="JLY6" s="61"/>
      <c r="JLZ6" s="61"/>
      <c r="JMA6" s="61"/>
      <c r="JMB6" s="61"/>
      <c r="JMC6" s="61"/>
      <c r="JMD6" s="61"/>
      <c r="JME6" s="61"/>
      <c r="JMF6" s="61"/>
      <c r="JMG6" s="61"/>
      <c r="JMH6" s="61"/>
      <c r="JMI6" s="61"/>
      <c r="JMJ6" s="61"/>
      <c r="JMK6" s="61"/>
      <c r="JML6" s="61"/>
      <c r="JMM6" s="61"/>
      <c r="JMN6" s="61"/>
      <c r="JMO6" s="61"/>
      <c r="JMP6" s="61"/>
      <c r="JMQ6" s="61"/>
      <c r="JMR6" s="61"/>
      <c r="JMS6" s="61"/>
      <c r="JMT6" s="61"/>
      <c r="JMU6" s="61"/>
      <c r="JMV6" s="61"/>
      <c r="JMW6" s="61"/>
      <c r="JMX6" s="61"/>
      <c r="JMY6" s="61"/>
      <c r="JMZ6" s="61"/>
      <c r="JNA6" s="61"/>
      <c r="JNB6" s="61"/>
      <c r="JNC6" s="61"/>
      <c r="JND6" s="61"/>
      <c r="JNE6" s="61"/>
      <c r="JNF6" s="61"/>
      <c r="JNG6" s="61"/>
      <c r="JNH6" s="61"/>
      <c r="JNI6" s="61"/>
      <c r="JNJ6" s="61"/>
      <c r="JNK6" s="61"/>
      <c r="JNL6" s="61"/>
      <c r="JNM6" s="61"/>
      <c r="JNN6" s="61"/>
      <c r="JNO6" s="61"/>
      <c r="JNP6" s="61"/>
      <c r="JNQ6" s="61"/>
      <c r="JNR6" s="61"/>
      <c r="JNS6" s="61"/>
      <c r="JNT6" s="61"/>
      <c r="JNU6" s="61"/>
      <c r="JNV6" s="61"/>
      <c r="JNW6" s="61"/>
      <c r="JNX6" s="61"/>
      <c r="JNY6" s="61"/>
      <c r="JNZ6" s="61"/>
      <c r="JOA6" s="61"/>
      <c r="JOB6" s="61"/>
      <c r="JOC6" s="61"/>
      <c r="JOD6" s="61"/>
      <c r="JOE6" s="61"/>
      <c r="JOF6" s="61"/>
      <c r="JOG6" s="61"/>
      <c r="JOH6" s="61"/>
      <c r="JOI6" s="61"/>
      <c r="JOJ6" s="61"/>
      <c r="JOK6" s="61"/>
      <c r="JOL6" s="61"/>
      <c r="JOM6" s="61"/>
      <c r="JON6" s="61"/>
      <c r="JOO6" s="61"/>
      <c r="JOP6" s="61"/>
      <c r="JOQ6" s="61"/>
      <c r="JOR6" s="61"/>
      <c r="JOS6" s="61"/>
      <c r="JOT6" s="61"/>
      <c r="JOU6" s="61"/>
      <c r="JOV6" s="61"/>
      <c r="JOW6" s="61"/>
      <c r="JOX6" s="61"/>
      <c r="JOY6" s="61"/>
      <c r="JOZ6" s="61"/>
      <c r="JPA6" s="61"/>
      <c r="JPB6" s="61"/>
      <c r="JPC6" s="61"/>
      <c r="JPD6" s="61"/>
      <c r="JPE6" s="61"/>
      <c r="JPF6" s="61"/>
      <c r="JPG6" s="61"/>
      <c r="JPH6" s="61"/>
      <c r="JPI6" s="61"/>
      <c r="JPJ6" s="61"/>
      <c r="JPK6" s="61"/>
      <c r="JPL6" s="61"/>
      <c r="JPM6" s="61"/>
      <c r="JPN6" s="61"/>
      <c r="JPO6" s="61"/>
      <c r="JPP6" s="61"/>
      <c r="JPQ6" s="61"/>
      <c r="JPR6" s="61"/>
      <c r="JPS6" s="61"/>
      <c r="JPT6" s="61"/>
      <c r="JPU6" s="61"/>
      <c r="JPV6" s="61"/>
      <c r="JPW6" s="61"/>
      <c r="JPX6" s="61"/>
      <c r="JPY6" s="61"/>
      <c r="JPZ6" s="61"/>
      <c r="JQA6" s="61"/>
      <c r="JQB6" s="61"/>
      <c r="JQC6" s="61"/>
      <c r="JQD6" s="61"/>
      <c r="JQE6" s="61"/>
      <c r="JQF6" s="61"/>
      <c r="JQG6" s="61"/>
      <c r="JQH6" s="61"/>
      <c r="JQI6" s="61"/>
      <c r="JQJ6" s="61"/>
      <c r="JQK6" s="61"/>
      <c r="JQL6" s="61"/>
      <c r="JQM6" s="61"/>
      <c r="JQN6" s="61"/>
      <c r="JQO6" s="61"/>
      <c r="JQP6" s="61"/>
      <c r="JQQ6" s="61"/>
      <c r="JQR6" s="61"/>
      <c r="JQS6" s="61"/>
      <c r="JQT6" s="61"/>
      <c r="JQU6" s="61"/>
      <c r="JQV6" s="61"/>
      <c r="JQW6" s="61"/>
      <c r="JQX6" s="61"/>
      <c r="JQY6" s="61"/>
      <c r="JQZ6" s="61"/>
      <c r="JRA6" s="61"/>
      <c r="JRB6" s="61"/>
      <c r="JRC6" s="61"/>
      <c r="JRD6" s="61"/>
      <c r="JRE6" s="61"/>
      <c r="JRF6" s="61"/>
      <c r="JRG6" s="61"/>
      <c r="JRH6" s="61"/>
      <c r="JRI6" s="61"/>
      <c r="JRJ6" s="61"/>
      <c r="JRK6" s="61"/>
      <c r="JRL6" s="61"/>
      <c r="JRM6" s="61"/>
      <c r="JRN6" s="61"/>
      <c r="JRO6" s="61"/>
      <c r="JRP6" s="61"/>
      <c r="JRQ6" s="61"/>
      <c r="JRR6" s="61"/>
      <c r="JRS6" s="61"/>
      <c r="JRT6" s="61"/>
      <c r="JRU6" s="61"/>
      <c r="JRV6" s="61"/>
      <c r="JRW6" s="61"/>
      <c r="JRX6" s="61"/>
      <c r="JRY6" s="61"/>
      <c r="JRZ6" s="61"/>
      <c r="JSA6" s="61"/>
      <c r="JSB6" s="61"/>
      <c r="JSC6" s="61"/>
      <c r="JSD6" s="61"/>
      <c r="JSE6" s="61"/>
      <c r="JSF6" s="61"/>
      <c r="JSG6" s="61"/>
      <c r="JSH6" s="61"/>
      <c r="JSI6" s="61"/>
      <c r="JSJ6" s="61"/>
      <c r="JSK6" s="61"/>
      <c r="JSL6" s="61"/>
      <c r="JSM6" s="61"/>
      <c r="JSN6" s="61"/>
      <c r="JSO6" s="61"/>
      <c r="JSP6" s="61"/>
      <c r="JSQ6" s="61"/>
      <c r="JSR6" s="61"/>
      <c r="JSS6" s="61"/>
      <c r="JST6" s="61"/>
      <c r="JSU6" s="61"/>
      <c r="JSV6" s="61"/>
      <c r="JSW6" s="61"/>
      <c r="JSX6" s="61"/>
      <c r="JSY6" s="61"/>
      <c r="JSZ6" s="61"/>
      <c r="JTA6" s="61"/>
      <c r="JTB6" s="61"/>
      <c r="JTC6" s="61"/>
      <c r="JTD6" s="61"/>
      <c r="JTE6" s="61"/>
      <c r="JTF6" s="61"/>
      <c r="JTG6" s="61"/>
      <c r="JTH6" s="61"/>
      <c r="JTI6" s="61"/>
      <c r="JTJ6" s="61"/>
      <c r="JTK6" s="61"/>
      <c r="JTL6" s="61"/>
      <c r="JTM6" s="61"/>
      <c r="JTN6" s="61"/>
      <c r="JTO6" s="61"/>
      <c r="JTP6" s="61"/>
      <c r="JTQ6" s="61"/>
      <c r="JTR6" s="61"/>
      <c r="JTS6" s="61"/>
      <c r="JTT6" s="61"/>
      <c r="JTU6" s="61"/>
      <c r="JTV6" s="61"/>
      <c r="JTW6" s="61"/>
      <c r="JTX6" s="61"/>
      <c r="JTY6" s="61"/>
      <c r="JTZ6" s="61"/>
      <c r="JUA6" s="61"/>
      <c r="JUB6" s="61"/>
      <c r="JUC6" s="61"/>
      <c r="JUD6" s="61"/>
      <c r="JUE6" s="61"/>
      <c r="JUF6" s="61"/>
      <c r="JUG6" s="61"/>
      <c r="JUH6" s="61"/>
      <c r="JUI6" s="61"/>
      <c r="JUJ6" s="61"/>
      <c r="JUK6" s="61"/>
      <c r="JUL6" s="61"/>
      <c r="JUM6" s="61"/>
      <c r="JUN6" s="61"/>
      <c r="JUO6" s="61"/>
      <c r="JUP6" s="61"/>
      <c r="JUQ6" s="61"/>
      <c r="JUR6" s="61"/>
      <c r="JUS6" s="61"/>
      <c r="JUT6" s="61"/>
      <c r="JUU6" s="61"/>
      <c r="JUV6" s="61"/>
      <c r="JUW6" s="61"/>
      <c r="JUX6" s="61"/>
      <c r="JUY6" s="61"/>
      <c r="JUZ6" s="61"/>
      <c r="JVA6" s="61"/>
      <c r="JVB6" s="61"/>
      <c r="JVC6" s="61"/>
      <c r="JVD6" s="61"/>
      <c r="JVE6" s="61"/>
      <c r="JVF6" s="61"/>
      <c r="JVG6" s="61"/>
      <c r="JVH6" s="61"/>
      <c r="JVI6" s="61"/>
      <c r="JVJ6" s="61"/>
      <c r="JVK6" s="61"/>
      <c r="JVL6" s="61"/>
      <c r="JVM6" s="61"/>
      <c r="JVN6" s="61"/>
      <c r="JVO6" s="61"/>
      <c r="JVP6" s="61"/>
      <c r="JVQ6" s="61"/>
      <c r="JVR6" s="61"/>
      <c r="JVS6" s="61"/>
      <c r="JVT6" s="61"/>
      <c r="JVU6" s="61"/>
      <c r="JVV6" s="61"/>
      <c r="JVW6" s="61"/>
      <c r="JVX6" s="61"/>
      <c r="JVY6" s="61"/>
      <c r="JVZ6" s="61"/>
      <c r="JWA6" s="61"/>
      <c r="JWB6" s="61"/>
      <c r="JWC6" s="61"/>
      <c r="JWD6" s="61"/>
      <c r="JWE6" s="61"/>
      <c r="JWF6" s="61"/>
      <c r="JWG6" s="61"/>
      <c r="JWH6" s="61"/>
      <c r="JWI6" s="61"/>
      <c r="JWJ6" s="61"/>
      <c r="JWK6" s="61"/>
      <c r="JWL6" s="61"/>
      <c r="JWM6" s="61"/>
      <c r="JWN6" s="61"/>
      <c r="JWO6" s="61"/>
      <c r="JWP6" s="61"/>
      <c r="JWQ6" s="61"/>
      <c r="JWR6" s="61"/>
      <c r="JWS6" s="61"/>
      <c r="JWT6" s="61"/>
      <c r="JWU6" s="61"/>
      <c r="JWV6" s="61"/>
      <c r="JWW6" s="61"/>
      <c r="JWX6" s="61"/>
      <c r="JWY6" s="61"/>
      <c r="JWZ6" s="61"/>
      <c r="JXA6" s="61"/>
      <c r="JXB6" s="61"/>
      <c r="JXC6" s="61"/>
      <c r="JXD6" s="61"/>
      <c r="JXE6" s="61"/>
      <c r="JXF6" s="61"/>
      <c r="JXG6" s="61"/>
      <c r="JXH6" s="61"/>
      <c r="JXI6" s="61"/>
      <c r="JXJ6" s="61"/>
      <c r="JXK6" s="61"/>
      <c r="JXL6" s="61"/>
      <c r="JXM6" s="61"/>
      <c r="JXN6" s="61"/>
      <c r="JXO6" s="61"/>
      <c r="JXP6" s="61"/>
      <c r="JXQ6" s="61"/>
      <c r="JXR6" s="61"/>
      <c r="JXS6" s="61"/>
      <c r="JXT6" s="61"/>
      <c r="JXU6" s="61"/>
      <c r="JXV6" s="61"/>
      <c r="JXW6" s="61"/>
      <c r="JXX6" s="61"/>
      <c r="JXY6" s="61"/>
      <c r="JXZ6" s="61"/>
      <c r="JYA6" s="61"/>
      <c r="JYB6" s="61"/>
      <c r="JYC6" s="61"/>
      <c r="JYD6" s="61"/>
      <c r="JYE6" s="61"/>
      <c r="JYF6" s="61"/>
      <c r="JYG6" s="61"/>
      <c r="JYH6" s="61"/>
      <c r="JYI6" s="61"/>
      <c r="JYJ6" s="61"/>
      <c r="JYK6" s="61"/>
      <c r="JYL6" s="61"/>
      <c r="JYM6" s="61"/>
      <c r="JYN6" s="61"/>
      <c r="JYO6" s="61"/>
      <c r="JYP6" s="61"/>
      <c r="JYQ6" s="61"/>
      <c r="JYR6" s="61"/>
      <c r="JYS6" s="61"/>
      <c r="JYT6" s="61"/>
      <c r="JYU6" s="61"/>
      <c r="JYV6" s="61"/>
      <c r="JYW6" s="61"/>
      <c r="JYX6" s="61"/>
      <c r="JYY6" s="61"/>
      <c r="JYZ6" s="61"/>
      <c r="JZA6" s="61"/>
      <c r="JZB6" s="61"/>
      <c r="JZC6" s="61"/>
      <c r="JZD6" s="61"/>
      <c r="JZE6" s="61"/>
      <c r="JZF6" s="61"/>
      <c r="JZG6" s="61"/>
      <c r="JZH6" s="61"/>
      <c r="JZI6" s="61"/>
      <c r="JZJ6" s="61"/>
      <c r="JZK6" s="61"/>
      <c r="JZL6" s="61"/>
      <c r="JZM6" s="61"/>
      <c r="JZN6" s="61"/>
      <c r="JZO6" s="61"/>
      <c r="JZP6" s="61"/>
      <c r="JZQ6" s="61"/>
      <c r="JZR6" s="61"/>
      <c r="JZS6" s="61"/>
      <c r="JZT6" s="61"/>
      <c r="JZU6" s="61"/>
      <c r="JZV6" s="61"/>
      <c r="JZW6" s="61"/>
      <c r="JZX6" s="61"/>
      <c r="JZY6" s="61"/>
      <c r="JZZ6" s="61"/>
      <c r="KAA6" s="61"/>
      <c r="KAB6" s="61"/>
      <c r="KAC6" s="61"/>
      <c r="KAD6" s="61"/>
      <c r="KAE6" s="61"/>
      <c r="KAF6" s="61"/>
      <c r="KAG6" s="61"/>
      <c r="KAH6" s="61"/>
      <c r="KAI6" s="61"/>
      <c r="KAJ6" s="61"/>
      <c r="KAK6" s="61"/>
      <c r="KAL6" s="61"/>
      <c r="KAM6" s="61"/>
      <c r="KAN6" s="61"/>
      <c r="KAO6" s="61"/>
      <c r="KAP6" s="61"/>
      <c r="KAQ6" s="61"/>
      <c r="KAR6" s="61"/>
      <c r="KAS6" s="61"/>
      <c r="KAT6" s="61"/>
      <c r="KAU6" s="61"/>
      <c r="KAV6" s="61"/>
      <c r="KAW6" s="61"/>
      <c r="KAX6" s="61"/>
      <c r="KAY6" s="61"/>
      <c r="KAZ6" s="61"/>
      <c r="KBA6" s="61"/>
      <c r="KBB6" s="61"/>
      <c r="KBC6" s="61"/>
      <c r="KBD6" s="61"/>
      <c r="KBE6" s="61"/>
      <c r="KBF6" s="61"/>
      <c r="KBG6" s="61"/>
      <c r="KBH6" s="61"/>
      <c r="KBI6" s="61"/>
      <c r="KBJ6" s="61"/>
      <c r="KBK6" s="61"/>
      <c r="KBL6" s="61"/>
      <c r="KBM6" s="61"/>
      <c r="KBN6" s="61"/>
      <c r="KBO6" s="61"/>
      <c r="KBP6" s="61"/>
      <c r="KBQ6" s="61"/>
      <c r="KBR6" s="61"/>
      <c r="KBS6" s="61"/>
      <c r="KBT6" s="61"/>
      <c r="KBU6" s="61"/>
      <c r="KBV6" s="61"/>
      <c r="KBW6" s="61"/>
      <c r="KBX6" s="61"/>
      <c r="KBY6" s="61"/>
      <c r="KBZ6" s="61"/>
      <c r="KCA6" s="61"/>
      <c r="KCB6" s="61"/>
      <c r="KCC6" s="61"/>
      <c r="KCD6" s="61"/>
      <c r="KCE6" s="61"/>
      <c r="KCF6" s="61"/>
      <c r="KCG6" s="61"/>
      <c r="KCH6" s="61"/>
      <c r="KCI6" s="61"/>
      <c r="KCJ6" s="61"/>
      <c r="KCK6" s="61"/>
      <c r="KCL6" s="61"/>
      <c r="KCM6" s="61"/>
      <c r="KCN6" s="61"/>
      <c r="KCO6" s="61"/>
      <c r="KCP6" s="61"/>
      <c r="KCQ6" s="61"/>
      <c r="KCR6" s="61"/>
      <c r="KCS6" s="61"/>
      <c r="KCT6" s="61"/>
      <c r="KCU6" s="61"/>
      <c r="KCV6" s="61"/>
      <c r="KCW6" s="61"/>
      <c r="KCX6" s="61"/>
      <c r="KCY6" s="61"/>
      <c r="KCZ6" s="61"/>
      <c r="KDA6" s="61"/>
      <c r="KDB6" s="61"/>
      <c r="KDC6" s="61"/>
      <c r="KDD6" s="61"/>
      <c r="KDE6" s="61"/>
      <c r="KDF6" s="61"/>
      <c r="KDG6" s="61"/>
      <c r="KDH6" s="61"/>
      <c r="KDI6" s="61"/>
      <c r="KDJ6" s="61"/>
      <c r="KDK6" s="61"/>
      <c r="KDL6" s="61"/>
      <c r="KDM6" s="61"/>
      <c r="KDN6" s="61"/>
      <c r="KDO6" s="61"/>
      <c r="KDP6" s="61"/>
      <c r="KDQ6" s="61"/>
      <c r="KDR6" s="61"/>
      <c r="KDS6" s="61"/>
      <c r="KDT6" s="61"/>
      <c r="KDU6" s="61"/>
      <c r="KDV6" s="61"/>
      <c r="KDW6" s="61"/>
      <c r="KDX6" s="61"/>
      <c r="KDY6" s="61"/>
      <c r="KDZ6" s="61"/>
      <c r="KEA6" s="61"/>
      <c r="KEB6" s="61"/>
      <c r="KEC6" s="61"/>
      <c r="KED6" s="61"/>
      <c r="KEE6" s="61"/>
      <c r="KEF6" s="61"/>
      <c r="KEG6" s="61"/>
      <c r="KEH6" s="61"/>
      <c r="KEI6" s="61"/>
      <c r="KEJ6" s="61"/>
      <c r="KEK6" s="61"/>
      <c r="KEL6" s="61"/>
      <c r="KEM6" s="61"/>
      <c r="KEN6" s="61"/>
      <c r="KEO6" s="61"/>
      <c r="KEP6" s="61"/>
      <c r="KEQ6" s="61"/>
      <c r="KER6" s="61"/>
      <c r="KES6" s="61"/>
      <c r="KET6" s="61"/>
      <c r="KEU6" s="61"/>
      <c r="KEV6" s="61"/>
      <c r="KEW6" s="61"/>
      <c r="KEX6" s="61"/>
      <c r="KEY6" s="61"/>
      <c r="KEZ6" s="61"/>
      <c r="KFA6" s="61"/>
      <c r="KFB6" s="61"/>
      <c r="KFC6" s="61"/>
      <c r="KFD6" s="61"/>
      <c r="KFE6" s="61"/>
      <c r="KFF6" s="61"/>
      <c r="KFG6" s="61"/>
      <c r="KFH6" s="61"/>
      <c r="KFI6" s="61"/>
      <c r="KFJ6" s="61"/>
      <c r="KFK6" s="61"/>
      <c r="KFL6" s="61"/>
      <c r="KFM6" s="61"/>
      <c r="KFN6" s="61"/>
      <c r="KFO6" s="61"/>
      <c r="KFP6" s="61"/>
      <c r="KFQ6" s="61"/>
      <c r="KFR6" s="61"/>
      <c r="KFS6" s="61"/>
      <c r="KFT6" s="61"/>
      <c r="KFU6" s="61"/>
      <c r="KFV6" s="61"/>
      <c r="KFW6" s="61"/>
      <c r="KFX6" s="61"/>
      <c r="KFY6" s="61"/>
      <c r="KFZ6" s="61"/>
      <c r="KGA6" s="61"/>
      <c r="KGB6" s="61"/>
      <c r="KGC6" s="61"/>
      <c r="KGD6" s="61"/>
      <c r="KGE6" s="61"/>
      <c r="KGF6" s="61"/>
      <c r="KGG6" s="61"/>
      <c r="KGH6" s="61"/>
      <c r="KGI6" s="61"/>
      <c r="KGJ6" s="61"/>
      <c r="KGK6" s="61"/>
      <c r="KGL6" s="61"/>
      <c r="KGM6" s="61"/>
      <c r="KGN6" s="61"/>
      <c r="KGO6" s="61"/>
      <c r="KGP6" s="61"/>
      <c r="KGQ6" s="61"/>
      <c r="KGR6" s="61"/>
      <c r="KGS6" s="61"/>
      <c r="KGT6" s="61"/>
      <c r="KGU6" s="61"/>
      <c r="KGV6" s="61"/>
      <c r="KGW6" s="61"/>
      <c r="KGX6" s="61"/>
      <c r="KGY6" s="61"/>
      <c r="KGZ6" s="61"/>
      <c r="KHA6" s="61"/>
      <c r="KHB6" s="61"/>
      <c r="KHC6" s="61"/>
      <c r="KHD6" s="61"/>
      <c r="KHE6" s="61"/>
      <c r="KHF6" s="61"/>
      <c r="KHG6" s="61"/>
      <c r="KHH6" s="61"/>
      <c r="KHI6" s="61"/>
      <c r="KHJ6" s="61"/>
      <c r="KHK6" s="61"/>
      <c r="KHL6" s="61"/>
      <c r="KHM6" s="61"/>
      <c r="KHN6" s="61"/>
      <c r="KHO6" s="61"/>
      <c r="KHP6" s="61"/>
      <c r="KHQ6" s="61"/>
      <c r="KHR6" s="61"/>
      <c r="KHS6" s="61"/>
      <c r="KHT6" s="61"/>
      <c r="KHU6" s="61"/>
      <c r="KHV6" s="61"/>
      <c r="KHW6" s="61"/>
      <c r="KHX6" s="61"/>
      <c r="KHY6" s="61"/>
      <c r="KHZ6" s="61"/>
      <c r="KIA6" s="61"/>
      <c r="KIB6" s="61"/>
      <c r="KIC6" s="61"/>
      <c r="KID6" s="61"/>
      <c r="KIE6" s="61"/>
      <c r="KIF6" s="61"/>
      <c r="KIG6" s="61"/>
      <c r="KIH6" s="61"/>
      <c r="KII6" s="61"/>
      <c r="KIJ6" s="61"/>
      <c r="KIK6" s="61"/>
      <c r="KIL6" s="61"/>
      <c r="KIM6" s="61"/>
      <c r="KIN6" s="61"/>
      <c r="KIO6" s="61"/>
      <c r="KIP6" s="61"/>
      <c r="KIQ6" s="61"/>
      <c r="KIR6" s="61"/>
      <c r="KIS6" s="61"/>
      <c r="KIT6" s="61"/>
      <c r="KIU6" s="61"/>
      <c r="KIV6" s="61"/>
      <c r="KIW6" s="61"/>
      <c r="KIX6" s="61"/>
      <c r="KIY6" s="61"/>
      <c r="KIZ6" s="61"/>
      <c r="KJA6" s="61"/>
      <c r="KJB6" s="61"/>
      <c r="KJC6" s="61"/>
      <c r="KJD6" s="61"/>
      <c r="KJE6" s="61"/>
      <c r="KJF6" s="61"/>
      <c r="KJG6" s="61"/>
      <c r="KJH6" s="61"/>
      <c r="KJI6" s="61"/>
      <c r="KJJ6" s="61"/>
      <c r="KJK6" s="61"/>
      <c r="KJL6" s="61"/>
      <c r="KJM6" s="61"/>
      <c r="KJN6" s="61"/>
      <c r="KJO6" s="61"/>
      <c r="KJP6" s="61"/>
      <c r="KJQ6" s="61"/>
      <c r="KJR6" s="61"/>
      <c r="KJS6" s="61"/>
      <c r="KJT6" s="61"/>
      <c r="KJU6" s="61"/>
      <c r="KJV6" s="61"/>
      <c r="KJW6" s="61"/>
      <c r="KJX6" s="61"/>
      <c r="KJY6" s="61"/>
      <c r="KJZ6" s="61"/>
      <c r="KKA6" s="61"/>
      <c r="KKB6" s="61"/>
      <c r="KKC6" s="61"/>
      <c r="KKD6" s="61"/>
      <c r="KKE6" s="61"/>
      <c r="KKF6" s="61"/>
      <c r="KKG6" s="61"/>
      <c r="KKH6" s="61"/>
      <c r="KKI6" s="61"/>
      <c r="KKJ6" s="61"/>
      <c r="KKK6" s="61"/>
      <c r="KKL6" s="61"/>
      <c r="KKM6" s="61"/>
      <c r="KKN6" s="61"/>
      <c r="KKO6" s="61"/>
      <c r="KKP6" s="61"/>
      <c r="KKQ6" s="61"/>
      <c r="KKR6" s="61"/>
      <c r="KKS6" s="61"/>
      <c r="KKT6" s="61"/>
      <c r="KKU6" s="61"/>
      <c r="KKV6" s="61"/>
      <c r="KKW6" s="61"/>
      <c r="KKX6" s="61"/>
      <c r="KKY6" s="61"/>
      <c r="KKZ6" s="61"/>
      <c r="KLA6" s="61"/>
      <c r="KLB6" s="61"/>
      <c r="KLC6" s="61"/>
      <c r="KLD6" s="61"/>
      <c r="KLE6" s="61"/>
      <c r="KLF6" s="61"/>
      <c r="KLG6" s="61"/>
      <c r="KLH6" s="61"/>
      <c r="KLI6" s="61"/>
      <c r="KLJ6" s="61"/>
      <c r="KLK6" s="61"/>
      <c r="KLL6" s="61"/>
      <c r="KLM6" s="61"/>
      <c r="KLN6" s="61"/>
      <c r="KLO6" s="61"/>
      <c r="KLP6" s="61"/>
      <c r="KLQ6" s="61"/>
      <c r="KLR6" s="61"/>
      <c r="KLS6" s="61"/>
      <c r="KLT6" s="61"/>
      <c r="KLU6" s="61"/>
      <c r="KLV6" s="61"/>
      <c r="KLW6" s="61"/>
      <c r="KLX6" s="61"/>
      <c r="KLY6" s="61"/>
      <c r="KLZ6" s="61"/>
      <c r="KMA6" s="61"/>
      <c r="KMB6" s="61"/>
      <c r="KMC6" s="61"/>
      <c r="KMD6" s="61"/>
      <c r="KME6" s="61"/>
      <c r="KMF6" s="61"/>
      <c r="KMG6" s="61"/>
      <c r="KMH6" s="61"/>
      <c r="KMI6" s="61"/>
      <c r="KMJ6" s="61"/>
      <c r="KMK6" s="61"/>
      <c r="KML6" s="61"/>
      <c r="KMM6" s="61"/>
      <c r="KMN6" s="61"/>
      <c r="KMO6" s="61"/>
      <c r="KMP6" s="61"/>
      <c r="KMQ6" s="61"/>
      <c r="KMR6" s="61"/>
      <c r="KMS6" s="61"/>
      <c r="KMT6" s="61"/>
      <c r="KMU6" s="61"/>
      <c r="KMV6" s="61"/>
      <c r="KMW6" s="61"/>
      <c r="KMX6" s="61"/>
      <c r="KMY6" s="61"/>
      <c r="KMZ6" s="61"/>
      <c r="KNA6" s="61"/>
      <c r="KNB6" s="61"/>
      <c r="KNC6" s="61"/>
      <c r="KND6" s="61"/>
      <c r="KNE6" s="61"/>
      <c r="KNF6" s="61"/>
      <c r="KNG6" s="61"/>
      <c r="KNH6" s="61"/>
      <c r="KNI6" s="61"/>
      <c r="KNJ6" s="61"/>
      <c r="KNK6" s="61"/>
      <c r="KNL6" s="61"/>
      <c r="KNM6" s="61"/>
      <c r="KNN6" s="61"/>
      <c r="KNO6" s="61"/>
      <c r="KNP6" s="61"/>
      <c r="KNQ6" s="61"/>
      <c r="KNR6" s="61"/>
      <c r="KNS6" s="61"/>
      <c r="KNT6" s="61"/>
      <c r="KNU6" s="61"/>
      <c r="KNV6" s="61"/>
      <c r="KNW6" s="61"/>
      <c r="KNX6" s="61"/>
      <c r="KNY6" s="61"/>
      <c r="KNZ6" s="61"/>
      <c r="KOA6" s="61"/>
      <c r="KOB6" s="61"/>
      <c r="KOC6" s="61"/>
      <c r="KOD6" s="61"/>
      <c r="KOE6" s="61"/>
      <c r="KOF6" s="61"/>
      <c r="KOG6" s="61"/>
      <c r="KOH6" s="61"/>
      <c r="KOI6" s="61"/>
      <c r="KOJ6" s="61"/>
      <c r="KOK6" s="61"/>
      <c r="KOL6" s="61"/>
      <c r="KOM6" s="61"/>
      <c r="KON6" s="61"/>
      <c r="KOO6" s="61"/>
      <c r="KOP6" s="61"/>
      <c r="KOQ6" s="61"/>
      <c r="KOR6" s="61"/>
      <c r="KOS6" s="61"/>
      <c r="KOT6" s="61"/>
      <c r="KOU6" s="61"/>
      <c r="KOV6" s="61"/>
      <c r="KOW6" s="61"/>
      <c r="KOX6" s="61"/>
      <c r="KOY6" s="61"/>
      <c r="KOZ6" s="61"/>
      <c r="KPA6" s="61"/>
      <c r="KPB6" s="61"/>
      <c r="KPC6" s="61"/>
      <c r="KPD6" s="61"/>
      <c r="KPE6" s="61"/>
      <c r="KPF6" s="61"/>
      <c r="KPG6" s="61"/>
      <c r="KPH6" s="61"/>
      <c r="KPI6" s="61"/>
      <c r="KPJ6" s="61"/>
      <c r="KPK6" s="61"/>
      <c r="KPL6" s="61"/>
      <c r="KPM6" s="61"/>
      <c r="KPN6" s="61"/>
      <c r="KPO6" s="61"/>
      <c r="KPP6" s="61"/>
      <c r="KPQ6" s="61"/>
      <c r="KPR6" s="61"/>
      <c r="KPS6" s="61"/>
      <c r="KPT6" s="61"/>
      <c r="KPU6" s="61"/>
      <c r="KPV6" s="61"/>
      <c r="KPW6" s="61"/>
      <c r="KPX6" s="61"/>
      <c r="KPY6" s="61"/>
      <c r="KPZ6" s="61"/>
      <c r="KQA6" s="61"/>
      <c r="KQB6" s="61"/>
      <c r="KQC6" s="61"/>
      <c r="KQD6" s="61"/>
      <c r="KQE6" s="61"/>
      <c r="KQF6" s="61"/>
      <c r="KQG6" s="61"/>
      <c r="KQH6" s="61"/>
      <c r="KQI6" s="61"/>
      <c r="KQJ6" s="61"/>
      <c r="KQK6" s="61"/>
      <c r="KQL6" s="61"/>
      <c r="KQM6" s="61"/>
      <c r="KQN6" s="61"/>
      <c r="KQO6" s="61"/>
      <c r="KQP6" s="61"/>
      <c r="KQQ6" s="61"/>
      <c r="KQR6" s="61"/>
      <c r="KQS6" s="61"/>
      <c r="KQT6" s="61"/>
      <c r="KQU6" s="61"/>
      <c r="KQV6" s="61"/>
      <c r="KQW6" s="61"/>
      <c r="KQX6" s="61"/>
      <c r="KQY6" s="61"/>
      <c r="KQZ6" s="61"/>
      <c r="KRA6" s="61"/>
      <c r="KRB6" s="61"/>
      <c r="KRC6" s="61"/>
      <c r="KRD6" s="61"/>
      <c r="KRE6" s="61"/>
      <c r="KRF6" s="61"/>
      <c r="KRG6" s="61"/>
      <c r="KRH6" s="61"/>
      <c r="KRI6" s="61"/>
      <c r="KRJ6" s="61"/>
      <c r="KRK6" s="61"/>
      <c r="KRL6" s="61"/>
      <c r="KRM6" s="61"/>
      <c r="KRN6" s="61"/>
      <c r="KRO6" s="61"/>
      <c r="KRP6" s="61"/>
      <c r="KRQ6" s="61"/>
      <c r="KRR6" s="61"/>
      <c r="KRS6" s="61"/>
      <c r="KRT6" s="61"/>
      <c r="KRU6" s="61"/>
      <c r="KRV6" s="61"/>
      <c r="KRW6" s="61"/>
      <c r="KRX6" s="61"/>
      <c r="KRY6" s="61"/>
      <c r="KRZ6" s="61"/>
      <c r="KSA6" s="61"/>
      <c r="KSB6" s="61"/>
      <c r="KSC6" s="61"/>
      <c r="KSD6" s="61"/>
      <c r="KSE6" s="61"/>
      <c r="KSF6" s="61"/>
      <c r="KSG6" s="61"/>
      <c r="KSH6" s="61"/>
      <c r="KSI6" s="61"/>
      <c r="KSJ6" s="61"/>
      <c r="KSK6" s="61"/>
      <c r="KSL6" s="61"/>
      <c r="KSM6" s="61"/>
      <c r="KSN6" s="61"/>
      <c r="KSO6" s="61"/>
      <c r="KSP6" s="61"/>
      <c r="KSQ6" s="61"/>
      <c r="KSR6" s="61"/>
      <c r="KSS6" s="61"/>
      <c r="KST6" s="61"/>
      <c r="KSU6" s="61"/>
      <c r="KSV6" s="61"/>
      <c r="KSW6" s="61"/>
      <c r="KSX6" s="61"/>
      <c r="KSY6" s="61"/>
      <c r="KSZ6" s="61"/>
      <c r="KTA6" s="61"/>
      <c r="KTB6" s="61"/>
      <c r="KTC6" s="61"/>
      <c r="KTD6" s="61"/>
      <c r="KTE6" s="61"/>
      <c r="KTF6" s="61"/>
      <c r="KTG6" s="61"/>
      <c r="KTH6" s="61"/>
      <c r="KTI6" s="61"/>
      <c r="KTJ6" s="61"/>
      <c r="KTK6" s="61"/>
      <c r="KTL6" s="61"/>
      <c r="KTM6" s="61"/>
      <c r="KTN6" s="61"/>
      <c r="KTO6" s="61"/>
      <c r="KTP6" s="61"/>
      <c r="KTQ6" s="61"/>
      <c r="KTR6" s="61"/>
      <c r="KTS6" s="61"/>
      <c r="KTT6" s="61"/>
      <c r="KTU6" s="61"/>
      <c r="KTV6" s="61"/>
      <c r="KTW6" s="61"/>
      <c r="KTX6" s="61"/>
      <c r="KTY6" s="61"/>
      <c r="KTZ6" s="61"/>
      <c r="KUA6" s="61"/>
      <c r="KUB6" s="61"/>
      <c r="KUC6" s="61"/>
      <c r="KUD6" s="61"/>
      <c r="KUE6" s="61"/>
      <c r="KUF6" s="61"/>
      <c r="KUG6" s="61"/>
      <c r="KUH6" s="61"/>
      <c r="KUI6" s="61"/>
      <c r="KUJ6" s="61"/>
      <c r="KUK6" s="61"/>
      <c r="KUL6" s="61"/>
      <c r="KUM6" s="61"/>
      <c r="KUN6" s="61"/>
      <c r="KUO6" s="61"/>
      <c r="KUP6" s="61"/>
      <c r="KUQ6" s="61"/>
      <c r="KUR6" s="61"/>
      <c r="KUS6" s="61"/>
      <c r="KUT6" s="61"/>
      <c r="KUU6" s="61"/>
      <c r="KUV6" s="61"/>
      <c r="KUW6" s="61"/>
      <c r="KUX6" s="61"/>
      <c r="KUY6" s="61"/>
      <c r="KUZ6" s="61"/>
      <c r="KVA6" s="61"/>
      <c r="KVB6" s="61"/>
      <c r="KVC6" s="61"/>
      <c r="KVD6" s="61"/>
      <c r="KVE6" s="61"/>
      <c r="KVF6" s="61"/>
      <c r="KVG6" s="61"/>
      <c r="KVH6" s="61"/>
      <c r="KVI6" s="61"/>
      <c r="KVJ6" s="61"/>
      <c r="KVK6" s="61"/>
      <c r="KVL6" s="61"/>
      <c r="KVM6" s="61"/>
      <c r="KVN6" s="61"/>
      <c r="KVO6" s="61"/>
      <c r="KVP6" s="61"/>
      <c r="KVQ6" s="61"/>
      <c r="KVR6" s="61"/>
      <c r="KVS6" s="61"/>
      <c r="KVT6" s="61"/>
      <c r="KVU6" s="61"/>
      <c r="KVV6" s="61"/>
      <c r="KVW6" s="61"/>
      <c r="KVX6" s="61"/>
      <c r="KVY6" s="61"/>
      <c r="KVZ6" s="61"/>
      <c r="KWA6" s="61"/>
      <c r="KWB6" s="61"/>
      <c r="KWC6" s="61"/>
      <c r="KWD6" s="61"/>
      <c r="KWE6" s="61"/>
      <c r="KWF6" s="61"/>
      <c r="KWG6" s="61"/>
      <c r="KWH6" s="61"/>
      <c r="KWI6" s="61"/>
      <c r="KWJ6" s="61"/>
      <c r="KWK6" s="61"/>
      <c r="KWL6" s="61"/>
      <c r="KWM6" s="61"/>
      <c r="KWN6" s="61"/>
      <c r="KWO6" s="61"/>
      <c r="KWP6" s="61"/>
      <c r="KWQ6" s="61"/>
      <c r="KWR6" s="61"/>
      <c r="KWS6" s="61"/>
      <c r="KWT6" s="61"/>
      <c r="KWU6" s="61"/>
      <c r="KWV6" s="61"/>
      <c r="KWW6" s="61"/>
      <c r="KWX6" s="61"/>
      <c r="KWY6" s="61"/>
      <c r="KWZ6" s="61"/>
      <c r="KXA6" s="61"/>
      <c r="KXB6" s="61"/>
      <c r="KXC6" s="61"/>
      <c r="KXD6" s="61"/>
      <c r="KXE6" s="61"/>
      <c r="KXF6" s="61"/>
      <c r="KXG6" s="61"/>
      <c r="KXH6" s="61"/>
      <c r="KXI6" s="61"/>
      <c r="KXJ6" s="61"/>
      <c r="KXK6" s="61"/>
      <c r="KXL6" s="61"/>
      <c r="KXM6" s="61"/>
      <c r="KXN6" s="61"/>
      <c r="KXO6" s="61"/>
      <c r="KXP6" s="61"/>
      <c r="KXQ6" s="61"/>
      <c r="KXR6" s="61"/>
      <c r="KXS6" s="61"/>
      <c r="KXT6" s="61"/>
      <c r="KXU6" s="61"/>
      <c r="KXV6" s="61"/>
      <c r="KXW6" s="61"/>
      <c r="KXX6" s="61"/>
      <c r="KXY6" s="61"/>
      <c r="KXZ6" s="61"/>
      <c r="KYA6" s="61"/>
      <c r="KYB6" s="61"/>
      <c r="KYC6" s="61"/>
      <c r="KYD6" s="61"/>
      <c r="KYE6" s="61"/>
      <c r="KYF6" s="61"/>
      <c r="KYG6" s="61"/>
      <c r="KYH6" s="61"/>
      <c r="KYI6" s="61"/>
      <c r="KYJ6" s="61"/>
      <c r="KYK6" s="61"/>
      <c r="KYL6" s="61"/>
      <c r="KYM6" s="61"/>
      <c r="KYN6" s="61"/>
      <c r="KYO6" s="61"/>
      <c r="KYP6" s="61"/>
      <c r="KYQ6" s="61"/>
      <c r="KYR6" s="61"/>
      <c r="KYS6" s="61"/>
      <c r="KYT6" s="61"/>
      <c r="KYU6" s="61"/>
      <c r="KYV6" s="61"/>
      <c r="KYW6" s="61"/>
      <c r="KYX6" s="61"/>
      <c r="KYY6" s="61"/>
      <c r="KYZ6" s="61"/>
      <c r="KZA6" s="61"/>
      <c r="KZB6" s="61"/>
      <c r="KZC6" s="61"/>
      <c r="KZD6" s="61"/>
      <c r="KZE6" s="61"/>
      <c r="KZF6" s="61"/>
      <c r="KZG6" s="61"/>
      <c r="KZH6" s="61"/>
      <c r="KZI6" s="61"/>
      <c r="KZJ6" s="61"/>
      <c r="KZK6" s="61"/>
      <c r="KZL6" s="61"/>
      <c r="KZM6" s="61"/>
      <c r="KZN6" s="61"/>
      <c r="KZO6" s="61"/>
      <c r="KZP6" s="61"/>
      <c r="KZQ6" s="61"/>
      <c r="KZR6" s="61"/>
      <c r="KZS6" s="61"/>
      <c r="KZT6" s="61"/>
      <c r="KZU6" s="61"/>
      <c r="KZV6" s="61"/>
      <c r="KZW6" s="61"/>
      <c r="KZX6" s="61"/>
      <c r="KZY6" s="61"/>
      <c r="KZZ6" s="61"/>
      <c r="LAA6" s="61"/>
      <c r="LAB6" s="61"/>
      <c r="LAC6" s="61"/>
      <c r="LAD6" s="61"/>
      <c r="LAE6" s="61"/>
      <c r="LAF6" s="61"/>
      <c r="LAG6" s="61"/>
      <c r="LAH6" s="61"/>
      <c r="LAI6" s="61"/>
      <c r="LAJ6" s="61"/>
      <c r="LAK6" s="61"/>
      <c r="LAL6" s="61"/>
      <c r="LAM6" s="61"/>
      <c r="LAN6" s="61"/>
      <c r="LAO6" s="61"/>
      <c r="LAP6" s="61"/>
      <c r="LAQ6" s="61"/>
      <c r="LAR6" s="61"/>
      <c r="LAS6" s="61"/>
      <c r="LAT6" s="61"/>
      <c r="LAU6" s="61"/>
      <c r="LAV6" s="61"/>
      <c r="LAW6" s="61"/>
      <c r="LAX6" s="61"/>
      <c r="LAY6" s="61"/>
      <c r="LAZ6" s="61"/>
      <c r="LBA6" s="61"/>
      <c r="LBB6" s="61"/>
      <c r="LBC6" s="61"/>
      <c r="LBD6" s="61"/>
      <c r="LBE6" s="61"/>
      <c r="LBF6" s="61"/>
      <c r="LBG6" s="61"/>
      <c r="LBH6" s="61"/>
      <c r="LBI6" s="61"/>
      <c r="LBJ6" s="61"/>
      <c r="LBK6" s="61"/>
      <c r="LBL6" s="61"/>
      <c r="LBM6" s="61"/>
      <c r="LBN6" s="61"/>
      <c r="LBO6" s="61"/>
      <c r="LBP6" s="61"/>
      <c r="LBQ6" s="61"/>
      <c r="LBR6" s="61"/>
      <c r="LBS6" s="61"/>
      <c r="LBT6" s="61"/>
      <c r="LBU6" s="61"/>
      <c r="LBV6" s="61"/>
      <c r="LBW6" s="61"/>
      <c r="LBX6" s="61"/>
      <c r="LBY6" s="61"/>
      <c r="LBZ6" s="61"/>
      <c r="LCA6" s="61"/>
      <c r="LCB6" s="61"/>
      <c r="LCC6" s="61"/>
      <c r="LCD6" s="61"/>
      <c r="LCE6" s="61"/>
      <c r="LCF6" s="61"/>
      <c r="LCG6" s="61"/>
      <c r="LCH6" s="61"/>
      <c r="LCI6" s="61"/>
      <c r="LCJ6" s="61"/>
      <c r="LCK6" s="61"/>
      <c r="LCL6" s="61"/>
      <c r="LCM6" s="61"/>
      <c r="LCN6" s="61"/>
      <c r="LCO6" s="61"/>
      <c r="LCP6" s="61"/>
      <c r="LCQ6" s="61"/>
      <c r="LCR6" s="61"/>
      <c r="LCS6" s="61"/>
      <c r="LCT6" s="61"/>
      <c r="LCU6" s="61"/>
      <c r="LCV6" s="61"/>
      <c r="LCW6" s="61"/>
      <c r="LCX6" s="61"/>
      <c r="LCY6" s="61"/>
      <c r="LCZ6" s="61"/>
      <c r="LDA6" s="61"/>
      <c r="LDB6" s="61"/>
      <c r="LDC6" s="61"/>
      <c r="LDD6" s="61"/>
      <c r="LDE6" s="61"/>
      <c r="LDF6" s="61"/>
      <c r="LDG6" s="61"/>
      <c r="LDH6" s="61"/>
      <c r="LDI6" s="61"/>
      <c r="LDJ6" s="61"/>
      <c r="LDK6" s="61"/>
      <c r="LDL6" s="61"/>
      <c r="LDM6" s="61"/>
      <c r="LDN6" s="61"/>
      <c r="LDO6" s="61"/>
      <c r="LDP6" s="61"/>
      <c r="LDQ6" s="61"/>
      <c r="LDR6" s="61"/>
      <c r="LDS6" s="61"/>
      <c r="LDT6" s="61"/>
      <c r="LDU6" s="61"/>
      <c r="LDV6" s="61"/>
      <c r="LDW6" s="61"/>
      <c r="LDX6" s="61"/>
      <c r="LDY6" s="61"/>
      <c r="LDZ6" s="61"/>
      <c r="LEA6" s="61"/>
      <c r="LEB6" s="61"/>
      <c r="LEC6" s="61"/>
      <c r="LED6" s="61"/>
      <c r="LEE6" s="61"/>
      <c r="LEF6" s="61"/>
      <c r="LEG6" s="61"/>
      <c r="LEH6" s="61"/>
      <c r="LEI6" s="61"/>
      <c r="LEJ6" s="61"/>
      <c r="LEK6" s="61"/>
      <c r="LEL6" s="61"/>
      <c r="LEM6" s="61"/>
      <c r="LEN6" s="61"/>
      <c r="LEO6" s="61"/>
      <c r="LEP6" s="61"/>
      <c r="LEQ6" s="61"/>
      <c r="LER6" s="61"/>
      <c r="LES6" s="61"/>
      <c r="LET6" s="61"/>
      <c r="LEU6" s="61"/>
      <c r="LEV6" s="61"/>
      <c r="LEW6" s="61"/>
      <c r="LEX6" s="61"/>
      <c r="LEY6" s="61"/>
      <c r="LEZ6" s="61"/>
      <c r="LFA6" s="61"/>
      <c r="LFB6" s="61"/>
      <c r="LFC6" s="61"/>
      <c r="LFD6" s="61"/>
      <c r="LFE6" s="61"/>
      <c r="LFF6" s="61"/>
      <c r="LFG6" s="61"/>
      <c r="LFH6" s="61"/>
      <c r="LFI6" s="61"/>
      <c r="LFJ6" s="61"/>
      <c r="LFK6" s="61"/>
      <c r="LFL6" s="61"/>
      <c r="LFM6" s="61"/>
      <c r="LFN6" s="61"/>
      <c r="LFO6" s="61"/>
      <c r="LFP6" s="61"/>
      <c r="LFQ6" s="61"/>
      <c r="LFR6" s="61"/>
      <c r="LFS6" s="61"/>
      <c r="LFT6" s="61"/>
      <c r="LFU6" s="61"/>
      <c r="LFV6" s="61"/>
      <c r="LFW6" s="61"/>
      <c r="LFX6" s="61"/>
      <c r="LFY6" s="61"/>
      <c r="LFZ6" s="61"/>
      <c r="LGA6" s="61"/>
      <c r="LGB6" s="61"/>
      <c r="LGC6" s="61"/>
      <c r="LGD6" s="61"/>
      <c r="LGE6" s="61"/>
      <c r="LGF6" s="61"/>
      <c r="LGG6" s="61"/>
      <c r="LGH6" s="61"/>
      <c r="LGI6" s="61"/>
      <c r="LGJ6" s="61"/>
      <c r="LGK6" s="61"/>
      <c r="LGL6" s="61"/>
      <c r="LGM6" s="61"/>
      <c r="LGN6" s="61"/>
      <c r="LGO6" s="61"/>
      <c r="LGP6" s="61"/>
      <c r="LGQ6" s="61"/>
      <c r="LGR6" s="61"/>
      <c r="LGS6" s="61"/>
      <c r="LGT6" s="61"/>
      <c r="LGU6" s="61"/>
      <c r="LGV6" s="61"/>
      <c r="LGW6" s="61"/>
      <c r="LGX6" s="61"/>
      <c r="LGY6" s="61"/>
      <c r="LGZ6" s="61"/>
      <c r="LHA6" s="61"/>
      <c r="LHB6" s="61"/>
      <c r="LHC6" s="61"/>
      <c r="LHD6" s="61"/>
      <c r="LHE6" s="61"/>
      <c r="LHF6" s="61"/>
      <c r="LHG6" s="61"/>
      <c r="LHH6" s="61"/>
      <c r="LHI6" s="61"/>
      <c r="LHJ6" s="61"/>
      <c r="LHK6" s="61"/>
      <c r="LHL6" s="61"/>
      <c r="LHM6" s="61"/>
      <c r="LHN6" s="61"/>
      <c r="LHO6" s="61"/>
      <c r="LHP6" s="61"/>
      <c r="LHQ6" s="61"/>
      <c r="LHR6" s="61"/>
      <c r="LHS6" s="61"/>
      <c r="LHT6" s="61"/>
      <c r="LHU6" s="61"/>
      <c r="LHV6" s="61"/>
      <c r="LHW6" s="61"/>
      <c r="LHX6" s="61"/>
      <c r="LHY6" s="61"/>
      <c r="LHZ6" s="61"/>
      <c r="LIA6" s="61"/>
      <c r="LIB6" s="61"/>
      <c r="LIC6" s="61"/>
      <c r="LID6" s="61"/>
      <c r="LIE6" s="61"/>
      <c r="LIF6" s="61"/>
      <c r="LIG6" s="61"/>
      <c r="LIH6" s="61"/>
      <c r="LII6" s="61"/>
      <c r="LIJ6" s="61"/>
      <c r="LIK6" s="61"/>
      <c r="LIL6" s="61"/>
      <c r="LIM6" s="61"/>
      <c r="LIN6" s="61"/>
      <c r="LIO6" s="61"/>
      <c r="LIP6" s="61"/>
      <c r="LIQ6" s="61"/>
      <c r="LIR6" s="61"/>
      <c r="LIS6" s="61"/>
      <c r="LIT6" s="61"/>
      <c r="LIU6" s="61"/>
      <c r="LIV6" s="61"/>
      <c r="LIW6" s="61"/>
      <c r="LIX6" s="61"/>
      <c r="LIY6" s="61"/>
      <c r="LIZ6" s="61"/>
      <c r="LJA6" s="61"/>
      <c r="LJB6" s="61"/>
      <c r="LJC6" s="61"/>
      <c r="LJD6" s="61"/>
      <c r="LJE6" s="61"/>
      <c r="LJF6" s="61"/>
      <c r="LJG6" s="61"/>
      <c r="LJH6" s="61"/>
      <c r="LJI6" s="61"/>
      <c r="LJJ6" s="61"/>
      <c r="LJK6" s="61"/>
      <c r="LJL6" s="61"/>
      <c r="LJM6" s="61"/>
      <c r="LJN6" s="61"/>
      <c r="LJO6" s="61"/>
      <c r="LJP6" s="61"/>
      <c r="LJQ6" s="61"/>
      <c r="LJR6" s="61"/>
      <c r="LJS6" s="61"/>
      <c r="LJT6" s="61"/>
      <c r="LJU6" s="61"/>
      <c r="LJV6" s="61"/>
      <c r="LJW6" s="61"/>
      <c r="LJX6" s="61"/>
      <c r="LJY6" s="61"/>
      <c r="LJZ6" s="61"/>
      <c r="LKA6" s="61"/>
      <c r="LKB6" s="61"/>
      <c r="LKC6" s="61"/>
      <c r="LKD6" s="61"/>
      <c r="LKE6" s="61"/>
      <c r="LKF6" s="61"/>
      <c r="LKG6" s="61"/>
      <c r="LKH6" s="61"/>
      <c r="LKI6" s="61"/>
      <c r="LKJ6" s="61"/>
      <c r="LKK6" s="61"/>
      <c r="LKL6" s="61"/>
      <c r="LKM6" s="61"/>
      <c r="LKN6" s="61"/>
      <c r="LKO6" s="61"/>
      <c r="LKP6" s="61"/>
      <c r="LKQ6" s="61"/>
      <c r="LKR6" s="61"/>
      <c r="LKS6" s="61"/>
      <c r="LKT6" s="61"/>
      <c r="LKU6" s="61"/>
      <c r="LKV6" s="61"/>
      <c r="LKW6" s="61"/>
      <c r="LKX6" s="61"/>
      <c r="LKY6" s="61"/>
      <c r="LKZ6" s="61"/>
      <c r="LLA6" s="61"/>
      <c r="LLB6" s="61"/>
      <c r="LLC6" s="61"/>
      <c r="LLD6" s="61"/>
      <c r="LLE6" s="61"/>
      <c r="LLF6" s="61"/>
      <c r="LLG6" s="61"/>
      <c r="LLH6" s="61"/>
      <c r="LLI6" s="61"/>
      <c r="LLJ6" s="61"/>
      <c r="LLK6" s="61"/>
      <c r="LLL6" s="61"/>
      <c r="LLM6" s="61"/>
      <c r="LLN6" s="61"/>
      <c r="LLO6" s="61"/>
      <c r="LLP6" s="61"/>
      <c r="LLQ6" s="61"/>
      <c r="LLR6" s="61"/>
      <c r="LLS6" s="61"/>
      <c r="LLT6" s="61"/>
      <c r="LLU6" s="61"/>
      <c r="LLV6" s="61"/>
      <c r="LLW6" s="61"/>
      <c r="LLX6" s="61"/>
      <c r="LLY6" s="61"/>
      <c r="LLZ6" s="61"/>
      <c r="LMA6" s="61"/>
      <c r="LMB6" s="61"/>
      <c r="LMC6" s="61"/>
      <c r="LMD6" s="61"/>
      <c r="LME6" s="61"/>
      <c r="LMF6" s="61"/>
      <c r="LMG6" s="61"/>
      <c r="LMH6" s="61"/>
      <c r="LMI6" s="61"/>
      <c r="LMJ6" s="61"/>
      <c r="LMK6" s="61"/>
      <c r="LML6" s="61"/>
      <c r="LMM6" s="61"/>
      <c r="LMN6" s="61"/>
      <c r="LMO6" s="61"/>
      <c r="LMP6" s="61"/>
      <c r="LMQ6" s="61"/>
      <c r="LMR6" s="61"/>
      <c r="LMS6" s="61"/>
      <c r="LMT6" s="61"/>
      <c r="LMU6" s="61"/>
      <c r="LMV6" s="61"/>
      <c r="LMW6" s="61"/>
      <c r="LMX6" s="61"/>
      <c r="LMY6" s="61"/>
      <c r="LMZ6" s="61"/>
      <c r="LNA6" s="61"/>
      <c r="LNB6" s="61"/>
      <c r="LNC6" s="61"/>
      <c r="LND6" s="61"/>
      <c r="LNE6" s="61"/>
      <c r="LNF6" s="61"/>
      <c r="LNG6" s="61"/>
      <c r="LNH6" s="61"/>
      <c r="LNI6" s="61"/>
      <c r="LNJ6" s="61"/>
      <c r="LNK6" s="61"/>
      <c r="LNL6" s="61"/>
      <c r="LNM6" s="61"/>
      <c r="LNN6" s="61"/>
      <c r="LNO6" s="61"/>
      <c r="LNP6" s="61"/>
      <c r="LNQ6" s="61"/>
      <c r="LNR6" s="61"/>
      <c r="LNS6" s="61"/>
      <c r="LNT6" s="61"/>
      <c r="LNU6" s="61"/>
      <c r="LNV6" s="61"/>
      <c r="LNW6" s="61"/>
      <c r="LNX6" s="61"/>
      <c r="LNY6" s="61"/>
      <c r="LNZ6" s="61"/>
      <c r="LOA6" s="61"/>
      <c r="LOB6" s="61"/>
      <c r="LOC6" s="61"/>
      <c r="LOD6" s="61"/>
      <c r="LOE6" s="61"/>
      <c r="LOF6" s="61"/>
      <c r="LOG6" s="61"/>
      <c r="LOH6" s="61"/>
      <c r="LOI6" s="61"/>
      <c r="LOJ6" s="61"/>
      <c r="LOK6" s="61"/>
      <c r="LOL6" s="61"/>
      <c r="LOM6" s="61"/>
      <c r="LON6" s="61"/>
      <c r="LOO6" s="61"/>
      <c r="LOP6" s="61"/>
      <c r="LOQ6" s="61"/>
      <c r="LOR6" s="61"/>
      <c r="LOS6" s="61"/>
      <c r="LOT6" s="61"/>
      <c r="LOU6" s="61"/>
      <c r="LOV6" s="61"/>
      <c r="LOW6" s="61"/>
      <c r="LOX6" s="61"/>
      <c r="LOY6" s="61"/>
      <c r="LOZ6" s="61"/>
      <c r="LPA6" s="61"/>
      <c r="LPB6" s="61"/>
      <c r="LPC6" s="61"/>
      <c r="LPD6" s="61"/>
      <c r="LPE6" s="61"/>
      <c r="LPF6" s="61"/>
      <c r="LPG6" s="61"/>
      <c r="LPH6" s="61"/>
      <c r="LPI6" s="61"/>
      <c r="LPJ6" s="61"/>
      <c r="LPK6" s="61"/>
      <c r="LPL6" s="61"/>
      <c r="LPM6" s="61"/>
      <c r="LPN6" s="61"/>
      <c r="LPO6" s="61"/>
      <c r="LPP6" s="61"/>
      <c r="LPQ6" s="61"/>
      <c r="LPR6" s="61"/>
      <c r="LPS6" s="61"/>
      <c r="LPT6" s="61"/>
      <c r="LPU6" s="61"/>
      <c r="LPV6" s="61"/>
      <c r="LPW6" s="61"/>
      <c r="LPX6" s="61"/>
      <c r="LPY6" s="61"/>
      <c r="LPZ6" s="61"/>
      <c r="LQA6" s="61"/>
      <c r="LQB6" s="61"/>
      <c r="LQC6" s="61"/>
      <c r="LQD6" s="61"/>
      <c r="LQE6" s="61"/>
      <c r="LQF6" s="61"/>
      <c r="LQG6" s="61"/>
      <c r="LQH6" s="61"/>
      <c r="LQI6" s="61"/>
      <c r="LQJ6" s="61"/>
      <c r="LQK6" s="61"/>
      <c r="LQL6" s="61"/>
      <c r="LQM6" s="61"/>
      <c r="LQN6" s="61"/>
      <c r="LQO6" s="61"/>
      <c r="LQP6" s="61"/>
      <c r="LQQ6" s="61"/>
      <c r="LQR6" s="61"/>
      <c r="LQS6" s="61"/>
      <c r="LQT6" s="61"/>
      <c r="LQU6" s="61"/>
      <c r="LQV6" s="61"/>
      <c r="LQW6" s="61"/>
      <c r="LQX6" s="61"/>
      <c r="LQY6" s="61"/>
      <c r="LQZ6" s="61"/>
      <c r="LRA6" s="61"/>
      <c r="LRB6" s="61"/>
      <c r="LRC6" s="61"/>
      <c r="LRD6" s="61"/>
      <c r="LRE6" s="61"/>
      <c r="LRF6" s="61"/>
      <c r="LRG6" s="61"/>
      <c r="LRH6" s="61"/>
      <c r="LRI6" s="61"/>
      <c r="LRJ6" s="61"/>
      <c r="LRK6" s="61"/>
      <c r="LRL6" s="61"/>
      <c r="LRM6" s="61"/>
      <c r="LRN6" s="61"/>
      <c r="LRO6" s="61"/>
      <c r="LRP6" s="61"/>
      <c r="LRQ6" s="61"/>
      <c r="LRR6" s="61"/>
      <c r="LRS6" s="61"/>
      <c r="LRT6" s="61"/>
      <c r="LRU6" s="61"/>
      <c r="LRV6" s="61"/>
      <c r="LRW6" s="61"/>
      <c r="LRX6" s="61"/>
      <c r="LRY6" s="61"/>
      <c r="LRZ6" s="61"/>
      <c r="LSA6" s="61"/>
      <c r="LSB6" s="61"/>
      <c r="LSC6" s="61"/>
      <c r="LSD6" s="61"/>
      <c r="LSE6" s="61"/>
      <c r="LSF6" s="61"/>
      <c r="LSG6" s="61"/>
      <c r="LSH6" s="61"/>
      <c r="LSI6" s="61"/>
      <c r="LSJ6" s="61"/>
      <c r="LSK6" s="61"/>
      <c r="LSL6" s="61"/>
      <c r="LSM6" s="61"/>
      <c r="LSN6" s="61"/>
      <c r="LSO6" s="61"/>
      <c r="LSP6" s="61"/>
      <c r="LSQ6" s="61"/>
      <c r="LSR6" s="61"/>
      <c r="LSS6" s="61"/>
      <c r="LST6" s="61"/>
      <c r="LSU6" s="61"/>
      <c r="LSV6" s="61"/>
      <c r="LSW6" s="61"/>
      <c r="LSX6" s="61"/>
      <c r="LSY6" s="61"/>
      <c r="LSZ6" s="61"/>
      <c r="LTA6" s="61"/>
      <c r="LTB6" s="61"/>
      <c r="LTC6" s="61"/>
      <c r="LTD6" s="61"/>
      <c r="LTE6" s="61"/>
      <c r="LTF6" s="61"/>
      <c r="LTG6" s="61"/>
      <c r="LTH6" s="61"/>
      <c r="LTI6" s="61"/>
      <c r="LTJ6" s="61"/>
      <c r="LTK6" s="61"/>
      <c r="LTL6" s="61"/>
      <c r="LTM6" s="61"/>
      <c r="LTN6" s="61"/>
      <c r="LTO6" s="61"/>
      <c r="LTP6" s="61"/>
      <c r="LTQ6" s="61"/>
      <c r="LTR6" s="61"/>
      <c r="LTS6" s="61"/>
      <c r="LTT6" s="61"/>
      <c r="LTU6" s="61"/>
      <c r="LTV6" s="61"/>
      <c r="LTW6" s="61"/>
      <c r="LTX6" s="61"/>
      <c r="LTY6" s="61"/>
      <c r="LTZ6" s="61"/>
      <c r="LUA6" s="61"/>
      <c r="LUB6" s="61"/>
      <c r="LUC6" s="61"/>
      <c r="LUD6" s="61"/>
      <c r="LUE6" s="61"/>
      <c r="LUF6" s="61"/>
      <c r="LUG6" s="61"/>
      <c r="LUH6" s="61"/>
      <c r="LUI6" s="61"/>
      <c r="LUJ6" s="61"/>
      <c r="LUK6" s="61"/>
      <c r="LUL6" s="61"/>
      <c r="LUM6" s="61"/>
      <c r="LUN6" s="61"/>
      <c r="LUO6" s="61"/>
      <c r="LUP6" s="61"/>
      <c r="LUQ6" s="61"/>
      <c r="LUR6" s="61"/>
      <c r="LUS6" s="61"/>
      <c r="LUT6" s="61"/>
      <c r="LUU6" s="61"/>
      <c r="LUV6" s="61"/>
      <c r="LUW6" s="61"/>
      <c r="LUX6" s="61"/>
      <c r="LUY6" s="61"/>
      <c r="LUZ6" s="61"/>
      <c r="LVA6" s="61"/>
      <c r="LVB6" s="61"/>
      <c r="LVC6" s="61"/>
      <c r="LVD6" s="61"/>
      <c r="LVE6" s="61"/>
      <c r="LVF6" s="61"/>
      <c r="LVG6" s="61"/>
      <c r="LVH6" s="61"/>
      <c r="LVI6" s="61"/>
      <c r="LVJ6" s="61"/>
      <c r="LVK6" s="61"/>
      <c r="LVL6" s="61"/>
      <c r="LVM6" s="61"/>
      <c r="LVN6" s="61"/>
      <c r="LVO6" s="61"/>
      <c r="LVP6" s="61"/>
      <c r="LVQ6" s="61"/>
      <c r="LVR6" s="61"/>
      <c r="LVS6" s="61"/>
      <c r="LVT6" s="61"/>
      <c r="LVU6" s="61"/>
      <c r="LVV6" s="61"/>
      <c r="LVW6" s="61"/>
      <c r="LVX6" s="61"/>
      <c r="LVY6" s="61"/>
      <c r="LVZ6" s="61"/>
      <c r="LWA6" s="61"/>
      <c r="LWB6" s="61"/>
      <c r="LWC6" s="61"/>
      <c r="LWD6" s="61"/>
      <c r="LWE6" s="61"/>
      <c r="LWF6" s="61"/>
      <c r="LWG6" s="61"/>
      <c r="LWH6" s="61"/>
      <c r="LWI6" s="61"/>
      <c r="LWJ6" s="61"/>
      <c r="LWK6" s="61"/>
      <c r="LWL6" s="61"/>
      <c r="LWM6" s="61"/>
      <c r="LWN6" s="61"/>
      <c r="LWO6" s="61"/>
      <c r="LWP6" s="61"/>
      <c r="LWQ6" s="61"/>
      <c r="LWR6" s="61"/>
      <c r="LWS6" s="61"/>
      <c r="LWT6" s="61"/>
      <c r="LWU6" s="61"/>
      <c r="LWV6" s="61"/>
      <c r="LWW6" s="61"/>
      <c r="LWX6" s="61"/>
      <c r="LWY6" s="61"/>
      <c r="LWZ6" s="61"/>
      <c r="LXA6" s="61"/>
      <c r="LXB6" s="61"/>
      <c r="LXC6" s="61"/>
      <c r="LXD6" s="61"/>
      <c r="LXE6" s="61"/>
      <c r="LXF6" s="61"/>
      <c r="LXG6" s="61"/>
      <c r="LXH6" s="61"/>
      <c r="LXI6" s="61"/>
      <c r="LXJ6" s="61"/>
      <c r="LXK6" s="61"/>
      <c r="LXL6" s="61"/>
      <c r="LXM6" s="61"/>
      <c r="LXN6" s="61"/>
      <c r="LXO6" s="61"/>
      <c r="LXP6" s="61"/>
      <c r="LXQ6" s="61"/>
      <c r="LXR6" s="61"/>
      <c r="LXS6" s="61"/>
      <c r="LXT6" s="61"/>
      <c r="LXU6" s="61"/>
      <c r="LXV6" s="61"/>
      <c r="LXW6" s="61"/>
      <c r="LXX6" s="61"/>
      <c r="LXY6" s="61"/>
      <c r="LXZ6" s="61"/>
      <c r="LYA6" s="61"/>
      <c r="LYB6" s="61"/>
      <c r="LYC6" s="61"/>
      <c r="LYD6" s="61"/>
      <c r="LYE6" s="61"/>
      <c r="LYF6" s="61"/>
      <c r="LYG6" s="61"/>
      <c r="LYH6" s="61"/>
      <c r="LYI6" s="61"/>
      <c r="LYJ6" s="61"/>
      <c r="LYK6" s="61"/>
      <c r="LYL6" s="61"/>
      <c r="LYM6" s="61"/>
      <c r="LYN6" s="61"/>
      <c r="LYO6" s="61"/>
      <c r="LYP6" s="61"/>
      <c r="LYQ6" s="61"/>
      <c r="LYR6" s="61"/>
      <c r="LYS6" s="61"/>
      <c r="LYT6" s="61"/>
      <c r="LYU6" s="61"/>
      <c r="LYV6" s="61"/>
      <c r="LYW6" s="61"/>
      <c r="LYX6" s="61"/>
      <c r="LYY6" s="61"/>
      <c r="LYZ6" s="61"/>
      <c r="LZA6" s="61"/>
      <c r="LZB6" s="61"/>
      <c r="LZC6" s="61"/>
      <c r="LZD6" s="61"/>
      <c r="LZE6" s="61"/>
      <c r="LZF6" s="61"/>
      <c r="LZG6" s="61"/>
      <c r="LZH6" s="61"/>
      <c r="LZI6" s="61"/>
      <c r="LZJ6" s="61"/>
      <c r="LZK6" s="61"/>
      <c r="LZL6" s="61"/>
      <c r="LZM6" s="61"/>
      <c r="LZN6" s="61"/>
      <c r="LZO6" s="61"/>
      <c r="LZP6" s="61"/>
      <c r="LZQ6" s="61"/>
      <c r="LZR6" s="61"/>
      <c r="LZS6" s="61"/>
      <c r="LZT6" s="61"/>
      <c r="LZU6" s="61"/>
      <c r="LZV6" s="61"/>
      <c r="LZW6" s="61"/>
      <c r="LZX6" s="61"/>
      <c r="LZY6" s="61"/>
      <c r="LZZ6" s="61"/>
      <c r="MAA6" s="61"/>
      <c r="MAB6" s="61"/>
      <c r="MAC6" s="61"/>
      <c r="MAD6" s="61"/>
      <c r="MAE6" s="61"/>
      <c r="MAF6" s="61"/>
      <c r="MAG6" s="61"/>
      <c r="MAH6" s="61"/>
      <c r="MAI6" s="61"/>
      <c r="MAJ6" s="61"/>
      <c r="MAK6" s="61"/>
      <c r="MAL6" s="61"/>
      <c r="MAM6" s="61"/>
      <c r="MAN6" s="61"/>
      <c r="MAO6" s="61"/>
      <c r="MAP6" s="61"/>
      <c r="MAQ6" s="61"/>
      <c r="MAR6" s="61"/>
      <c r="MAS6" s="61"/>
      <c r="MAT6" s="61"/>
      <c r="MAU6" s="61"/>
      <c r="MAV6" s="61"/>
      <c r="MAW6" s="61"/>
      <c r="MAX6" s="61"/>
      <c r="MAY6" s="61"/>
      <c r="MAZ6" s="61"/>
      <c r="MBA6" s="61"/>
      <c r="MBB6" s="61"/>
      <c r="MBC6" s="61"/>
      <c r="MBD6" s="61"/>
      <c r="MBE6" s="61"/>
      <c r="MBF6" s="61"/>
      <c r="MBG6" s="61"/>
      <c r="MBH6" s="61"/>
      <c r="MBI6" s="61"/>
      <c r="MBJ6" s="61"/>
      <c r="MBK6" s="61"/>
      <c r="MBL6" s="61"/>
      <c r="MBM6" s="61"/>
      <c r="MBN6" s="61"/>
      <c r="MBO6" s="61"/>
      <c r="MBP6" s="61"/>
      <c r="MBQ6" s="61"/>
      <c r="MBR6" s="61"/>
      <c r="MBS6" s="61"/>
      <c r="MBT6" s="61"/>
      <c r="MBU6" s="61"/>
      <c r="MBV6" s="61"/>
      <c r="MBW6" s="61"/>
      <c r="MBX6" s="61"/>
      <c r="MBY6" s="61"/>
      <c r="MBZ6" s="61"/>
      <c r="MCA6" s="61"/>
      <c r="MCB6" s="61"/>
      <c r="MCC6" s="61"/>
      <c r="MCD6" s="61"/>
      <c r="MCE6" s="61"/>
      <c r="MCF6" s="61"/>
      <c r="MCG6" s="61"/>
      <c r="MCH6" s="61"/>
      <c r="MCI6" s="61"/>
      <c r="MCJ6" s="61"/>
      <c r="MCK6" s="61"/>
      <c r="MCL6" s="61"/>
      <c r="MCM6" s="61"/>
      <c r="MCN6" s="61"/>
      <c r="MCO6" s="61"/>
      <c r="MCP6" s="61"/>
      <c r="MCQ6" s="61"/>
      <c r="MCR6" s="61"/>
      <c r="MCS6" s="61"/>
      <c r="MCT6" s="61"/>
      <c r="MCU6" s="61"/>
      <c r="MCV6" s="61"/>
      <c r="MCW6" s="61"/>
      <c r="MCX6" s="61"/>
      <c r="MCY6" s="61"/>
      <c r="MCZ6" s="61"/>
      <c r="MDA6" s="61"/>
      <c r="MDB6" s="61"/>
      <c r="MDC6" s="61"/>
      <c r="MDD6" s="61"/>
      <c r="MDE6" s="61"/>
      <c r="MDF6" s="61"/>
      <c r="MDG6" s="61"/>
      <c r="MDH6" s="61"/>
      <c r="MDI6" s="61"/>
      <c r="MDJ6" s="61"/>
      <c r="MDK6" s="61"/>
      <c r="MDL6" s="61"/>
      <c r="MDM6" s="61"/>
      <c r="MDN6" s="61"/>
      <c r="MDO6" s="61"/>
      <c r="MDP6" s="61"/>
      <c r="MDQ6" s="61"/>
      <c r="MDR6" s="61"/>
      <c r="MDS6" s="61"/>
      <c r="MDT6" s="61"/>
      <c r="MDU6" s="61"/>
      <c r="MDV6" s="61"/>
      <c r="MDW6" s="61"/>
      <c r="MDX6" s="61"/>
      <c r="MDY6" s="61"/>
      <c r="MDZ6" s="61"/>
      <c r="MEA6" s="61"/>
      <c r="MEB6" s="61"/>
      <c r="MEC6" s="61"/>
      <c r="MED6" s="61"/>
      <c r="MEE6" s="61"/>
      <c r="MEF6" s="61"/>
      <c r="MEG6" s="61"/>
      <c r="MEH6" s="61"/>
      <c r="MEI6" s="61"/>
      <c r="MEJ6" s="61"/>
      <c r="MEK6" s="61"/>
      <c r="MEL6" s="61"/>
      <c r="MEM6" s="61"/>
      <c r="MEN6" s="61"/>
      <c r="MEO6" s="61"/>
      <c r="MEP6" s="61"/>
      <c r="MEQ6" s="61"/>
      <c r="MER6" s="61"/>
      <c r="MES6" s="61"/>
      <c r="MET6" s="61"/>
      <c r="MEU6" s="61"/>
      <c r="MEV6" s="61"/>
      <c r="MEW6" s="61"/>
      <c r="MEX6" s="61"/>
      <c r="MEY6" s="61"/>
      <c r="MEZ6" s="61"/>
      <c r="MFA6" s="61"/>
      <c r="MFB6" s="61"/>
      <c r="MFC6" s="61"/>
      <c r="MFD6" s="61"/>
      <c r="MFE6" s="61"/>
      <c r="MFF6" s="61"/>
      <c r="MFG6" s="61"/>
      <c r="MFH6" s="61"/>
      <c r="MFI6" s="61"/>
      <c r="MFJ6" s="61"/>
      <c r="MFK6" s="61"/>
      <c r="MFL6" s="61"/>
      <c r="MFM6" s="61"/>
      <c r="MFN6" s="61"/>
      <c r="MFO6" s="61"/>
      <c r="MFP6" s="61"/>
      <c r="MFQ6" s="61"/>
      <c r="MFR6" s="61"/>
      <c r="MFS6" s="61"/>
      <c r="MFT6" s="61"/>
      <c r="MFU6" s="61"/>
      <c r="MFV6" s="61"/>
      <c r="MFW6" s="61"/>
      <c r="MFX6" s="61"/>
      <c r="MFY6" s="61"/>
      <c r="MFZ6" s="61"/>
      <c r="MGA6" s="61"/>
      <c r="MGB6" s="61"/>
      <c r="MGC6" s="61"/>
      <c r="MGD6" s="61"/>
      <c r="MGE6" s="61"/>
      <c r="MGF6" s="61"/>
      <c r="MGG6" s="61"/>
      <c r="MGH6" s="61"/>
      <c r="MGI6" s="61"/>
      <c r="MGJ6" s="61"/>
      <c r="MGK6" s="61"/>
      <c r="MGL6" s="61"/>
      <c r="MGM6" s="61"/>
      <c r="MGN6" s="61"/>
      <c r="MGO6" s="61"/>
      <c r="MGP6" s="61"/>
      <c r="MGQ6" s="61"/>
      <c r="MGR6" s="61"/>
      <c r="MGS6" s="61"/>
      <c r="MGT6" s="61"/>
      <c r="MGU6" s="61"/>
      <c r="MGV6" s="61"/>
      <c r="MGW6" s="61"/>
      <c r="MGX6" s="61"/>
      <c r="MGY6" s="61"/>
      <c r="MGZ6" s="61"/>
      <c r="MHA6" s="61"/>
      <c r="MHB6" s="61"/>
      <c r="MHC6" s="61"/>
      <c r="MHD6" s="61"/>
      <c r="MHE6" s="61"/>
      <c r="MHF6" s="61"/>
      <c r="MHG6" s="61"/>
      <c r="MHH6" s="61"/>
      <c r="MHI6" s="61"/>
      <c r="MHJ6" s="61"/>
      <c r="MHK6" s="61"/>
      <c r="MHL6" s="61"/>
      <c r="MHM6" s="61"/>
      <c r="MHN6" s="61"/>
      <c r="MHO6" s="61"/>
      <c r="MHP6" s="61"/>
      <c r="MHQ6" s="61"/>
      <c r="MHR6" s="61"/>
      <c r="MHS6" s="61"/>
      <c r="MHT6" s="61"/>
      <c r="MHU6" s="61"/>
      <c r="MHV6" s="61"/>
      <c r="MHW6" s="61"/>
      <c r="MHX6" s="61"/>
      <c r="MHY6" s="61"/>
      <c r="MHZ6" s="61"/>
      <c r="MIA6" s="61"/>
      <c r="MIB6" s="61"/>
      <c r="MIC6" s="61"/>
      <c r="MID6" s="61"/>
      <c r="MIE6" s="61"/>
      <c r="MIF6" s="61"/>
      <c r="MIG6" s="61"/>
      <c r="MIH6" s="61"/>
      <c r="MII6" s="61"/>
      <c r="MIJ6" s="61"/>
      <c r="MIK6" s="61"/>
      <c r="MIL6" s="61"/>
      <c r="MIM6" s="61"/>
      <c r="MIN6" s="61"/>
      <c r="MIO6" s="61"/>
      <c r="MIP6" s="61"/>
      <c r="MIQ6" s="61"/>
      <c r="MIR6" s="61"/>
      <c r="MIS6" s="61"/>
      <c r="MIT6" s="61"/>
      <c r="MIU6" s="61"/>
      <c r="MIV6" s="61"/>
      <c r="MIW6" s="61"/>
      <c r="MIX6" s="61"/>
      <c r="MIY6" s="61"/>
      <c r="MIZ6" s="61"/>
      <c r="MJA6" s="61"/>
      <c r="MJB6" s="61"/>
      <c r="MJC6" s="61"/>
      <c r="MJD6" s="61"/>
      <c r="MJE6" s="61"/>
      <c r="MJF6" s="61"/>
      <c r="MJG6" s="61"/>
      <c r="MJH6" s="61"/>
      <c r="MJI6" s="61"/>
      <c r="MJJ6" s="61"/>
      <c r="MJK6" s="61"/>
      <c r="MJL6" s="61"/>
      <c r="MJM6" s="61"/>
      <c r="MJN6" s="61"/>
      <c r="MJO6" s="61"/>
      <c r="MJP6" s="61"/>
      <c r="MJQ6" s="61"/>
      <c r="MJR6" s="61"/>
      <c r="MJS6" s="61"/>
      <c r="MJT6" s="61"/>
      <c r="MJU6" s="61"/>
      <c r="MJV6" s="61"/>
      <c r="MJW6" s="61"/>
      <c r="MJX6" s="61"/>
      <c r="MJY6" s="61"/>
      <c r="MJZ6" s="61"/>
      <c r="MKA6" s="61"/>
      <c r="MKB6" s="61"/>
      <c r="MKC6" s="61"/>
      <c r="MKD6" s="61"/>
      <c r="MKE6" s="61"/>
      <c r="MKF6" s="61"/>
      <c r="MKG6" s="61"/>
      <c r="MKH6" s="61"/>
      <c r="MKI6" s="61"/>
      <c r="MKJ6" s="61"/>
      <c r="MKK6" s="61"/>
      <c r="MKL6" s="61"/>
      <c r="MKM6" s="61"/>
      <c r="MKN6" s="61"/>
      <c r="MKO6" s="61"/>
      <c r="MKP6" s="61"/>
      <c r="MKQ6" s="61"/>
      <c r="MKR6" s="61"/>
      <c r="MKS6" s="61"/>
      <c r="MKT6" s="61"/>
      <c r="MKU6" s="61"/>
      <c r="MKV6" s="61"/>
      <c r="MKW6" s="61"/>
      <c r="MKX6" s="61"/>
      <c r="MKY6" s="61"/>
      <c r="MKZ6" s="61"/>
      <c r="MLA6" s="61"/>
      <c r="MLB6" s="61"/>
      <c r="MLC6" s="61"/>
      <c r="MLD6" s="61"/>
      <c r="MLE6" s="61"/>
      <c r="MLF6" s="61"/>
      <c r="MLG6" s="61"/>
      <c r="MLH6" s="61"/>
      <c r="MLI6" s="61"/>
      <c r="MLJ6" s="61"/>
      <c r="MLK6" s="61"/>
      <c r="MLL6" s="61"/>
      <c r="MLM6" s="61"/>
      <c r="MLN6" s="61"/>
      <c r="MLO6" s="61"/>
      <c r="MLP6" s="61"/>
      <c r="MLQ6" s="61"/>
      <c r="MLR6" s="61"/>
      <c r="MLS6" s="61"/>
      <c r="MLT6" s="61"/>
      <c r="MLU6" s="61"/>
      <c r="MLV6" s="61"/>
      <c r="MLW6" s="61"/>
      <c r="MLX6" s="61"/>
      <c r="MLY6" s="61"/>
      <c r="MLZ6" s="61"/>
      <c r="MMA6" s="61"/>
      <c r="MMB6" s="61"/>
      <c r="MMC6" s="61"/>
      <c r="MMD6" s="61"/>
      <c r="MME6" s="61"/>
      <c r="MMF6" s="61"/>
      <c r="MMG6" s="61"/>
      <c r="MMH6" s="61"/>
      <c r="MMI6" s="61"/>
      <c r="MMJ6" s="61"/>
      <c r="MMK6" s="61"/>
      <c r="MML6" s="61"/>
      <c r="MMM6" s="61"/>
      <c r="MMN6" s="61"/>
      <c r="MMO6" s="61"/>
      <c r="MMP6" s="61"/>
      <c r="MMQ6" s="61"/>
      <c r="MMR6" s="61"/>
      <c r="MMS6" s="61"/>
      <c r="MMT6" s="61"/>
      <c r="MMU6" s="61"/>
      <c r="MMV6" s="61"/>
      <c r="MMW6" s="61"/>
      <c r="MMX6" s="61"/>
      <c r="MMY6" s="61"/>
      <c r="MMZ6" s="61"/>
      <c r="MNA6" s="61"/>
      <c r="MNB6" s="61"/>
      <c r="MNC6" s="61"/>
      <c r="MND6" s="61"/>
      <c r="MNE6" s="61"/>
      <c r="MNF6" s="61"/>
      <c r="MNG6" s="61"/>
      <c r="MNH6" s="61"/>
      <c r="MNI6" s="61"/>
      <c r="MNJ6" s="61"/>
      <c r="MNK6" s="61"/>
      <c r="MNL6" s="61"/>
      <c r="MNM6" s="61"/>
      <c r="MNN6" s="61"/>
      <c r="MNO6" s="61"/>
      <c r="MNP6" s="61"/>
      <c r="MNQ6" s="61"/>
      <c r="MNR6" s="61"/>
      <c r="MNS6" s="61"/>
      <c r="MNT6" s="61"/>
      <c r="MNU6" s="61"/>
      <c r="MNV6" s="61"/>
      <c r="MNW6" s="61"/>
      <c r="MNX6" s="61"/>
      <c r="MNY6" s="61"/>
      <c r="MNZ6" s="61"/>
      <c r="MOA6" s="61"/>
      <c r="MOB6" s="61"/>
      <c r="MOC6" s="61"/>
      <c r="MOD6" s="61"/>
      <c r="MOE6" s="61"/>
      <c r="MOF6" s="61"/>
      <c r="MOG6" s="61"/>
      <c r="MOH6" s="61"/>
      <c r="MOI6" s="61"/>
      <c r="MOJ6" s="61"/>
      <c r="MOK6" s="61"/>
      <c r="MOL6" s="61"/>
      <c r="MOM6" s="61"/>
      <c r="MON6" s="61"/>
      <c r="MOO6" s="61"/>
      <c r="MOP6" s="61"/>
      <c r="MOQ6" s="61"/>
      <c r="MOR6" s="61"/>
      <c r="MOS6" s="61"/>
      <c r="MOT6" s="61"/>
      <c r="MOU6" s="61"/>
      <c r="MOV6" s="61"/>
      <c r="MOW6" s="61"/>
      <c r="MOX6" s="61"/>
      <c r="MOY6" s="61"/>
      <c r="MOZ6" s="61"/>
      <c r="MPA6" s="61"/>
      <c r="MPB6" s="61"/>
      <c r="MPC6" s="61"/>
      <c r="MPD6" s="61"/>
      <c r="MPE6" s="61"/>
      <c r="MPF6" s="61"/>
      <c r="MPG6" s="61"/>
      <c r="MPH6" s="61"/>
      <c r="MPI6" s="61"/>
      <c r="MPJ6" s="61"/>
      <c r="MPK6" s="61"/>
      <c r="MPL6" s="61"/>
      <c r="MPM6" s="61"/>
      <c r="MPN6" s="61"/>
      <c r="MPO6" s="61"/>
      <c r="MPP6" s="61"/>
      <c r="MPQ6" s="61"/>
      <c r="MPR6" s="61"/>
      <c r="MPS6" s="61"/>
      <c r="MPT6" s="61"/>
      <c r="MPU6" s="61"/>
      <c r="MPV6" s="61"/>
      <c r="MPW6" s="61"/>
      <c r="MPX6" s="61"/>
      <c r="MPY6" s="61"/>
      <c r="MPZ6" s="61"/>
      <c r="MQA6" s="61"/>
      <c r="MQB6" s="61"/>
      <c r="MQC6" s="61"/>
      <c r="MQD6" s="61"/>
      <c r="MQE6" s="61"/>
      <c r="MQF6" s="61"/>
      <c r="MQG6" s="61"/>
      <c r="MQH6" s="61"/>
      <c r="MQI6" s="61"/>
      <c r="MQJ6" s="61"/>
      <c r="MQK6" s="61"/>
      <c r="MQL6" s="61"/>
      <c r="MQM6" s="61"/>
      <c r="MQN6" s="61"/>
      <c r="MQO6" s="61"/>
      <c r="MQP6" s="61"/>
      <c r="MQQ6" s="61"/>
      <c r="MQR6" s="61"/>
      <c r="MQS6" s="61"/>
      <c r="MQT6" s="61"/>
      <c r="MQU6" s="61"/>
      <c r="MQV6" s="61"/>
      <c r="MQW6" s="61"/>
      <c r="MQX6" s="61"/>
      <c r="MQY6" s="61"/>
      <c r="MQZ6" s="61"/>
      <c r="MRA6" s="61"/>
      <c r="MRB6" s="61"/>
      <c r="MRC6" s="61"/>
      <c r="MRD6" s="61"/>
      <c r="MRE6" s="61"/>
      <c r="MRF6" s="61"/>
      <c r="MRG6" s="61"/>
      <c r="MRH6" s="61"/>
      <c r="MRI6" s="61"/>
      <c r="MRJ6" s="61"/>
      <c r="MRK6" s="61"/>
      <c r="MRL6" s="61"/>
      <c r="MRM6" s="61"/>
      <c r="MRN6" s="61"/>
      <c r="MRO6" s="61"/>
      <c r="MRP6" s="61"/>
      <c r="MRQ6" s="61"/>
      <c r="MRR6" s="61"/>
      <c r="MRS6" s="61"/>
      <c r="MRT6" s="61"/>
      <c r="MRU6" s="61"/>
      <c r="MRV6" s="61"/>
      <c r="MRW6" s="61"/>
      <c r="MRX6" s="61"/>
      <c r="MRY6" s="61"/>
      <c r="MRZ6" s="61"/>
      <c r="MSA6" s="61"/>
      <c r="MSB6" s="61"/>
      <c r="MSC6" s="61"/>
      <c r="MSD6" s="61"/>
      <c r="MSE6" s="61"/>
      <c r="MSF6" s="61"/>
      <c r="MSG6" s="61"/>
      <c r="MSH6" s="61"/>
      <c r="MSI6" s="61"/>
      <c r="MSJ6" s="61"/>
      <c r="MSK6" s="61"/>
      <c r="MSL6" s="61"/>
      <c r="MSM6" s="61"/>
      <c r="MSN6" s="61"/>
      <c r="MSO6" s="61"/>
      <c r="MSP6" s="61"/>
      <c r="MSQ6" s="61"/>
      <c r="MSR6" s="61"/>
      <c r="MSS6" s="61"/>
      <c r="MST6" s="61"/>
      <c r="MSU6" s="61"/>
      <c r="MSV6" s="61"/>
      <c r="MSW6" s="61"/>
      <c r="MSX6" s="61"/>
      <c r="MSY6" s="61"/>
      <c r="MSZ6" s="61"/>
      <c r="MTA6" s="61"/>
      <c r="MTB6" s="61"/>
      <c r="MTC6" s="61"/>
      <c r="MTD6" s="61"/>
      <c r="MTE6" s="61"/>
      <c r="MTF6" s="61"/>
      <c r="MTG6" s="61"/>
      <c r="MTH6" s="61"/>
      <c r="MTI6" s="61"/>
      <c r="MTJ6" s="61"/>
      <c r="MTK6" s="61"/>
      <c r="MTL6" s="61"/>
      <c r="MTM6" s="61"/>
      <c r="MTN6" s="61"/>
      <c r="MTO6" s="61"/>
      <c r="MTP6" s="61"/>
      <c r="MTQ6" s="61"/>
      <c r="MTR6" s="61"/>
      <c r="MTS6" s="61"/>
      <c r="MTT6" s="61"/>
      <c r="MTU6" s="61"/>
      <c r="MTV6" s="61"/>
      <c r="MTW6" s="61"/>
      <c r="MTX6" s="61"/>
      <c r="MTY6" s="61"/>
      <c r="MTZ6" s="61"/>
      <c r="MUA6" s="61"/>
      <c r="MUB6" s="61"/>
      <c r="MUC6" s="61"/>
      <c r="MUD6" s="61"/>
      <c r="MUE6" s="61"/>
      <c r="MUF6" s="61"/>
      <c r="MUG6" s="61"/>
      <c r="MUH6" s="61"/>
      <c r="MUI6" s="61"/>
      <c r="MUJ6" s="61"/>
      <c r="MUK6" s="61"/>
      <c r="MUL6" s="61"/>
      <c r="MUM6" s="61"/>
      <c r="MUN6" s="61"/>
      <c r="MUO6" s="61"/>
      <c r="MUP6" s="61"/>
      <c r="MUQ6" s="61"/>
      <c r="MUR6" s="61"/>
      <c r="MUS6" s="61"/>
      <c r="MUT6" s="61"/>
      <c r="MUU6" s="61"/>
      <c r="MUV6" s="61"/>
      <c r="MUW6" s="61"/>
      <c r="MUX6" s="61"/>
      <c r="MUY6" s="61"/>
      <c r="MUZ6" s="61"/>
      <c r="MVA6" s="61"/>
      <c r="MVB6" s="61"/>
      <c r="MVC6" s="61"/>
      <c r="MVD6" s="61"/>
      <c r="MVE6" s="61"/>
      <c r="MVF6" s="61"/>
      <c r="MVG6" s="61"/>
      <c r="MVH6" s="61"/>
      <c r="MVI6" s="61"/>
      <c r="MVJ6" s="61"/>
      <c r="MVK6" s="61"/>
      <c r="MVL6" s="61"/>
      <c r="MVM6" s="61"/>
      <c r="MVN6" s="61"/>
      <c r="MVO6" s="61"/>
      <c r="MVP6" s="61"/>
      <c r="MVQ6" s="61"/>
      <c r="MVR6" s="61"/>
      <c r="MVS6" s="61"/>
      <c r="MVT6" s="61"/>
      <c r="MVU6" s="61"/>
      <c r="MVV6" s="61"/>
      <c r="MVW6" s="61"/>
      <c r="MVX6" s="61"/>
      <c r="MVY6" s="61"/>
      <c r="MVZ6" s="61"/>
      <c r="MWA6" s="61"/>
      <c r="MWB6" s="61"/>
      <c r="MWC6" s="61"/>
      <c r="MWD6" s="61"/>
      <c r="MWE6" s="61"/>
      <c r="MWF6" s="61"/>
      <c r="MWG6" s="61"/>
      <c r="MWH6" s="61"/>
      <c r="MWI6" s="61"/>
      <c r="MWJ6" s="61"/>
      <c r="MWK6" s="61"/>
      <c r="MWL6" s="61"/>
      <c r="MWM6" s="61"/>
      <c r="MWN6" s="61"/>
      <c r="MWO6" s="61"/>
      <c r="MWP6" s="61"/>
      <c r="MWQ6" s="61"/>
      <c r="MWR6" s="61"/>
      <c r="MWS6" s="61"/>
      <c r="MWT6" s="61"/>
      <c r="MWU6" s="61"/>
      <c r="MWV6" s="61"/>
      <c r="MWW6" s="61"/>
      <c r="MWX6" s="61"/>
      <c r="MWY6" s="61"/>
      <c r="MWZ6" s="61"/>
      <c r="MXA6" s="61"/>
      <c r="MXB6" s="61"/>
      <c r="MXC6" s="61"/>
      <c r="MXD6" s="61"/>
      <c r="MXE6" s="61"/>
      <c r="MXF6" s="61"/>
      <c r="MXG6" s="61"/>
      <c r="MXH6" s="61"/>
      <c r="MXI6" s="61"/>
      <c r="MXJ6" s="61"/>
      <c r="MXK6" s="61"/>
      <c r="MXL6" s="61"/>
      <c r="MXM6" s="61"/>
      <c r="MXN6" s="61"/>
      <c r="MXO6" s="61"/>
      <c r="MXP6" s="61"/>
      <c r="MXQ6" s="61"/>
      <c r="MXR6" s="61"/>
      <c r="MXS6" s="61"/>
      <c r="MXT6" s="61"/>
      <c r="MXU6" s="61"/>
      <c r="MXV6" s="61"/>
      <c r="MXW6" s="61"/>
      <c r="MXX6" s="61"/>
      <c r="MXY6" s="61"/>
      <c r="MXZ6" s="61"/>
      <c r="MYA6" s="61"/>
      <c r="MYB6" s="61"/>
      <c r="MYC6" s="61"/>
      <c r="MYD6" s="61"/>
      <c r="MYE6" s="61"/>
      <c r="MYF6" s="61"/>
      <c r="MYG6" s="61"/>
      <c r="MYH6" s="61"/>
      <c r="MYI6" s="61"/>
      <c r="MYJ6" s="61"/>
      <c r="MYK6" s="61"/>
      <c r="MYL6" s="61"/>
      <c r="MYM6" s="61"/>
      <c r="MYN6" s="61"/>
      <c r="MYO6" s="61"/>
      <c r="MYP6" s="61"/>
      <c r="MYQ6" s="61"/>
      <c r="MYR6" s="61"/>
      <c r="MYS6" s="61"/>
      <c r="MYT6" s="61"/>
      <c r="MYU6" s="61"/>
      <c r="MYV6" s="61"/>
      <c r="MYW6" s="61"/>
      <c r="MYX6" s="61"/>
      <c r="MYY6" s="61"/>
      <c r="MYZ6" s="61"/>
      <c r="MZA6" s="61"/>
      <c r="MZB6" s="61"/>
      <c r="MZC6" s="61"/>
      <c r="MZD6" s="61"/>
      <c r="MZE6" s="61"/>
      <c r="MZF6" s="61"/>
      <c r="MZG6" s="61"/>
      <c r="MZH6" s="61"/>
      <c r="MZI6" s="61"/>
      <c r="MZJ6" s="61"/>
      <c r="MZK6" s="61"/>
      <c r="MZL6" s="61"/>
      <c r="MZM6" s="61"/>
      <c r="MZN6" s="61"/>
      <c r="MZO6" s="61"/>
      <c r="MZP6" s="61"/>
      <c r="MZQ6" s="61"/>
      <c r="MZR6" s="61"/>
      <c r="MZS6" s="61"/>
      <c r="MZT6" s="61"/>
      <c r="MZU6" s="61"/>
      <c r="MZV6" s="61"/>
      <c r="MZW6" s="61"/>
      <c r="MZX6" s="61"/>
      <c r="MZY6" s="61"/>
      <c r="MZZ6" s="61"/>
      <c r="NAA6" s="61"/>
      <c r="NAB6" s="61"/>
      <c r="NAC6" s="61"/>
      <c r="NAD6" s="61"/>
      <c r="NAE6" s="61"/>
      <c r="NAF6" s="61"/>
      <c r="NAG6" s="61"/>
      <c r="NAH6" s="61"/>
      <c r="NAI6" s="61"/>
      <c r="NAJ6" s="61"/>
      <c r="NAK6" s="61"/>
      <c r="NAL6" s="61"/>
      <c r="NAM6" s="61"/>
      <c r="NAN6" s="61"/>
      <c r="NAO6" s="61"/>
      <c r="NAP6" s="61"/>
      <c r="NAQ6" s="61"/>
      <c r="NAR6" s="61"/>
      <c r="NAS6" s="61"/>
      <c r="NAT6" s="61"/>
      <c r="NAU6" s="61"/>
      <c r="NAV6" s="61"/>
      <c r="NAW6" s="61"/>
      <c r="NAX6" s="61"/>
      <c r="NAY6" s="61"/>
      <c r="NAZ6" s="61"/>
      <c r="NBA6" s="61"/>
      <c r="NBB6" s="61"/>
      <c r="NBC6" s="61"/>
      <c r="NBD6" s="61"/>
      <c r="NBE6" s="61"/>
      <c r="NBF6" s="61"/>
      <c r="NBG6" s="61"/>
      <c r="NBH6" s="61"/>
      <c r="NBI6" s="61"/>
      <c r="NBJ6" s="61"/>
      <c r="NBK6" s="61"/>
      <c r="NBL6" s="61"/>
      <c r="NBM6" s="61"/>
      <c r="NBN6" s="61"/>
      <c r="NBO6" s="61"/>
      <c r="NBP6" s="61"/>
      <c r="NBQ6" s="61"/>
      <c r="NBR6" s="61"/>
      <c r="NBS6" s="61"/>
      <c r="NBT6" s="61"/>
      <c r="NBU6" s="61"/>
      <c r="NBV6" s="61"/>
      <c r="NBW6" s="61"/>
      <c r="NBX6" s="61"/>
      <c r="NBY6" s="61"/>
      <c r="NBZ6" s="61"/>
      <c r="NCA6" s="61"/>
      <c r="NCB6" s="61"/>
      <c r="NCC6" s="61"/>
      <c r="NCD6" s="61"/>
      <c r="NCE6" s="61"/>
      <c r="NCF6" s="61"/>
      <c r="NCG6" s="61"/>
      <c r="NCH6" s="61"/>
      <c r="NCI6" s="61"/>
      <c r="NCJ6" s="61"/>
      <c r="NCK6" s="61"/>
      <c r="NCL6" s="61"/>
      <c r="NCM6" s="61"/>
      <c r="NCN6" s="61"/>
      <c r="NCO6" s="61"/>
      <c r="NCP6" s="61"/>
      <c r="NCQ6" s="61"/>
      <c r="NCR6" s="61"/>
      <c r="NCS6" s="61"/>
      <c r="NCT6" s="61"/>
      <c r="NCU6" s="61"/>
      <c r="NCV6" s="61"/>
      <c r="NCW6" s="61"/>
      <c r="NCX6" s="61"/>
      <c r="NCY6" s="61"/>
      <c r="NCZ6" s="61"/>
      <c r="NDA6" s="61"/>
      <c r="NDB6" s="61"/>
      <c r="NDC6" s="61"/>
      <c r="NDD6" s="61"/>
      <c r="NDE6" s="61"/>
      <c r="NDF6" s="61"/>
      <c r="NDG6" s="61"/>
      <c r="NDH6" s="61"/>
      <c r="NDI6" s="61"/>
      <c r="NDJ6" s="61"/>
      <c r="NDK6" s="61"/>
      <c r="NDL6" s="61"/>
      <c r="NDM6" s="61"/>
      <c r="NDN6" s="61"/>
      <c r="NDO6" s="61"/>
      <c r="NDP6" s="61"/>
      <c r="NDQ6" s="61"/>
      <c r="NDR6" s="61"/>
      <c r="NDS6" s="61"/>
      <c r="NDT6" s="61"/>
      <c r="NDU6" s="61"/>
      <c r="NDV6" s="61"/>
      <c r="NDW6" s="61"/>
      <c r="NDX6" s="61"/>
      <c r="NDY6" s="61"/>
      <c r="NDZ6" s="61"/>
      <c r="NEA6" s="61"/>
      <c r="NEB6" s="61"/>
      <c r="NEC6" s="61"/>
      <c r="NED6" s="61"/>
      <c r="NEE6" s="61"/>
      <c r="NEF6" s="61"/>
      <c r="NEG6" s="61"/>
      <c r="NEH6" s="61"/>
      <c r="NEI6" s="61"/>
      <c r="NEJ6" s="61"/>
      <c r="NEK6" s="61"/>
      <c r="NEL6" s="61"/>
      <c r="NEM6" s="61"/>
      <c r="NEN6" s="61"/>
      <c r="NEO6" s="61"/>
      <c r="NEP6" s="61"/>
      <c r="NEQ6" s="61"/>
      <c r="NER6" s="61"/>
      <c r="NES6" s="61"/>
      <c r="NET6" s="61"/>
      <c r="NEU6" s="61"/>
      <c r="NEV6" s="61"/>
      <c r="NEW6" s="61"/>
      <c r="NEX6" s="61"/>
      <c r="NEY6" s="61"/>
      <c r="NEZ6" s="61"/>
      <c r="NFA6" s="61"/>
      <c r="NFB6" s="61"/>
      <c r="NFC6" s="61"/>
      <c r="NFD6" s="61"/>
      <c r="NFE6" s="61"/>
      <c r="NFF6" s="61"/>
      <c r="NFG6" s="61"/>
      <c r="NFH6" s="61"/>
      <c r="NFI6" s="61"/>
      <c r="NFJ6" s="61"/>
      <c r="NFK6" s="61"/>
      <c r="NFL6" s="61"/>
      <c r="NFM6" s="61"/>
      <c r="NFN6" s="61"/>
      <c r="NFO6" s="61"/>
      <c r="NFP6" s="61"/>
      <c r="NFQ6" s="61"/>
      <c r="NFR6" s="61"/>
      <c r="NFS6" s="61"/>
      <c r="NFT6" s="61"/>
      <c r="NFU6" s="61"/>
      <c r="NFV6" s="61"/>
      <c r="NFW6" s="61"/>
      <c r="NFX6" s="61"/>
      <c r="NFY6" s="61"/>
      <c r="NFZ6" s="61"/>
      <c r="NGA6" s="61"/>
      <c r="NGB6" s="61"/>
      <c r="NGC6" s="61"/>
      <c r="NGD6" s="61"/>
      <c r="NGE6" s="61"/>
      <c r="NGF6" s="61"/>
      <c r="NGG6" s="61"/>
      <c r="NGH6" s="61"/>
      <c r="NGI6" s="61"/>
      <c r="NGJ6" s="61"/>
      <c r="NGK6" s="61"/>
      <c r="NGL6" s="61"/>
      <c r="NGM6" s="61"/>
      <c r="NGN6" s="61"/>
      <c r="NGO6" s="61"/>
      <c r="NGP6" s="61"/>
      <c r="NGQ6" s="61"/>
      <c r="NGR6" s="61"/>
      <c r="NGS6" s="61"/>
      <c r="NGT6" s="61"/>
      <c r="NGU6" s="61"/>
      <c r="NGV6" s="61"/>
      <c r="NGW6" s="61"/>
      <c r="NGX6" s="61"/>
      <c r="NGY6" s="61"/>
      <c r="NGZ6" s="61"/>
      <c r="NHA6" s="61"/>
      <c r="NHB6" s="61"/>
      <c r="NHC6" s="61"/>
      <c r="NHD6" s="61"/>
      <c r="NHE6" s="61"/>
      <c r="NHF6" s="61"/>
      <c r="NHG6" s="61"/>
      <c r="NHH6" s="61"/>
      <c r="NHI6" s="61"/>
      <c r="NHJ6" s="61"/>
      <c r="NHK6" s="61"/>
      <c r="NHL6" s="61"/>
      <c r="NHM6" s="61"/>
      <c r="NHN6" s="61"/>
      <c r="NHO6" s="61"/>
      <c r="NHP6" s="61"/>
      <c r="NHQ6" s="61"/>
      <c r="NHR6" s="61"/>
      <c r="NHS6" s="61"/>
      <c r="NHT6" s="61"/>
      <c r="NHU6" s="61"/>
      <c r="NHV6" s="61"/>
      <c r="NHW6" s="61"/>
      <c r="NHX6" s="61"/>
      <c r="NHY6" s="61"/>
      <c r="NHZ6" s="61"/>
      <c r="NIA6" s="61"/>
      <c r="NIB6" s="61"/>
      <c r="NIC6" s="61"/>
      <c r="NID6" s="61"/>
      <c r="NIE6" s="61"/>
      <c r="NIF6" s="61"/>
      <c r="NIG6" s="61"/>
      <c r="NIH6" s="61"/>
      <c r="NII6" s="61"/>
      <c r="NIJ6" s="61"/>
      <c r="NIK6" s="61"/>
      <c r="NIL6" s="61"/>
      <c r="NIM6" s="61"/>
      <c r="NIN6" s="61"/>
      <c r="NIO6" s="61"/>
      <c r="NIP6" s="61"/>
      <c r="NIQ6" s="61"/>
      <c r="NIR6" s="61"/>
      <c r="NIS6" s="61"/>
      <c r="NIT6" s="61"/>
      <c r="NIU6" s="61"/>
      <c r="NIV6" s="61"/>
      <c r="NIW6" s="61"/>
      <c r="NIX6" s="61"/>
      <c r="NIY6" s="61"/>
      <c r="NIZ6" s="61"/>
      <c r="NJA6" s="61"/>
      <c r="NJB6" s="61"/>
      <c r="NJC6" s="61"/>
      <c r="NJD6" s="61"/>
      <c r="NJE6" s="61"/>
      <c r="NJF6" s="61"/>
      <c r="NJG6" s="61"/>
      <c r="NJH6" s="61"/>
      <c r="NJI6" s="61"/>
      <c r="NJJ6" s="61"/>
      <c r="NJK6" s="61"/>
      <c r="NJL6" s="61"/>
      <c r="NJM6" s="61"/>
      <c r="NJN6" s="61"/>
      <c r="NJO6" s="61"/>
      <c r="NJP6" s="61"/>
      <c r="NJQ6" s="61"/>
      <c r="NJR6" s="61"/>
      <c r="NJS6" s="61"/>
      <c r="NJT6" s="61"/>
      <c r="NJU6" s="61"/>
      <c r="NJV6" s="61"/>
      <c r="NJW6" s="61"/>
      <c r="NJX6" s="61"/>
      <c r="NJY6" s="61"/>
      <c r="NJZ6" s="61"/>
      <c r="NKA6" s="61"/>
      <c r="NKB6" s="61"/>
      <c r="NKC6" s="61"/>
      <c r="NKD6" s="61"/>
      <c r="NKE6" s="61"/>
      <c r="NKF6" s="61"/>
      <c r="NKG6" s="61"/>
      <c r="NKH6" s="61"/>
      <c r="NKI6" s="61"/>
      <c r="NKJ6" s="61"/>
      <c r="NKK6" s="61"/>
      <c r="NKL6" s="61"/>
      <c r="NKM6" s="61"/>
      <c r="NKN6" s="61"/>
      <c r="NKO6" s="61"/>
      <c r="NKP6" s="61"/>
      <c r="NKQ6" s="61"/>
      <c r="NKR6" s="61"/>
      <c r="NKS6" s="61"/>
      <c r="NKT6" s="61"/>
      <c r="NKU6" s="61"/>
      <c r="NKV6" s="61"/>
      <c r="NKW6" s="61"/>
      <c r="NKX6" s="61"/>
      <c r="NKY6" s="61"/>
      <c r="NKZ6" s="61"/>
      <c r="NLA6" s="61"/>
      <c r="NLB6" s="61"/>
      <c r="NLC6" s="61"/>
      <c r="NLD6" s="61"/>
      <c r="NLE6" s="61"/>
      <c r="NLF6" s="61"/>
      <c r="NLG6" s="61"/>
      <c r="NLH6" s="61"/>
      <c r="NLI6" s="61"/>
      <c r="NLJ6" s="61"/>
      <c r="NLK6" s="61"/>
      <c r="NLL6" s="61"/>
      <c r="NLM6" s="61"/>
      <c r="NLN6" s="61"/>
      <c r="NLO6" s="61"/>
      <c r="NLP6" s="61"/>
      <c r="NLQ6" s="61"/>
      <c r="NLR6" s="61"/>
      <c r="NLS6" s="61"/>
      <c r="NLT6" s="61"/>
      <c r="NLU6" s="61"/>
      <c r="NLV6" s="61"/>
      <c r="NLW6" s="61"/>
      <c r="NLX6" s="61"/>
      <c r="NLY6" s="61"/>
      <c r="NLZ6" s="61"/>
      <c r="NMA6" s="61"/>
      <c r="NMB6" s="61"/>
      <c r="NMC6" s="61"/>
      <c r="NMD6" s="61"/>
      <c r="NME6" s="61"/>
      <c r="NMF6" s="61"/>
      <c r="NMG6" s="61"/>
      <c r="NMH6" s="61"/>
      <c r="NMI6" s="61"/>
      <c r="NMJ6" s="61"/>
      <c r="NMK6" s="61"/>
      <c r="NML6" s="61"/>
      <c r="NMM6" s="61"/>
      <c r="NMN6" s="61"/>
      <c r="NMO6" s="61"/>
      <c r="NMP6" s="61"/>
      <c r="NMQ6" s="61"/>
      <c r="NMR6" s="61"/>
      <c r="NMS6" s="61"/>
      <c r="NMT6" s="61"/>
      <c r="NMU6" s="61"/>
      <c r="NMV6" s="61"/>
      <c r="NMW6" s="61"/>
      <c r="NMX6" s="61"/>
      <c r="NMY6" s="61"/>
      <c r="NMZ6" s="61"/>
      <c r="NNA6" s="61"/>
      <c r="NNB6" s="61"/>
      <c r="NNC6" s="61"/>
      <c r="NND6" s="61"/>
      <c r="NNE6" s="61"/>
      <c r="NNF6" s="61"/>
      <c r="NNG6" s="61"/>
      <c r="NNH6" s="61"/>
      <c r="NNI6" s="61"/>
      <c r="NNJ6" s="61"/>
      <c r="NNK6" s="61"/>
      <c r="NNL6" s="61"/>
      <c r="NNM6" s="61"/>
      <c r="NNN6" s="61"/>
      <c r="NNO6" s="61"/>
      <c r="NNP6" s="61"/>
      <c r="NNQ6" s="61"/>
      <c r="NNR6" s="61"/>
      <c r="NNS6" s="61"/>
      <c r="NNT6" s="61"/>
      <c r="NNU6" s="61"/>
      <c r="NNV6" s="61"/>
      <c r="NNW6" s="61"/>
      <c r="NNX6" s="61"/>
      <c r="NNY6" s="61"/>
      <c r="NNZ6" s="61"/>
      <c r="NOA6" s="61"/>
      <c r="NOB6" s="61"/>
      <c r="NOC6" s="61"/>
      <c r="NOD6" s="61"/>
      <c r="NOE6" s="61"/>
      <c r="NOF6" s="61"/>
      <c r="NOG6" s="61"/>
      <c r="NOH6" s="61"/>
      <c r="NOI6" s="61"/>
      <c r="NOJ6" s="61"/>
      <c r="NOK6" s="61"/>
      <c r="NOL6" s="61"/>
      <c r="NOM6" s="61"/>
      <c r="NON6" s="61"/>
      <c r="NOO6" s="61"/>
      <c r="NOP6" s="61"/>
      <c r="NOQ6" s="61"/>
      <c r="NOR6" s="61"/>
      <c r="NOS6" s="61"/>
      <c r="NOT6" s="61"/>
      <c r="NOU6" s="61"/>
      <c r="NOV6" s="61"/>
      <c r="NOW6" s="61"/>
      <c r="NOX6" s="61"/>
      <c r="NOY6" s="61"/>
      <c r="NOZ6" s="61"/>
      <c r="NPA6" s="61"/>
      <c r="NPB6" s="61"/>
      <c r="NPC6" s="61"/>
      <c r="NPD6" s="61"/>
      <c r="NPE6" s="61"/>
      <c r="NPF6" s="61"/>
      <c r="NPG6" s="61"/>
      <c r="NPH6" s="61"/>
      <c r="NPI6" s="61"/>
      <c r="NPJ6" s="61"/>
      <c r="NPK6" s="61"/>
      <c r="NPL6" s="61"/>
      <c r="NPM6" s="61"/>
      <c r="NPN6" s="61"/>
      <c r="NPO6" s="61"/>
      <c r="NPP6" s="61"/>
      <c r="NPQ6" s="61"/>
      <c r="NPR6" s="61"/>
      <c r="NPS6" s="61"/>
      <c r="NPT6" s="61"/>
      <c r="NPU6" s="61"/>
      <c r="NPV6" s="61"/>
      <c r="NPW6" s="61"/>
      <c r="NPX6" s="61"/>
      <c r="NPY6" s="61"/>
      <c r="NPZ6" s="61"/>
      <c r="NQA6" s="61"/>
      <c r="NQB6" s="61"/>
      <c r="NQC6" s="61"/>
      <c r="NQD6" s="61"/>
      <c r="NQE6" s="61"/>
      <c r="NQF6" s="61"/>
      <c r="NQG6" s="61"/>
      <c r="NQH6" s="61"/>
      <c r="NQI6" s="61"/>
      <c r="NQJ6" s="61"/>
      <c r="NQK6" s="61"/>
      <c r="NQL6" s="61"/>
      <c r="NQM6" s="61"/>
      <c r="NQN6" s="61"/>
      <c r="NQO6" s="61"/>
      <c r="NQP6" s="61"/>
      <c r="NQQ6" s="61"/>
      <c r="NQR6" s="61"/>
      <c r="NQS6" s="61"/>
      <c r="NQT6" s="61"/>
      <c r="NQU6" s="61"/>
      <c r="NQV6" s="61"/>
      <c r="NQW6" s="61"/>
      <c r="NQX6" s="61"/>
      <c r="NQY6" s="61"/>
      <c r="NQZ6" s="61"/>
      <c r="NRA6" s="61"/>
      <c r="NRB6" s="61"/>
      <c r="NRC6" s="61"/>
      <c r="NRD6" s="61"/>
      <c r="NRE6" s="61"/>
      <c r="NRF6" s="61"/>
      <c r="NRG6" s="61"/>
      <c r="NRH6" s="61"/>
      <c r="NRI6" s="61"/>
      <c r="NRJ6" s="61"/>
      <c r="NRK6" s="61"/>
      <c r="NRL6" s="61"/>
      <c r="NRM6" s="61"/>
      <c r="NRN6" s="61"/>
      <c r="NRO6" s="61"/>
      <c r="NRP6" s="61"/>
      <c r="NRQ6" s="61"/>
      <c r="NRR6" s="61"/>
      <c r="NRS6" s="61"/>
      <c r="NRT6" s="61"/>
      <c r="NRU6" s="61"/>
      <c r="NRV6" s="61"/>
      <c r="NRW6" s="61"/>
      <c r="NRX6" s="61"/>
      <c r="NRY6" s="61"/>
      <c r="NRZ6" s="61"/>
      <c r="NSA6" s="61"/>
      <c r="NSB6" s="61"/>
      <c r="NSC6" s="61"/>
      <c r="NSD6" s="61"/>
      <c r="NSE6" s="61"/>
      <c r="NSF6" s="61"/>
      <c r="NSG6" s="61"/>
      <c r="NSH6" s="61"/>
      <c r="NSI6" s="61"/>
      <c r="NSJ6" s="61"/>
      <c r="NSK6" s="61"/>
      <c r="NSL6" s="61"/>
      <c r="NSM6" s="61"/>
      <c r="NSN6" s="61"/>
      <c r="NSO6" s="61"/>
      <c r="NSP6" s="61"/>
      <c r="NSQ6" s="61"/>
      <c r="NSR6" s="61"/>
      <c r="NSS6" s="61"/>
      <c r="NST6" s="61"/>
      <c r="NSU6" s="61"/>
      <c r="NSV6" s="61"/>
      <c r="NSW6" s="61"/>
      <c r="NSX6" s="61"/>
      <c r="NSY6" s="61"/>
      <c r="NSZ6" s="61"/>
      <c r="NTA6" s="61"/>
      <c r="NTB6" s="61"/>
      <c r="NTC6" s="61"/>
      <c r="NTD6" s="61"/>
      <c r="NTE6" s="61"/>
      <c r="NTF6" s="61"/>
      <c r="NTG6" s="61"/>
      <c r="NTH6" s="61"/>
      <c r="NTI6" s="61"/>
      <c r="NTJ6" s="61"/>
      <c r="NTK6" s="61"/>
      <c r="NTL6" s="61"/>
      <c r="NTM6" s="61"/>
      <c r="NTN6" s="61"/>
      <c r="NTO6" s="61"/>
      <c r="NTP6" s="61"/>
      <c r="NTQ6" s="61"/>
      <c r="NTR6" s="61"/>
      <c r="NTS6" s="61"/>
      <c r="NTT6" s="61"/>
      <c r="NTU6" s="61"/>
      <c r="NTV6" s="61"/>
      <c r="NTW6" s="61"/>
      <c r="NTX6" s="61"/>
      <c r="NTY6" s="61"/>
      <c r="NTZ6" s="61"/>
      <c r="NUA6" s="61"/>
      <c r="NUB6" s="61"/>
      <c r="NUC6" s="61"/>
      <c r="NUD6" s="61"/>
      <c r="NUE6" s="61"/>
      <c r="NUF6" s="61"/>
      <c r="NUG6" s="61"/>
      <c r="NUH6" s="61"/>
      <c r="NUI6" s="61"/>
      <c r="NUJ6" s="61"/>
      <c r="NUK6" s="61"/>
      <c r="NUL6" s="61"/>
      <c r="NUM6" s="61"/>
      <c r="NUN6" s="61"/>
      <c r="NUO6" s="61"/>
      <c r="NUP6" s="61"/>
      <c r="NUQ6" s="61"/>
      <c r="NUR6" s="61"/>
      <c r="NUS6" s="61"/>
      <c r="NUT6" s="61"/>
      <c r="NUU6" s="61"/>
      <c r="NUV6" s="61"/>
      <c r="NUW6" s="61"/>
      <c r="NUX6" s="61"/>
      <c r="NUY6" s="61"/>
      <c r="NUZ6" s="61"/>
      <c r="NVA6" s="61"/>
      <c r="NVB6" s="61"/>
      <c r="NVC6" s="61"/>
      <c r="NVD6" s="61"/>
      <c r="NVE6" s="61"/>
      <c r="NVF6" s="61"/>
      <c r="NVG6" s="61"/>
      <c r="NVH6" s="61"/>
      <c r="NVI6" s="61"/>
      <c r="NVJ6" s="61"/>
      <c r="NVK6" s="61"/>
      <c r="NVL6" s="61"/>
      <c r="NVM6" s="61"/>
      <c r="NVN6" s="61"/>
      <c r="NVO6" s="61"/>
      <c r="NVP6" s="61"/>
      <c r="NVQ6" s="61"/>
      <c r="NVR6" s="61"/>
      <c r="NVS6" s="61"/>
      <c r="NVT6" s="61"/>
      <c r="NVU6" s="61"/>
      <c r="NVV6" s="61"/>
      <c r="NVW6" s="61"/>
      <c r="NVX6" s="61"/>
      <c r="NVY6" s="61"/>
      <c r="NVZ6" s="61"/>
      <c r="NWA6" s="61"/>
      <c r="NWB6" s="61"/>
      <c r="NWC6" s="61"/>
      <c r="NWD6" s="61"/>
      <c r="NWE6" s="61"/>
      <c r="NWF6" s="61"/>
      <c r="NWG6" s="61"/>
      <c r="NWH6" s="61"/>
      <c r="NWI6" s="61"/>
      <c r="NWJ6" s="61"/>
      <c r="NWK6" s="61"/>
      <c r="NWL6" s="61"/>
      <c r="NWM6" s="61"/>
      <c r="NWN6" s="61"/>
      <c r="NWO6" s="61"/>
      <c r="NWP6" s="61"/>
      <c r="NWQ6" s="61"/>
      <c r="NWR6" s="61"/>
      <c r="NWS6" s="61"/>
      <c r="NWT6" s="61"/>
      <c r="NWU6" s="61"/>
      <c r="NWV6" s="61"/>
      <c r="NWW6" s="61"/>
      <c r="NWX6" s="61"/>
      <c r="NWY6" s="61"/>
      <c r="NWZ6" s="61"/>
      <c r="NXA6" s="61"/>
      <c r="NXB6" s="61"/>
      <c r="NXC6" s="61"/>
      <c r="NXD6" s="61"/>
      <c r="NXE6" s="61"/>
      <c r="NXF6" s="61"/>
      <c r="NXG6" s="61"/>
      <c r="NXH6" s="61"/>
      <c r="NXI6" s="61"/>
      <c r="NXJ6" s="61"/>
      <c r="NXK6" s="61"/>
      <c r="NXL6" s="61"/>
      <c r="NXM6" s="61"/>
      <c r="NXN6" s="61"/>
      <c r="NXO6" s="61"/>
      <c r="NXP6" s="61"/>
      <c r="NXQ6" s="61"/>
      <c r="NXR6" s="61"/>
      <c r="NXS6" s="61"/>
      <c r="NXT6" s="61"/>
      <c r="NXU6" s="61"/>
      <c r="NXV6" s="61"/>
      <c r="NXW6" s="61"/>
      <c r="NXX6" s="61"/>
      <c r="NXY6" s="61"/>
      <c r="NXZ6" s="61"/>
      <c r="NYA6" s="61"/>
      <c r="NYB6" s="61"/>
      <c r="NYC6" s="61"/>
      <c r="NYD6" s="61"/>
      <c r="NYE6" s="61"/>
      <c r="NYF6" s="61"/>
      <c r="NYG6" s="61"/>
      <c r="NYH6" s="61"/>
      <c r="NYI6" s="61"/>
      <c r="NYJ6" s="61"/>
      <c r="NYK6" s="61"/>
      <c r="NYL6" s="61"/>
      <c r="NYM6" s="61"/>
      <c r="NYN6" s="61"/>
      <c r="NYO6" s="61"/>
      <c r="NYP6" s="61"/>
      <c r="NYQ6" s="61"/>
      <c r="NYR6" s="61"/>
      <c r="NYS6" s="61"/>
      <c r="NYT6" s="61"/>
      <c r="NYU6" s="61"/>
      <c r="NYV6" s="61"/>
      <c r="NYW6" s="61"/>
      <c r="NYX6" s="61"/>
      <c r="NYY6" s="61"/>
      <c r="NYZ6" s="61"/>
      <c r="NZA6" s="61"/>
      <c r="NZB6" s="61"/>
      <c r="NZC6" s="61"/>
      <c r="NZD6" s="61"/>
      <c r="NZE6" s="61"/>
      <c r="NZF6" s="61"/>
      <c r="NZG6" s="61"/>
      <c r="NZH6" s="61"/>
      <c r="NZI6" s="61"/>
      <c r="NZJ6" s="61"/>
      <c r="NZK6" s="61"/>
      <c r="NZL6" s="61"/>
      <c r="NZM6" s="61"/>
      <c r="NZN6" s="61"/>
      <c r="NZO6" s="61"/>
      <c r="NZP6" s="61"/>
      <c r="NZQ6" s="61"/>
      <c r="NZR6" s="61"/>
      <c r="NZS6" s="61"/>
      <c r="NZT6" s="61"/>
      <c r="NZU6" s="61"/>
      <c r="NZV6" s="61"/>
      <c r="NZW6" s="61"/>
      <c r="NZX6" s="61"/>
      <c r="NZY6" s="61"/>
      <c r="NZZ6" s="61"/>
      <c r="OAA6" s="61"/>
      <c r="OAB6" s="61"/>
      <c r="OAC6" s="61"/>
      <c r="OAD6" s="61"/>
      <c r="OAE6" s="61"/>
      <c r="OAF6" s="61"/>
      <c r="OAG6" s="61"/>
      <c r="OAH6" s="61"/>
      <c r="OAI6" s="61"/>
      <c r="OAJ6" s="61"/>
      <c r="OAK6" s="61"/>
      <c r="OAL6" s="61"/>
      <c r="OAM6" s="61"/>
      <c r="OAN6" s="61"/>
      <c r="OAO6" s="61"/>
      <c r="OAP6" s="61"/>
      <c r="OAQ6" s="61"/>
      <c r="OAR6" s="61"/>
      <c r="OAS6" s="61"/>
      <c r="OAT6" s="61"/>
      <c r="OAU6" s="61"/>
      <c r="OAV6" s="61"/>
      <c r="OAW6" s="61"/>
      <c r="OAX6" s="61"/>
      <c r="OAY6" s="61"/>
      <c r="OAZ6" s="61"/>
      <c r="OBA6" s="61"/>
      <c r="OBB6" s="61"/>
      <c r="OBC6" s="61"/>
      <c r="OBD6" s="61"/>
      <c r="OBE6" s="61"/>
      <c r="OBF6" s="61"/>
      <c r="OBG6" s="61"/>
      <c r="OBH6" s="61"/>
      <c r="OBI6" s="61"/>
      <c r="OBJ6" s="61"/>
      <c r="OBK6" s="61"/>
      <c r="OBL6" s="61"/>
      <c r="OBM6" s="61"/>
      <c r="OBN6" s="61"/>
      <c r="OBO6" s="61"/>
      <c r="OBP6" s="61"/>
      <c r="OBQ6" s="61"/>
      <c r="OBR6" s="61"/>
      <c r="OBS6" s="61"/>
      <c r="OBT6" s="61"/>
      <c r="OBU6" s="61"/>
      <c r="OBV6" s="61"/>
      <c r="OBW6" s="61"/>
      <c r="OBX6" s="61"/>
      <c r="OBY6" s="61"/>
      <c r="OBZ6" s="61"/>
      <c r="OCA6" s="61"/>
      <c r="OCB6" s="61"/>
      <c r="OCC6" s="61"/>
      <c r="OCD6" s="61"/>
      <c r="OCE6" s="61"/>
      <c r="OCF6" s="61"/>
      <c r="OCG6" s="61"/>
      <c r="OCH6" s="61"/>
      <c r="OCI6" s="61"/>
      <c r="OCJ6" s="61"/>
      <c r="OCK6" s="61"/>
      <c r="OCL6" s="61"/>
      <c r="OCM6" s="61"/>
      <c r="OCN6" s="61"/>
      <c r="OCO6" s="61"/>
      <c r="OCP6" s="61"/>
      <c r="OCQ6" s="61"/>
      <c r="OCR6" s="61"/>
      <c r="OCS6" s="61"/>
      <c r="OCT6" s="61"/>
      <c r="OCU6" s="61"/>
      <c r="OCV6" s="61"/>
      <c r="OCW6" s="61"/>
      <c r="OCX6" s="61"/>
      <c r="OCY6" s="61"/>
      <c r="OCZ6" s="61"/>
      <c r="ODA6" s="61"/>
      <c r="ODB6" s="61"/>
      <c r="ODC6" s="61"/>
      <c r="ODD6" s="61"/>
      <c r="ODE6" s="61"/>
      <c r="ODF6" s="61"/>
      <c r="ODG6" s="61"/>
      <c r="ODH6" s="61"/>
      <c r="ODI6" s="61"/>
      <c r="ODJ6" s="61"/>
      <c r="ODK6" s="61"/>
      <c r="ODL6" s="61"/>
      <c r="ODM6" s="61"/>
      <c r="ODN6" s="61"/>
      <c r="ODO6" s="61"/>
      <c r="ODP6" s="61"/>
      <c r="ODQ6" s="61"/>
      <c r="ODR6" s="61"/>
      <c r="ODS6" s="61"/>
      <c r="ODT6" s="61"/>
      <c r="ODU6" s="61"/>
      <c r="ODV6" s="61"/>
      <c r="ODW6" s="61"/>
      <c r="ODX6" s="61"/>
      <c r="ODY6" s="61"/>
      <c r="ODZ6" s="61"/>
      <c r="OEA6" s="61"/>
      <c r="OEB6" s="61"/>
      <c r="OEC6" s="61"/>
      <c r="OED6" s="61"/>
      <c r="OEE6" s="61"/>
      <c r="OEF6" s="61"/>
      <c r="OEG6" s="61"/>
      <c r="OEH6" s="61"/>
      <c r="OEI6" s="61"/>
      <c r="OEJ6" s="61"/>
      <c r="OEK6" s="61"/>
      <c r="OEL6" s="61"/>
      <c r="OEM6" s="61"/>
      <c r="OEN6" s="61"/>
      <c r="OEO6" s="61"/>
      <c r="OEP6" s="61"/>
      <c r="OEQ6" s="61"/>
      <c r="OER6" s="61"/>
      <c r="OES6" s="61"/>
      <c r="OET6" s="61"/>
      <c r="OEU6" s="61"/>
      <c r="OEV6" s="61"/>
      <c r="OEW6" s="61"/>
      <c r="OEX6" s="61"/>
      <c r="OEY6" s="61"/>
      <c r="OEZ6" s="61"/>
      <c r="OFA6" s="61"/>
      <c r="OFB6" s="61"/>
      <c r="OFC6" s="61"/>
      <c r="OFD6" s="61"/>
      <c r="OFE6" s="61"/>
      <c r="OFF6" s="61"/>
      <c r="OFG6" s="61"/>
      <c r="OFH6" s="61"/>
      <c r="OFI6" s="61"/>
      <c r="OFJ6" s="61"/>
      <c r="OFK6" s="61"/>
      <c r="OFL6" s="61"/>
      <c r="OFM6" s="61"/>
      <c r="OFN6" s="61"/>
      <c r="OFO6" s="61"/>
      <c r="OFP6" s="61"/>
      <c r="OFQ6" s="61"/>
      <c r="OFR6" s="61"/>
      <c r="OFS6" s="61"/>
      <c r="OFT6" s="61"/>
      <c r="OFU6" s="61"/>
      <c r="OFV6" s="61"/>
      <c r="OFW6" s="61"/>
      <c r="OFX6" s="61"/>
      <c r="OFY6" s="61"/>
      <c r="OFZ6" s="61"/>
      <c r="OGA6" s="61"/>
      <c r="OGB6" s="61"/>
      <c r="OGC6" s="61"/>
      <c r="OGD6" s="61"/>
      <c r="OGE6" s="61"/>
      <c r="OGF6" s="61"/>
      <c r="OGG6" s="61"/>
      <c r="OGH6" s="61"/>
      <c r="OGI6" s="61"/>
      <c r="OGJ6" s="61"/>
      <c r="OGK6" s="61"/>
      <c r="OGL6" s="61"/>
      <c r="OGM6" s="61"/>
      <c r="OGN6" s="61"/>
      <c r="OGO6" s="61"/>
      <c r="OGP6" s="61"/>
      <c r="OGQ6" s="61"/>
      <c r="OGR6" s="61"/>
      <c r="OGS6" s="61"/>
      <c r="OGT6" s="61"/>
      <c r="OGU6" s="61"/>
      <c r="OGV6" s="61"/>
      <c r="OGW6" s="61"/>
      <c r="OGX6" s="61"/>
      <c r="OGY6" s="61"/>
      <c r="OGZ6" s="61"/>
      <c r="OHA6" s="61"/>
      <c r="OHB6" s="61"/>
      <c r="OHC6" s="61"/>
      <c r="OHD6" s="61"/>
      <c r="OHE6" s="61"/>
      <c r="OHF6" s="61"/>
      <c r="OHG6" s="61"/>
      <c r="OHH6" s="61"/>
      <c r="OHI6" s="61"/>
      <c r="OHJ6" s="61"/>
      <c r="OHK6" s="61"/>
      <c r="OHL6" s="61"/>
      <c r="OHM6" s="61"/>
      <c r="OHN6" s="61"/>
      <c r="OHO6" s="61"/>
      <c r="OHP6" s="61"/>
      <c r="OHQ6" s="61"/>
      <c r="OHR6" s="61"/>
      <c r="OHS6" s="61"/>
      <c r="OHT6" s="61"/>
      <c r="OHU6" s="61"/>
      <c r="OHV6" s="61"/>
      <c r="OHW6" s="61"/>
      <c r="OHX6" s="61"/>
      <c r="OHY6" s="61"/>
      <c r="OHZ6" s="61"/>
      <c r="OIA6" s="61"/>
      <c r="OIB6" s="61"/>
      <c r="OIC6" s="61"/>
      <c r="OID6" s="61"/>
      <c r="OIE6" s="61"/>
      <c r="OIF6" s="61"/>
      <c r="OIG6" s="61"/>
      <c r="OIH6" s="61"/>
      <c r="OII6" s="61"/>
      <c r="OIJ6" s="61"/>
      <c r="OIK6" s="61"/>
      <c r="OIL6" s="61"/>
      <c r="OIM6" s="61"/>
      <c r="OIN6" s="61"/>
      <c r="OIO6" s="61"/>
      <c r="OIP6" s="61"/>
      <c r="OIQ6" s="61"/>
      <c r="OIR6" s="61"/>
      <c r="OIS6" s="61"/>
      <c r="OIT6" s="61"/>
      <c r="OIU6" s="61"/>
      <c r="OIV6" s="61"/>
      <c r="OIW6" s="61"/>
      <c r="OIX6" s="61"/>
      <c r="OIY6" s="61"/>
      <c r="OIZ6" s="61"/>
      <c r="OJA6" s="61"/>
      <c r="OJB6" s="61"/>
      <c r="OJC6" s="61"/>
      <c r="OJD6" s="61"/>
      <c r="OJE6" s="61"/>
      <c r="OJF6" s="61"/>
      <c r="OJG6" s="61"/>
      <c r="OJH6" s="61"/>
      <c r="OJI6" s="61"/>
      <c r="OJJ6" s="61"/>
      <c r="OJK6" s="61"/>
      <c r="OJL6" s="61"/>
      <c r="OJM6" s="61"/>
      <c r="OJN6" s="61"/>
      <c r="OJO6" s="61"/>
      <c r="OJP6" s="61"/>
      <c r="OJQ6" s="61"/>
      <c r="OJR6" s="61"/>
      <c r="OJS6" s="61"/>
      <c r="OJT6" s="61"/>
      <c r="OJU6" s="61"/>
      <c r="OJV6" s="61"/>
      <c r="OJW6" s="61"/>
      <c r="OJX6" s="61"/>
      <c r="OJY6" s="61"/>
      <c r="OJZ6" s="61"/>
      <c r="OKA6" s="61"/>
      <c r="OKB6" s="61"/>
      <c r="OKC6" s="61"/>
      <c r="OKD6" s="61"/>
      <c r="OKE6" s="61"/>
      <c r="OKF6" s="61"/>
      <c r="OKG6" s="61"/>
      <c r="OKH6" s="61"/>
      <c r="OKI6" s="61"/>
      <c r="OKJ6" s="61"/>
      <c r="OKK6" s="61"/>
      <c r="OKL6" s="61"/>
      <c r="OKM6" s="61"/>
      <c r="OKN6" s="61"/>
      <c r="OKO6" s="61"/>
      <c r="OKP6" s="61"/>
      <c r="OKQ6" s="61"/>
      <c r="OKR6" s="61"/>
      <c r="OKS6" s="61"/>
      <c r="OKT6" s="61"/>
      <c r="OKU6" s="61"/>
      <c r="OKV6" s="61"/>
      <c r="OKW6" s="61"/>
      <c r="OKX6" s="61"/>
      <c r="OKY6" s="61"/>
      <c r="OKZ6" s="61"/>
      <c r="OLA6" s="61"/>
      <c r="OLB6" s="61"/>
      <c r="OLC6" s="61"/>
      <c r="OLD6" s="61"/>
      <c r="OLE6" s="61"/>
      <c r="OLF6" s="61"/>
      <c r="OLG6" s="61"/>
      <c r="OLH6" s="61"/>
      <c r="OLI6" s="61"/>
      <c r="OLJ6" s="61"/>
      <c r="OLK6" s="61"/>
      <c r="OLL6" s="61"/>
      <c r="OLM6" s="61"/>
      <c r="OLN6" s="61"/>
      <c r="OLO6" s="61"/>
      <c r="OLP6" s="61"/>
      <c r="OLQ6" s="61"/>
      <c r="OLR6" s="61"/>
      <c r="OLS6" s="61"/>
      <c r="OLT6" s="61"/>
      <c r="OLU6" s="61"/>
      <c r="OLV6" s="61"/>
      <c r="OLW6" s="61"/>
      <c r="OLX6" s="61"/>
      <c r="OLY6" s="61"/>
      <c r="OLZ6" s="61"/>
      <c r="OMA6" s="61"/>
      <c r="OMB6" s="61"/>
      <c r="OMC6" s="61"/>
      <c r="OMD6" s="61"/>
      <c r="OME6" s="61"/>
      <c r="OMF6" s="61"/>
      <c r="OMG6" s="61"/>
      <c r="OMH6" s="61"/>
      <c r="OMI6" s="61"/>
      <c r="OMJ6" s="61"/>
      <c r="OMK6" s="61"/>
      <c r="OML6" s="61"/>
      <c r="OMM6" s="61"/>
      <c r="OMN6" s="61"/>
      <c r="OMO6" s="61"/>
      <c r="OMP6" s="61"/>
      <c r="OMQ6" s="61"/>
      <c r="OMR6" s="61"/>
      <c r="OMS6" s="61"/>
      <c r="OMT6" s="61"/>
      <c r="OMU6" s="61"/>
      <c r="OMV6" s="61"/>
      <c r="OMW6" s="61"/>
      <c r="OMX6" s="61"/>
      <c r="OMY6" s="61"/>
      <c r="OMZ6" s="61"/>
      <c r="ONA6" s="61"/>
      <c r="ONB6" s="61"/>
      <c r="ONC6" s="61"/>
      <c r="OND6" s="61"/>
      <c r="ONE6" s="61"/>
      <c r="ONF6" s="61"/>
      <c r="ONG6" s="61"/>
      <c r="ONH6" s="61"/>
      <c r="ONI6" s="61"/>
      <c r="ONJ6" s="61"/>
      <c r="ONK6" s="61"/>
      <c r="ONL6" s="61"/>
      <c r="ONM6" s="61"/>
      <c r="ONN6" s="61"/>
      <c r="ONO6" s="61"/>
      <c r="ONP6" s="61"/>
      <c r="ONQ6" s="61"/>
      <c r="ONR6" s="61"/>
      <c r="ONS6" s="61"/>
      <c r="ONT6" s="61"/>
      <c r="ONU6" s="61"/>
      <c r="ONV6" s="61"/>
      <c r="ONW6" s="61"/>
      <c r="ONX6" s="61"/>
      <c r="ONY6" s="61"/>
      <c r="ONZ6" s="61"/>
      <c r="OOA6" s="61"/>
      <c r="OOB6" s="61"/>
      <c r="OOC6" s="61"/>
      <c r="OOD6" s="61"/>
      <c r="OOE6" s="61"/>
      <c r="OOF6" s="61"/>
      <c r="OOG6" s="61"/>
      <c r="OOH6" s="61"/>
      <c r="OOI6" s="61"/>
      <c r="OOJ6" s="61"/>
      <c r="OOK6" s="61"/>
      <c r="OOL6" s="61"/>
      <c r="OOM6" s="61"/>
      <c r="OON6" s="61"/>
      <c r="OOO6" s="61"/>
      <c r="OOP6" s="61"/>
      <c r="OOQ6" s="61"/>
      <c r="OOR6" s="61"/>
      <c r="OOS6" s="61"/>
      <c r="OOT6" s="61"/>
      <c r="OOU6" s="61"/>
      <c r="OOV6" s="61"/>
      <c r="OOW6" s="61"/>
      <c r="OOX6" s="61"/>
      <c r="OOY6" s="61"/>
      <c r="OOZ6" s="61"/>
      <c r="OPA6" s="61"/>
      <c r="OPB6" s="61"/>
      <c r="OPC6" s="61"/>
      <c r="OPD6" s="61"/>
      <c r="OPE6" s="61"/>
      <c r="OPF6" s="61"/>
      <c r="OPG6" s="61"/>
      <c r="OPH6" s="61"/>
      <c r="OPI6" s="61"/>
      <c r="OPJ6" s="61"/>
      <c r="OPK6" s="61"/>
      <c r="OPL6" s="61"/>
      <c r="OPM6" s="61"/>
      <c r="OPN6" s="61"/>
      <c r="OPO6" s="61"/>
      <c r="OPP6" s="61"/>
      <c r="OPQ6" s="61"/>
      <c r="OPR6" s="61"/>
      <c r="OPS6" s="61"/>
      <c r="OPT6" s="61"/>
      <c r="OPU6" s="61"/>
      <c r="OPV6" s="61"/>
      <c r="OPW6" s="61"/>
      <c r="OPX6" s="61"/>
      <c r="OPY6" s="61"/>
      <c r="OPZ6" s="61"/>
      <c r="OQA6" s="61"/>
      <c r="OQB6" s="61"/>
      <c r="OQC6" s="61"/>
      <c r="OQD6" s="61"/>
      <c r="OQE6" s="61"/>
      <c r="OQF6" s="61"/>
      <c r="OQG6" s="61"/>
      <c r="OQH6" s="61"/>
      <c r="OQI6" s="61"/>
      <c r="OQJ6" s="61"/>
      <c r="OQK6" s="61"/>
      <c r="OQL6" s="61"/>
      <c r="OQM6" s="61"/>
      <c r="OQN6" s="61"/>
      <c r="OQO6" s="61"/>
      <c r="OQP6" s="61"/>
      <c r="OQQ6" s="61"/>
      <c r="OQR6" s="61"/>
      <c r="OQS6" s="61"/>
      <c r="OQT6" s="61"/>
      <c r="OQU6" s="61"/>
      <c r="OQV6" s="61"/>
      <c r="OQW6" s="61"/>
      <c r="OQX6" s="61"/>
      <c r="OQY6" s="61"/>
      <c r="OQZ6" s="61"/>
      <c r="ORA6" s="61"/>
      <c r="ORB6" s="61"/>
      <c r="ORC6" s="61"/>
      <c r="ORD6" s="61"/>
      <c r="ORE6" s="61"/>
      <c r="ORF6" s="61"/>
      <c r="ORG6" s="61"/>
      <c r="ORH6" s="61"/>
      <c r="ORI6" s="61"/>
      <c r="ORJ6" s="61"/>
      <c r="ORK6" s="61"/>
      <c r="ORL6" s="61"/>
      <c r="ORM6" s="61"/>
      <c r="ORN6" s="61"/>
      <c r="ORO6" s="61"/>
      <c r="ORP6" s="61"/>
      <c r="ORQ6" s="61"/>
      <c r="ORR6" s="61"/>
      <c r="ORS6" s="61"/>
      <c r="ORT6" s="61"/>
      <c r="ORU6" s="61"/>
      <c r="ORV6" s="61"/>
      <c r="ORW6" s="61"/>
      <c r="ORX6" s="61"/>
      <c r="ORY6" s="61"/>
      <c r="ORZ6" s="61"/>
      <c r="OSA6" s="61"/>
      <c r="OSB6" s="61"/>
      <c r="OSC6" s="61"/>
      <c r="OSD6" s="61"/>
      <c r="OSE6" s="61"/>
      <c r="OSF6" s="61"/>
      <c r="OSG6" s="61"/>
      <c r="OSH6" s="61"/>
      <c r="OSI6" s="61"/>
      <c r="OSJ6" s="61"/>
      <c r="OSK6" s="61"/>
      <c r="OSL6" s="61"/>
      <c r="OSM6" s="61"/>
      <c r="OSN6" s="61"/>
      <c r="OSO6" s="61"/>
      <c r="OSP6" s="61"/>
      <c r="OSQ6" s="61"/>
      <c r="OSR6" s="61"/>
      <c r="OSS6" s="61"/>
      <c r="OST6" s="61"/>
      <c r="OSU6" s="61"/>
      <c r="OSV6" s="61"/>
      <c r="OSW6" s="61"/>
      <c r="OSX6" s="61"/>
      <c r="OSY6" s="61"/>
      <c r="OSZ6" s="61"/>
      <c r="OTA6" s="61"/>
      <c r="OTB6" s="61"/>
      <c r="OTC6" s="61"/>
      <c r="OTD6" s="61"/>
      <c r="OTE6" s="61"/>
      <c r="OTF6" s="61"/>
      <c r="OTG6" s="61"/>
      <c r="OTH6" s="61"/>
      <c r="OTI6" s="61"/>
      <c r="OTJ6" s="61"/>
      <c r="OTK6" s="61"/>
      <c r="OTL6" s="61"/>
      <c r="OTM6" s="61"/>
      <c r="OTN6" s="61"/>
      <c r="OTO6" s="61"/>
      <c r="OTP6" s="61"/>
      <c r="OTQ6" s="61"/>
      <c r="OTR6" s="61"/>
      <c r="OTS6" s="61"/>
      <c r="OTT6" s="61"/>
      <c r="OTU6" s="61"/>
      <c r="OTV6" s="61"/>
      <c r="OTW6" s="61"/>
      <c r="OTX6" s="61"/>
      <c r="OTY6" s="61"/>
      <c r="OTZ6" s="61"/>
      <c r="OUA6" s="61"/>
      <c r="OUB6" s="61"/>
      <c r="OUC6" s="61"/>
      <c r="OUD6" s="61"/>
      <c r="OUE6" s="61"/>
      <c r="OUF6" s="61"/>
      <c r="OUG6" s="61"/>
      <c r="OUH6" s="61"/>
      <c r="OUI6" s="61"/>
      <c r="OUJ6" s="61"/>
      <c r="OUK6" s="61"/>
      <c r="OUL6" s="61"/>
      <c r="OUM6" s="61"/>
      <c r="OUN6" s="61"/>
      <c r="OUO6" s="61"/>
      <c r="OUP6" s="61"/>
      <c r="OUQ6" s="61"/>
      <c r="OUR6" s="61"/>
      <c r="OUS6" s="61"/>
      <c r="OUT6" s="61"/>
      <c r="OUU6" s="61"/>
      <c r="OUV6" s="61"/>
      <c r="OUW6" s="61"/>
      <c r="OUX6" s="61"/>
      <c r="OUY6" s="61"/>
      <c r="OUZ6" s="61"/>
      <c r="OVA6" s="61"/>
      <c r="OVB6" s="61"/>
      <c r="OVC6" s="61"/>
      <c r="OVD6" s="61"/>
      <c r="OVE6" s="61"/>
      <c r="OVF6" s="61"/>
      <c r="OVG6" s="61"/>
      <c r="OVH6" s="61"/>
      <c r="OVI6" s="61"/>
      <c r="OVJ6" s="61"/>
      <c r="OVK6" s="61"/>
      <c r="OVL6" s="61"/>
      <c r="OVM6" s="61"/>
      <c r="OVN6" s="61"/>
      <c r="OVO6" s="61"/>
      <c r="OVP6" s="61"/>
      <c r="OVQ6" s="61"/>
      <c r="OVR6" s="61"/>
      <c r="OVS6" s="61"/>
      <c r="OVT6" s="61"/>
      <c r="OVU6" s="61"/>
      <c r="OVV6" s="61"/>
      <c r="OVW6" s="61"/>
      <c r="OVX6" s="61"/>
      <c r="OVY6" s="61"/>
      <c r="OVZ6" s="61"/>
      <c r="OWA6" s="61"/>
      <c r="OWB6" s="61"/>
      <c r="OWC6" s="61"/>
      <c r="OWD6" s="61"/>
      <c r="OWE6" s="61"/>
      <c r="OWF6" s="61"/>
      <c r="OWG6" s="61"/>
      <c r="OWH6" s="61"/>
      <c r="OWI6" s="61"/>
      <c r="OWJ6" s="61"/>
      <c r="OWK6" s="61"/>
      <c r="OWL6" s="61"/>
      <c r="OWM6" s="61"/>
      <c r="OWN6" s="61"/>
      <c r="OWO6" s="61"/>
      <c r="OWP6" s="61"/>
      <c r="OWQ6" s="61"/>
      <c r="OWR6" s="61"/>
      <c r="OWS6" s="61"/>
      <c r="OWT6" s="61"/>
      <c r="OWU6" s="61"/>
      <c r="OWV6" s="61"/>
      <c r="OWW6" s="61"/>
      <c r="OWX6" s="61"/>
      <c r="OWY6" s="61"/>
      <c r="OWZ6" s="61"/>
      <c r="OXA6" s="61"/>
      <c r="OXB6" s="61"/>
      <c r="OXC6" s="61"/>
      <c r="OXD6" s="61"/>
      <c r="OXE6" s="61"/>
      <c r="OXF6" s="61"/>
      <c r="OXG6" s="61"/>
      <c r="OXH6" s="61"/>
      <c r="OXI6" s="61"/>
      <c r="OXJ6" s="61"/>
      <c r="OXK6" s="61"/>
      <c r="OXL6" s="61"/>
      <c r="OXM6" s="61"/>
      <c r="OXN6" s="61"/>
      <c r="OXO6" s="61"/>
      <c r="OXP6" s="61"/>
      <c r="OXQ6" s="61"/>
      <c r="OXR6" s="61"/>
      <c r="OXS6" s="61"/>
      <c r="OXT6" s="61"/>
      <c r="OXU6" s="61"/>
      <c r="OXV6" s="61"/>
      <c r="OXW6" s="61"/>
      <c r="OXX6" s="61"/>
      <c r="OXY6" s="61"/>
      <c r="OXZ6" s="61"/>
      <c r="OYA6" s="61"/>
      <c r="OYB6" s="61"/>
    </row>
    <row r="7" spans="1:10792" x14ac:dyDescent="0.3">
      <c r="C7" s="1"/>
      <c r="D7" s="1"/>
    </row>
  </sheetData>
  <printOptions horizontalCentered="1"/>
  <pageMargins left="0" right="0" top="0.47244094488188981" bottom="0" header="0.15748031496062992" footer="0.15748031496062992"/>
  <pageSetup paperSize="9" firstPageNumber="9" fitToHeight="4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3"/>
  </sheetPr>
  <dimension ref="A1:E15"/>
  <sheetViews>
    <sheetView view="pageBreakPreview" zoomScaleSheetLayoutView="100" workbookViewId="0">
      <selection activeCell="A13" sqref="A1:XFD13"/>
    </sheetView>
  </sheetViews>
  <sheetFormatPr baseColWidth="10" defaultColWidth="11.3984375" defaultRowHeight="15.5" outlineLevelCol="1" x14ac:dyDescent="0.3"/>
  <cols>
    <col min="1" max="1" width="6.09765625" style="25" customWidth="1"/>
    <col min="2" max="2" width="64.09765625" style="26" customWidth="1"/>
    <col min="3" max="3" width="8.296875" style="2" customWidth="1"/>
    <col min="4" max="4" width="19.59765625" style="2" hidden="1" customWidth="1" outlineLevel="1"/>
    <col min="5" max="5" width="23.3984375" style="2" customWidth="1" collapsed="1"/>
    <col min="6" max="16384" width="11.3984375" style="2"/>
  </cols>
  <sheetData>
    <row r="1" spans="1:5" s="12" customFormat="1" ht="25.5" customHeight="1" x14ac:dyDescent="0.3">
      <c r="A1" s="62">
        <v>97</v>
      </c>
      <c r="B1" s="52" t="s">
        <v>142</v>
      </c>
      <c r="C1" s="13">
        <v>0</v>
      </c>
      <c r="D1" s="9">
        <v>50000000</v>
      </c>
      <c r="E1" s="10">
        <f>D1*C1</f>
        <v>0</v>
      </c>
    </row>
    <row r="2" spans="1:5" s="12" customFormat="1" ht="25.5" customHeight="1" x14ac:dyDescent="0.3">
      <c r="A2" s="62">
        <v>98</v>
      </c>
      <c r="B2" s="52" t="s">
        <v>143</v>
      </c>
      <c r="C2" s="13">
        <v>13</v>
      </c>
      <c r="D2" s="9">
        <v>35000000</v>
      </c>
      <c r="E2" s="10">
        <f t="shared" ref="E2:E13" si="0">D2*C2</f>
        <v>455000000</v>
      </c>
    </row>
    <row r="3" spans="1:5" s="12" customFormat="1" ht="25.5" customHeight="1" x14ac:dyDescent="0.3">
      <c r="A3" s="62">
        <v>99</v>
      </c>
      <c r="B3" s="52" t="s">
        <v>144</v>
      </c>
      <c r="C3" s="13">
        <v>0</v>
      </c>
      <c r="D3" s="9"/>
      <c r="E3" s="10">
        <f t="shared" si="0"/>
        <v>0</v>
      </c>
    </row>
    <row r="4" spans="1:5" s="12" customFormat="1" ht="31.5" customHeight="1" x14ac:dyDescent="0.3">
      <c r="A4" s="62">
        <v>100</v>
      </c>
      <c r="B4" s="52" t="s">
        <v>145</v>
      </c>
      <c r="C4" s="13"/>
      <c r="D4" s="9"/>
      <c r="E4" s="10">
        <f t="shared" si="0"/>
        <v>0</v>
      </c>
    </row>
    <row r="5" spans="1:5" s="12" customFormat="1" ht="31.5" customHeight="1" x14ac:dyDescent="0.3">
      <c r="A5" s="62">
        <v>100</v>
      </c>
      <c r="B5" s="52" t="s">
        <v>146</v>
      </c>
      <c r="C5" s="13">
        <v>4</v>
      </c>
      <c r="D5" s="9">
        <v>20000000</v>
      </c>
      <c r="E5" s="10">
        <f t="shared" si="0"/>
        <v>80000000</v>
      </c>
    </row>
    <row r="6" spans="1:5" s="12" customFormat="1" ht="31.5" customHeight="1" x14ac:dyDescent="0.3">
      <c r="A6" s="62">
        <v>100</v>
      </c>
      <c r="B6" s="52" t="s">
        <v>147</v>
      </c>
      <c r="C6" s="13">
        <v>0</v>
      </c>
      <c r="D6" s="9">
        <v>120000000</v>
      </c>
      <c r="E6" s="10">
        <f t="shared" si="0"/>
        <v>0</v>
      </c>
    </row>
    <row r="7" spans="1:5" s="12" customFormat="1" ht="31.5" customHeight="1" x14ac:dyDescent="0.3">
      <c r="A7" s="62">
        <v>100</v>
      </c>
      <c r="B7" s="52" t="s">
        <v>148</v>
      </c>
      <c r="C7" s="13">
        <v>0</v>
      </c>
      <c r="D7" s="9">
        <v>120000000</v>
      </c>
      <c r="E7" s="10">
        <f t="shared" si="0"/>
        <v>0</v>
      </c>
    </row>
    <row r="8" spans="1:5" s="12" customFormat="1" ht="31.5" customHeight="1" x14ac:dyDescent="0.3">
      <c r="A8" s="62">
        <v>100</v>
      </c>
      <c r="B8" s="52" t="s">
        <v>149</v>
      </c>
      <c r="C8" s="13">
        <v>1</v>
      </c>
      <c r="D8" s="9">
        <v>120000000</v>
      </c>
      <c r="E8" s="10">
        <f t="shared" si="0"/>
        <v>120000000</v>
      </c>
    </row>
    <row r="9" spans="1:5" s="12" customFormat="1" ht="31.5" customHeight="1" x14ac:dyDescent="0.3">
      <c r="A9" s="62">
        <v>100</v>
      </c>
      <c r="B9" s="52" t="s">
        <v>150</v>
      </c>
      <c r="C9" s="13">
        <v>1</v>
      </c>
      <c r="D9" s="9">
        <v>50000000</v>
      </c>
      <c r="E9" s="10">
        <f t="shared" si="0"/>
        <v>50000000</v>
      </c>
    </row>
    <row r="10" spans="1:5" s="12" customFormat="1" ht="31.5" customHeight="1" x14ac:dyDescent="0.3">
      <c r="A10" s="62">
        <v>100</v>
      </c>
      <c r="B10" s="52" t="s">
        <v>151</v>
      </c>
      <c r="C10" s="13">
        <v>0</v>
      </c>
      <c r="D10" s="9">
        <v>35000000</v>
      </c>
      <c r="E10" s="10">
        <f t="shared" si="0"/>
        <v>0</v>
      </c>
    </row>
    <row r="11" spans="1:5" s="12" customFormat="1" ht="31.5" customHeight="1" x14ac:dyDescent="0.3">
      <c r="A11" s="62">
        <v>100</v>
      </c>
      <c r="B11" s="52" t="s">
        <v>152</v>
      </c>
      <c r="C11" s="13">
        <v>0</v>
      </c>
      <c r="D11" s="9">
        <v>40000000</v>
      </c>
      <c r="E11" s="10">
        <f t="shared" si="0"/>
        <v>0</v>
      </c>
    </row>
    <row r="12" spans="1:5" s="12" customFormat="1" ht="31.5" customHeight="1" x14ac:dyDescent="0.3">
      <c r="A12" s="62">
        <v>100</v>
      </c>
      <c r="B12" s="52" t="s">
        <v>153</v>
      </c>
      <c r="C12" s="13">
        <v>1</v>
      </c>
      <c r="D12" s="9">
        <v>15470000</v>
      </c>
      <c r="E12" s="10">
        <f t="shared" si="0"/>
        <v>15470000</v>
      </c>
    </row>
    <row r="13" spans="1:5" s="12" customFormat="1" ht="33" customHeight="1" x14ac:dyDescent="0.3">
      <c r="A13" s="62">
        <v>101</v>
      </c>
      <c r="B13" s="52" t="s">
        <v>154</v>
      </c>
      <c r="C13" s="13">
        <v>15</v>
      </c>
      <c r="D13" s="9">
        <v>20000000</v>
      </c>
      <c r="E13" s="10">
        <f t="shared" si="0"/>
        <v>300000000</v>
      </c>
    </row>
    <row r="15" spans="1:5" s="65" customFormat="1" ht="14" x14ac:dyDescent="0.3">
      <c r="A15" s="63"/>
      <c r="B15" s="64"/>
    </row>
  </sheetData>
  <printOptions horizontalCentered="1"/>
  <pageMargins left="7.874015748031496E-2" right="0" top="0.43307086614173229" bottom="0.27559055118110237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3"/>
  </sheetPr>
  <dimension ref="A1:E12"/>
  <sheetViews>
    <sheetView view="pageBreakPreview" zoomScaleSheetLayoutView="100" workbookViewId="0">
      <selection activeCell="A4" sqref="A1:XFD4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48.69921875" style="26" customWidth="1"/>
    <col min="3" max="3" width="8.296875" style="2" customWidth="1"/>
    <col min="4" max="4" width="17.296875" style="2" hidden="1" customWidth="1" outlineLevel="1"/>
    <col min="5" max="5" width="20.296875" style="2" bestFit="1" customWidth="1" collapsed="1"/>
    <col min="6" max="16384" width="11.3984375" style="2"/>
  </cols>
  <sheetData>
    <row r="1" spans="1:5" s="12" customFormat="1" ht="35.25" customHeight="1" x14ac:dyDescent="0.3">
      <c r="A1" s="48">
        <v>102</v>
      </c>
      <c r="B1" s="52" t="s">
        <v>155</v>
      </c>
      <c r="C1" s="13">
        <v>16</v>
      </c>
      <c r="D1" s="9">
        <v>300000</v>
      </c>
      <c r="E1" s="41">
        <f>C1*D1</f>
        <v>4800000</v>
      </c>
    </row>
    <row r="2" spans="1:5" s="12" customFormat="1" ht="35.25" customHeight="1" x14ac:dyDescent="0.3">
      <c r="A2" s="48">
        <v>103</v>
      </c>
      <c r="B2" s="52" t="s">
        <v>156</v>
      </c>
      <c r="C2" s="13">
        <v>52</v>
      </c>
      <c r="D2" s="9">
        <v>12000000</v>
      </c>
      <c r="E2" s="41">
        <f>C2*D2</f>
        <v>624000000</v>
      </c>
    </row>
    <row r="3" spans="1:5" s="12" customFormat="1" ht="35.25" customHeight="1" x14ac:dyDescent="0.3">
      <c r="A3" s="48">
        <v>104</v>
      </c>
      <c r="B3" s="52" t="s">
        <v>157</v>
      </c>
      <c r="C3" s="13">
        <v>0</v>
      </c>
      <c r="D3" s="9">
        <v>1500000</v>
      </c>
      <c r="E3" s="41">
        <f>C3*D3</f>
        <v>0</v>
      </c>
    </row>
    <row r="4" spans="1:5" s="12" customFormat="1" ht="35.25" customHeight="1" x14ac:dyDescent="0.3">
      <c r="A4" s="48">
        <v>105</v>
      </c>
      <c r="B4" s="52" t="s">
        <v>158</v>
      </c>
      <c r="C4" s="13">
        <v>50</v>
      </c>
      <c r="D4" s="9">
        <v>3000000</v>
      </c>
      <c r="E4" s="41">
        <f>C4*D4</f>
        <v>150000000</v>
      </c>
    </row>
    <row r="5" spans="1:5" s="65" customFormat="1" ht="34.5" customHeight="1" x14ac:dyDescent="0.3">
      <c r="A5" s="63"/>
      <c r="B5" s="64"/>
    </row>
    <row r="6" spans="1:5" ht="34.5" customHeight="1" x14ac:dyDescent="0.3"/>
    <row r="7" spans="1:5" ht="34.5" customHeight="1" x14ac:dyDescent="0.3">
      <c r="A7" s="2"/>
      <c r="B7" s="2"/>
    </row>
    <row r="8" spans="1:5" ht="34.5" customHeight="1" x14ac:dyDescent="0.3">
      <c r="A8" s="2"/>
      <c r="B8" s="2"/>
    </row>
    <row r="9" spans="1:5" ht="34.5" customHeight="1" x14ac:dyDescent="0.3">
      <c r="A9" s="2"/>
      <c r="B9" s="2"/>
    </row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3"/>
  </sheetPr>
  <dimension ref="A1:F54"/>
  <sheetViews>
    <sheetView view="pageBreakPreview" topLeftCell="A13" zoomScale="90" zoomScaleSheetLayoutView="90" workbookViewId="0">
      <selection sqref="A1:XFD30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61.59765625" style="26" bestFit="1" customWidth="1"/>
    <col min="3" max="3" width="8.296875" style="2" customWidth="1"/>
    <col min="4" max="4" width="17.296875" style="2" customWidth="1" outlineLevel="1"/>
    <col min="5" max="5" width="20.3984375" style="2" bestFit="1" customWidth="1"/>
    <col min="6" max="6" width="18.296875" style="2" bestFit="1" customWidth="1"/>
    <col min="7" max="16384" width="11.3984375" style="2"/>
  </cols>
  <sheetData>
    <row r="1" spans="1:6" s="12" customFormat="1" ht="27" customHeight="1" x14ac:dyDescent="0.3">
      <c r="A1" s="48">
        <v>106</v>
      </c>
      <c r="B1" s="66" t="s">
        <v>159</v>
      </c>
      <c r="C1" s="13" t="s">
        <v>141</v>
      </c>
      <c r="D1" s="9"/>
      <c r="E1" s="41"/>
    </row>
    <row r="2" spans="1:6" s="12" customFormat="1" ht="27" customHeight="1" x14ac:dyDescent="0.3">
      <c r="A2" s="48">
        <v>107</v>
      </c>
      <c r="B2" s="66" t="s">
        <v>160</v>
      </c>
      <c r="C2" s="13" t="s">
        <v>141</v>
      </c>
      <c r="D2" s="9"/>
      <c r="E2" s="41"/>
    </row>
    <row r="3" spans="1:6" s="12" customFormat="1" ht="27" customHeight="1" x14ac:dyDescent="0.3">
      <c r="A3" s="48">
        <v>108</v>
      </c>
      <c r="B3" s="66" t="s">
        <v>161</v>
      </c>
      <c r="C3" s="13" t="s">
        <v>141</v>
      </c>
      <c r="D3" s="9"/>
      <c r="E3" s="41"/>
    </row>
    <row r="4" spans="1:6" s="12" customFormat="1" ht="27" customHeight="1" x14ac:dyDescent="0.3">
      <c r="A4" s="48">
        <v>109</v>
      </c>
      <c r="B4" s="66" t="s">
        <v>162</v>
      </c>
      <c r="C4" s="13" t="s">
        <v>141</v>
      </c>
      <c r="D4" s="9"/>
      <c r="E4" s="41"/>
    </row>
    <row r="5" spans="1:6" s="12" customFormat="1" ht="27" customHeight="1" x14ac:dyDescent="0.3">
      <c r="A5" s="48">
        <v>110</v>
      </c>
      <c r="B5" s="66" t="s">
        <v>163</v>
      </c>
      <c r="C5" s="13" t="s">
        <v>141</v>
      </c>
      <c r="D5" s="9"/>
      <c r="E5" s="41"/>
    </row>
    <row r="6" spans="1:6" s="12" customFormat="1" ht="27" customHeight="1" x14ac:dyDescent="0.3">
      <c r="A6" s="48">
        <v>111</v>
      </c>
      <c r="B6" s="66" t="s">
        <v>164</v>
      </c>
      <c r="C6" s="13" t="s">
        <v>141</v>
      </c>
      <c r="D6" s="9"/>
      <c r="E6" s="41"/>
    </row>
    <row r="7" spans="1:6" s="12" customFormat="1" ht="27" customHeight="1" x14ac:dyDescent="0.3">
      <c r="A7" s="48">
        <v>112</v>
      </c>
      <c r="B7" s="66" t="s">
        <v>165</v>
      </c>
      <c r="C7" s="13" t="s">
        <v>141</v>
      </c>
      <c r="D7" s="9"/>
      <c r="E7" s="41"/>
    </row>
    <row r="8" spans="1:6" s="12" customFormat="1" ht="27" customHeight="1" x14ac:dyDescent="0.3">
      <c r="A8" s="48">
        <v>113</v>
      </c>
      <c r="B8" s="66" t="s">
        <v>166</v>
      </c>
      <c r="C8" s="13" t="s">
        <v>141</v>
      </c>
      <c r="D8" s="9"/>
      <c r="E8" s="41"/>
    </row>
    <row r="9" spans="1:6" s="12" customFormat="1" ht="27" customHeight="1" x14ac:dyDescent="0.3">
      <c r="A9" s="48">
        <v>114</v>
      </c>
      <c r="B9" s="66" t="s">
        <v>167</v>
      </c>
      <c r="C9" s="13" t="s">
        <v>141</v>
      </c>
      <c r="D9" s="9"/>
      <c r="E9" s="41"/>
    </row>
    <row r="10" spans="1:6" s="4" customFormat="1" ht="27" customHeight="1" x14ac:dyDescent="0.3">
      <c r="A10" s="48">
        <v>115</v>
      </c>
      <c r="B10" s="66" t="s">
        <v>168</v>
      </c>
      <c r="C10" s="13" t="s">
        <v>141</v>
      </c>
      <c r="D10" s="9"/>
      <c r="E10" s="41"/>
    </row>
    <row r="11" spans="1:6" s="69" customFormat="1" ht="27" customHeight="1" x14ac:dyDescent="0.3">
      <c r="A11" s="48">
        <v>116</v>
      </c>
      <c r="B11" s="67" t="s">
        <v>169</v>
      </c>
      <c r="C11" s="13" t="s">
        <v>141</v>
      </c>
      <c r="D11" s="68">
        <v>200000</v>
      </c>
      <c r="E11" s="41"/>
    </row>
    <row r="12" spans="1:6" s="69" customFormat="1" ht="27" customHeight="1" x14ac:dyDescent="0.3">
      <c r="A12" s="48">
        <v>117</v>
      </c>
      <c r="B12" s="67" t="s">
        <v>170</v>
      </c>
      <c r="C12" s="13" t="s">
        <v>141</v>
      </c>
      <c r="D12" s="68"/>
      <c r="E12" s="41"/>
    </row>
    <row r="13" spans="1:6" s="69" customFormat="1" ht="27" customHeight="1" x14ac:dyDescent="0.3">
      <c r="A13" s="48">
        <v>118</v>
      </c>
      <c r="B13" s="67" t="s">
        <v>171</v>
      </c>
      <c r="C13" s="13" t="s">
        <v>141</v>
      </c>
      <c r="D13" s="68"/>
      <c r="E13" s="41"/>
    </row>
    <row r="14" spans="1:6" s="69" customFormat="1" ht="26.25" customHeight="1" x14ac:dyDescent="0.3">
      <c r="A14" s="48">
        <v>119</v>
      </c>
      <c r="B14" s="67" t="s">
        <v>172</v>
      </c>
      <c r="C14" s="70" t="s">
        <v>141</v>
      </c>
      <c r="D14" s="71"/>
      <c r="E14" s="72">
        <v>1720350000</v>
      </c>
      <c r="F14" s="73"/>
    </row>
    <row r="15" spans="1:6" s="69" customFormat="1" ht="26.25" customHeight="1" x14ac:dyDescent="0.3">
      <c r="A15" s="48">
        <v>120</v>
      </c>
      <c r="B15" s="67" t="s">
        <v>173</v>
      </c>
      <c r="C15" s="70" t="s">
        <v>141</v>
      </c>
      <c r="D15" s="71"/>
      <c r="E15" s="72">
        <v>600000000</v>
      </c>
    </row>
    <row r="16" spans="1:6" s="69" customFormat="1" ht="30.75" customHeight="1" x14ac:dyDescent="0.3">
      <c r="A16" s="48">
        <v>121</v>
      </c>
      <c r="B16" s="67" t="s">
        <v>174</v>
      </c>
      <c r="C16" s="70" t="s">
        <v>141</v>
      </c>
      <c r="D16" s="71"/>
      <c r="E16" s="41"/>
    </row>
    <row r="17" spans="1:5" s="69" customFormat="1" ht="30.75" customHeight="1" x14ac:dyDescent="0.3">
      <c r="A17" s="48">
        <v>122</v>
      </c>
      <c r="B17" s="67" t="s">
        <v>175</v>
      </c>
      <c r="C17" s="70" t="s">
        <v>141</v>
      </c>
      <c r="D17" s="71"/>
      <c r="E17" s="41"/>
    </row>
    <row r="18" spans="1:5" s="69" customFormat="1" ht="30.75" customHeight="1" x14ac:dyDescent="0.3">
      <c r="A18" s="48">
        <v>123</v>
      </c>
      <c r="B18" s="67" t="s">
        <v>176</v>
      </c>
      <c r="C18" s="70" t="s">
        <v>141</v>
      </c>
      <c r="D18" s="71"/>
      <c r="E18" s="41"/>
    </row>
    <row r="19" spans="1:5" s="69" customFormat="1" ht="30.75" customHeight="1" x14ac:dyDescent="0.3">
      <c r="A19" s="48">
        <v>124</v>
      </c>
      <c r="B19" s="67" t="s">
        <v>177</v>
      </c>
      <c r="C19" s="70" t="s">
        <v>141</v>
      </c>
      <c r="D19" s="71"/>
      <c r="E19" s="41">
        <v>10000000</v>
      </c>
    </row>
    <row r="20" spans="1:5" s="69" customFormat="1" ht="33" customHeight="1" x14ac:dyDescent="0.3">
      <c r="A20" s="81" t="s">
        <v>178</v>
      </c>
      <c r="B20" s="82"/>
      <c r="C20" s="70" t="s">
        <v>141</v>
      </c>
      <c r="D20" s="71"/>
      <c r="E20" s="41">
        <v>10000000</v>
      </c>
    </row>
    <row r="21" spans="1:5" s="69" customFormat="1" ht="33" customHeight="1" x14ac:dyDescent="0.3">
      <c r="A21" s="48">
        <v>125</v>
      </c>
      <c r="B21" s="67" t="s">
        <v>179</v>
      </c>
      <c r="C21" s="70" t="s">
        <v>141</v>
      </c>
      <c r="D21" s="71"/>
      <c r="E21" s="41"/>
    </row>
    <row r="22" spans="1:5" s="69" customFormat="1" ht="33" customHeight="1" x14ac:dyDescent="0.3">
      <c r="A22" s="48">
        <v>126</v>
      </c>
      <c r="B22" s="67" t="s">
        <v>180</v>
      </c>
      <c r="C22" s="70" t="s">
        <v>141</v>
      </c>
      <c r="D22" s="71"/>
      <c r="E22" s="41"/>
    </row>
    <row r="23" spans="1:5" s="69" customFormat="1" ht="33" customHeight="1" x14ac:dyDescent="0.3">
      <c r="A23" s="48">
        <v>127</v>
      </c>
      <c r="B23" s="67" t="s">
        <v>181</v>
      </c>
      <c r="C23" s="70" t="s">
        <v>141</v>
      </c>
      <c r="D23" s="71"/>
      <c r="E23" s="41"/>
    </row>
    <row r="24" spans="1:5" s="69" customFormat="1" ht="33" customHeight="1" x14ac:dyDescent="0.3">
      <c r="A24" s="48">
        <v>128</v>
      </c>
      <c r="B24" s="67" t="s">
        <v>182</v>
      </c>
      <c r="C24" s="70" t="s">
        <v>141</v>
      </c>
      <c r="D24" s="71"/>
      <c r="E24" s="41">
        <v>15000000</v>
      </c>
    </row>
    <row r="25" spans="1:5" s="69" customFormat="1" ht="33" customHeight="1" x14ac:dyDescent="0.3">
      <c r="A25" s="48">
        <v>129</v>
      </c>
      <c r="B25" s="67" t="s">
        <v>183</v>
      </c>
      <c r="C25" s="70" t="s">
        <v>141</v>
      </c>
      <c r="D25" s="71" t="s">
        <v>141</v>
      </c>
      <c r="E25" s="72">
        <v>30000000</v>
      </c>
    </row>
    <row r="26" spans="1:5" s="69" customFormat="1" ht="33" customHeight="1" x14ac:dyDescent="0.3">
      <c r="A26" s="48">
        <v>130</v>
      </c>
      <c r="B26" s="67" t="s">
        <v>184</v>
      </c>
      <c r="C26" s="70" t="s">
        <v>141</v>
      </c>
      <c r="D26" s="71"/>
      <c r="E26" s="72">
        <v>20000000</v>
      </c>
    </row>
    <row r="27" spans="1:5" s="69" customFormat="1" ht="33" customHeight="1" x14ac:dyDescent="0.3">
      <c r="A27" s="48">
        <v>131</v>
      </c>
      <c r="B27" s="67" t="s">
        <v>185</v>
      </c>
      <c r="C27" s="70" t="s">
        <v>141</v>
      </c>
      <c r="D27" s="71"/>
      <c r="E27" s="72">
        <v>10000000</v>
      </c>
    </row>
    <row r="28" spans="1:5" s="69" customFormat="1" ht="33" customHeight="1" x14ac:dyDescent="0.3">
      <c r="A28" s="48">
        <v>132</v>
      </c>
      <c r="B28" s="67" t="s">
        <v>186</v>
      </c>
      <c r="C28" s="70" t="s">
        <v>141</v>
      </c>
      <c r="D28" s="71"/>
      <c r="E28" s="72">
        <v>30000000</v>
      </c>
    </row>
    <row r="29" spans="1:5" s="69" customFormat="1" ht="33" customHeight="1" x14ac:dyDescent="0.3">
      <c r="A29" s="48">
        <v>133</v>
      </c>
      <c r="B29" s="67" t="s">
        <v>187</v>
      </c>
      <c r="C29" s="70" t="s">
        <v>141</v>
      </c>
      <c r="D29" s="71"/>
      <c r="E29" s="41">
        <v>2000000</v>
      </c>
    </row>
    <row r="30" spans="1:5" s="69" customFormat="1" ht="33" customHeight="1" x14ac:dyDescent="0.3">
      <c r="A30" s="48">
        <v>134</v>
      </c>
      <c r="B30" s="67" t="s">
        <v>188</v>
      </c>
      <c r="C30" s="70" t="s">
        <v>141</v>
      </c>
      <c r="D30" s="71"/>
      <c r="E30" s="41">
        <v>2000000</v>
      </c>
    </row>
    <row r="31" spans="1:5" s="65" customFormat="1" ht="34.5" customHeight="1" x14ac:dyDescent="0.3">
      <c r="A31" s="63"/>
      <c r="B31" s="64"/>
    </row>
    <row r="32" spans="1:5" ht="34.5" customHeight="1" x14ac:dyDescent="0.3">
      <c r="B32" s="2"/>
    </row>
    <row r="33" spans="1:6" ht="34.5" customHeight="1" x14ac:dyDescent="0.3">
      <c r="B33" s="2"/>
    </row>
    <row r="34" spans="1:6" ht="34.5" customHeight="1" x14ac:dyDescent="0.3">
      <c r="B34" s="2"/>
    </row>
    <row r="35" spans="1:6" ht="34.5" customHeight="1" x14ac:dyDescent="0.3">
      <c r="B35" s="2"/>
    </row>
    <row r="36" spans="1:6" ht="34.5" customHeight="1" x14ac:dyDescent="0.3">
      <c r="B36" s="2"/>
    </row>
    <row r="37" spans="1:6" ht="34.5" customHeight="1" x14ac:dyDescent="0.3">
      <c r="B37" s="2"/>
    </row>
    <row r="38" spans="1:6" ht="34.5" customHeight="1" x14ac:dyDescent="0.3">
      <c r="B38" s="2"/>
    </row>
    <row r="39" spans="1:6" ht="13" x14ac:dyDescent="0.3">
      <c r="B39" s="2"/>
    </row>
    <row r="40" spans="1:6" ht="13" x14ac:dyDescent="0.3">
      <c r="B40" s="2"/>
    </row>
    <row r="41" spans="1:6" ht="13" x14ac:dyDescent="0.3">
      <c r="B41" s="2"/>
    </row>
    <row r="42" spans="1:6" ht="13" x14ac:dyDescent="0.3">
      <c r="B42" s="2"/>
    </row>
    <row r="43" spans="1:6" ht="13" x14ac:dyDescent="0.3">
      <c r="B43" s="2"/>
    </row>
    <row r="44" spans="1:6" ht="13" x14ac:dyDescent="0.3">
      <c r="B44" s="2"/>
    </row>
    <row r="45" spans="1:6" ht="13" x14ac:dyDescent="0.3">
      <c r="B45" s="2"/>
    </row>
    <row r="46" spans="1:6" ht="13" x14ac:dyDescent="0.3">
      <c r="B46" s="2"/>
    </row>
    <row r="47" spans="1:6" s="1" customFormat="1" ht="13" x14ac:dyDescent="0.3">
      <c r="A47" s="25"/>
      <c r="B47" s="2"/>
      <c r="C47" s="2"/>
      <c r="D47" s="2"/>
      <c r="E47" s="2"/>
      <c r="F47" s="2"/>
    </row>
    <row r="48" spans="1:6" s="1" customFormat="1" ht="13" x14ac:dyDescent="0.3">
      <c r="A48" s="25"/>
      <c r="B48" s="2"/>
      <c r="C48" s="2"/>
      <c r="D48" s="2"/>
      <c r="E48" s="2"/>
      <c r="F48" s="2"/>
    </row>
    <row r="49" spans="1:6" s="1" customFormat="1" ht="13" x14ac:dyDescent="0.3">
      <c r="A49" s="25"/>
      <c r="B49" s="2"/>
      <c r="C49" s="2"/>
      <c r="D49" s="2"/>
      <c r="E49" s="2"/>
      <c r="F49" s="2"/>
    </row>
    <row r="50" spans="1:6" s="1" customFormat="1" ht="13" x14ac:dyDescent="0.3">
      <c r="A50" s="25"/>
      <c r="B50" s="2"/>
      <c r="C50" s="2"/>
      <c r="D50" s="2"/>
      <c r="E50" s="2"/>
      <c r="F50" s="2"/>
    </row>
    <row r="51" spans="1:6" s="1" customFormat="1" ht="13" x14ac:dyDescent="0.3">
      <c r="A51" s="25"/>
      <c r="B51" s="2"/>
      <c r="C51" s="2"/>
      <c r="D51" s="2"/>
      <c r="E51" s="2"/>
      <c r="F51" s="2"/>
    </row>
    <row r="52" spans="1:6" s="1" customFormat="1" ht="13" x14ac:dyDescent="0.3">
      <c r="A52" s="25"/>
      <c r="B52" s="2"/>
      <c r="C52" s="2"/>
      <c r="D52" s="2"/>
      <c r="E52" s="2"/>
      <c r="F52" s="2"/>
    </row>
    <row r="53" spans="1:6" s="1" customFormat="1" ht="13" x14ac:dyDescent="0.3">
      <c r="A53" s="25"/>
      <c r="B53" s="2"/>
      <c r="C53" s="2"/>
      <c r="D53" s="2"/>
      <c r="E53" s="2"/>
      <c r="F53" s="2"/>
    </row>
    <row r="54" spans="1:6" s="1" customFormat="1" ht="13" x14ac:dyDescent="0.3">
      <c r="A54" s="25"/>
      <c r="B54" s="2"/>
      <c r="C54" s="2"/>
      <c r="D54" s="2"/>
      <c r="E54" s="2"/>
      <c r="F54" s="2"/>
    </row>
  </sheetData>
  <mergeCells count="1">
    <mergeCell ref="A20:B20"/>
  </mergeCells>
  <printOptions horizontalCentered="1"/>
  <pageMargins left="0.35433070866141736" right="0" top="0.35433070866141736" bottom="0.27559055118110237" header="0.15748031496062992" footer="0.15748031496062992"/>
  <pageSetup paperSize="9" scale="98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13"/>
  </sheetPr>
  <dimension ref="A1:E15"/>
  <sheetViews>
    <sheetView view="pageBreakPreview" zoomScaleSheetLayoutView="100" workbookViewId="0">
      <selection activeCell="A7" sqref="A1:XFD7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48.69921875" style="26" customWidth="1"/>
    <col min="3" max="3" width="8.296875" style="2" customWidth="1"/>
    <col min="4" max="4" width="17.296875" style="2" hidden="1" customWidth="1" outlineLevel="1"/>
    <col min="5" max="5" width="20.296875" style="2" bestFit="1" customWidth="1" collapsed="1"/>
    <col min="6" max="16384" width="11.3984375" style="2"/>
  </cols>
  <sheetData>
    <row r="1" spans="1:5" s="12" customFormat="1" ht="35.25" customHeight="1" x14ac:dyDescent="0.3">
      <c r="A1" s="48">
        <v>136</v>
      </c>
      <c r="B1" s="52" t="s">
        <v>189</v>
      </c>
      <c r="C1" s="13">
        <v>0</v>
      </c>
      <c r="D1" s="9"/>
      <c r="E1" s="10">
        <f>D1*C1</f>
        <v>0</v>
      </c>
    </row>
    <row r="2" spans="1:5" s="12" customFormat="1" ht="35.25" customHeight="1" x14ac:dyDescent="0.3">
      <c r="A2" s="48">
        <v>136</v>
      </c>
      <c r="B2" s="52" t="s">
        <v>190</v>
      </c>
      <c r="C2" s="13">
        <v>10</v>
      </c>
      <c r="D2" s="9">
        <v>195000000</v>
      </c>
      <c r="E2" s="10">
        <f t="shared" ref="E2:E7" si="0">D2*C2</f>
        <v>1950000000</v>
      </c>
    </row>
    <row r="3" spans="1:5" s="12" customFormat="1" ht="35.25" customHeight="1" x14ac:dyDescent="0.3">
      <c r="A3" s="48">
        <v>136</v>
      </c>
      <c r="B3" s="52" t="s">
        <v>191</v>
      </c>
      <c r="C3" s="13">
        <v>22</v>
      </c>
      <c r="D3" s="9">
        <v>27500000</v>
      </c>
      <c r="E3" s="10">
        <f t="shared" si="0"/>
        <v>605000000</v>
      </c>
    </row>
    <row r="4" spans="1:5" s="12" customFormat="1" ht="35.25" customHeight="1" x14ac:dyDescent="0.3">
      <c r="A4" s="48">
        <v>136</v>
      </c>
      <c r="B4" s="52" t="s">
        <v>192</v>
      </c>
      <c r="C4" s="13">
        <v>0</v>
      </c>
      <c r="D4" s="9">
        <v>10000000</v>
      </c>
      <c r="E4" s="10">
        <f t="shared" si="0"/>
        <v>0</v>
      </c>
    </row>
    <row r="5" spans="1:5" s="12" customFormat="1" ht="35.25" customHeight="1" x14ac:dyDescent="0.3">
      <c r="A5" s="48">
        <v>137</v>
      </c>
      <c r="B5" s="52" t="s">
        <v>193</v>
      </c>
      <c r="C5" s="13">
        <v>53</v>
      </c>
      <c r="D5" s="9">
        <v>700000</v>
      </c>
      <c r="E5" s="10">
        <f t="shared" si="0"/>
        <v>37100000</v>
      </c>
    </row>
    <row r="6" spans="1:5" s="12" customFormat="1" ht="35.25" customHeight="1" x14ac:dyDescent="0.3">
      <c r="A6" s="48">
        <v>138</v>
      </c>
      <c r="B6" s="52" t="s">
        <v>194</v>
      </c>
      <c r="C6" s="13">
        <v>37</v>
      </c>
      <c r="D6" s="9">
        <v>2000000</v>
      </c>
      <c r="E6" s="10">
        <f t="shared" si="0"/>
        <v>74000000</v>
      </c>
    </row>
    <row r="7" spans="1:5" s="12" customFormat="1" ht="35.25" customHeight="1" x14ac:dyDescent="0.3">
      <c r="A7" s="48">
        <v>139</v>
      </c>
      <c r="B7" s="52" t="s">
        <v>195</v>
      </c>
      <c r="C7" s="13">
        <v>25</v>
      </c>
      <c r="D7" s="9">
        <v>2500000</v>
      </c>
      <c r="E7" s="10">
        <f t="shared" si="0"/>
        <v>62500000</v>
      </c>
    </row>
    <row r="8" spans="1:5" s="65" customFormat="1" ht="34.5" customHeight="1" x14ac:dyDescent="0.3">
      <c r="A8" s="63"/>
      <c r="B8" s="64"/>
    </row>
    <row r="9" spans="1:5" ht="34.5" customHeight="1" x14ac:dyDescent="0.3"/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  <row r="13" spans="1:5" ht="34.5" customHeight="1" x14ac:dyDescent="0.3">
      <c r="A13" s="2"/>
      <c r="B13" s="2"/>
    </row>
    <row r="14" spans="1:5" ht="34.5" customHeight="1" x14ac:dyDescent="0.3">
      <c r="A14" s="2"/>
      <c r="B14" s="2"/>
    </row>
    <row r="15" spans="1:5" ht="34.5" customHeight="1" x14ac:dyDescent="0.3">
      <c r="A15" s="2"/>
      <c r="B15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13"/>
  </sheetPr>
  <dimension ref="A1:F25"/>
  <sheetViews>
    <sheetView view="pageBreakPreview" zoomScale="130" zoomScaleSheetLayoutView="130" workbookViewId="0">
      <selection activeCell="A17" sqref="A1:XFD17"/>
    </sheetView>
  </sheetViews>
  <sheetFormatPr baseColWidth="10" defaultColWidth="11.3984375" defaultRowHeight="15.5" outlineLevelCol="1" x14ac:dyDescent="0.3"/>
  <cols>
    <col min="1" max="1" width="3.3984375" style="25" bestFit="1" customWidth="1"/>
    <col min="2" max="2" width="68.09765625" style="26" customWidth="1"/>
    <col min="3" max="3" width="4.59765625" style="2" bestFit="1" customWidth="1"/>
    <col min="4" max="4" width="17.296875" style="2" hidden="1" customWidth="1" outlineLevel="1"/>
    <col min="5" max="5" width="22.09765625" style="2" customWidth="1" collapsed="1"/>
    <col min="6" max="6" width="25" style="2" customWidth="1"/>
    <col min="7" max="16384" width="11.3984375" style="2"/>
  </cols>
  <sheetData>
    <row r="1" spans="1:6" s="12" customFormat="1" ht="31" x14ac:dyDescent="0.3">
      <c r="A1" s="28"/>
      <c r="B1" s="74" t="s">
        <v>196</v>
      </c>
      <c r="C1" s="7">
        <v>400</v>
      </c>
      <c r="D1" s="9"/>
      <c r="E1" s="75">
        <v>475000000</v>
      </c>
    </row>
    <row r="2" spans="1:6" s="12" customFormat="1" ht="24" customHeight="1" x14ac:dyDescent="0.3">
      <c r="A2" s="28"/>
      <c r="B2" s="74" t="s">
        <v>197</v>
      </c>
      <c r="C2" s="7">
        <v>15</v>
      </c>
      <c r="D2" s="9"/>
      <c r="E2" s="75">
        <v>60000000</v>
      </c>
    </row>
    <row r="3" spans="1:6" s="12" customFormat="1" ht="24" customHeight="1" x14ac:dyDescent="0.3">
      <c r="A3" s="28"/>
      <c r="B3" s="74" t="s">
        <v>198</v>
      </c>
      <c r="C3" s="7" t="s">
        <v>141</v>
      </c>
      <c r="D3" s="9"/>
      <c r="E3" s="75">
        <v>50000000</v>
      </c>
    </row>
    <row r="4" spans="1:6" s="12" customFormat="1" ht="24" customHeight="1" x14ac:dyDescent="0.3">
      <c r="A4" s="28"/>
      <c r="B4" s="74" t="s">
        <v>199</v>
      </c>
      <c r="C4" s="7" t="s">
        <v>141</v>
      </c>
      <c r="D4" s="9"/>
      <c r="E4" s="75">
        <v>300000000</v>
      </c>
    </row>
    <row r="5" spans="1:6" s="12" customFormat="1" ht="24" customHeight="1" x14ac:dyDescent="0.3">
      <c r="A5" s="28"/>
      <c r="B5" s="74" t="s">
        <v>200</v>
      </c>
      <c r="C5" s="7" t="s">
        <v>141</v>
      </c>
      <c r="D5" s="9"/>
      <c r="E5" s="75">
        <v>300000000</v>
      </c>
    </row>
    <row r="6" spans="1:6" s="12" customFormat="1" ht="24" customHeight="1" x14ac:dyDescent="0.3">
      <c r="A6" s="28"/>
      <c r="B6" s="74" t="s">
        <v>201</v>
      </c>
      <c r="C6" s="7" t="s">
        <v>141</v>
      </c>
      <c r="D6" s="9"/>
      <c r="E6" s="75">
        <v>400000000</v>
      </c>
    </row>
    <row r="7" spans="1:6" s="12" customFormat="1" ht="24" customHeight="1" x14ac:dyDescent="0.3">
      <c r="A7" s="28"/>
      <c r="B7" s="74" t="s">
        <v>202</v>
      </c>
      <c r="C7" s="7" t="s">
        <v>141</v>
      </c>
      <c r="D7" s="9"/>
      <c r="E7" s="75">
        <v>30000000</v>
      </c>
    </row>
    <row r="8" spans="1:6" s="12" customFormat="1" ht="24" customHeight="1" x14ac:dyDescent="0.3">
      <c r="A8" s="28"/>
      <c r="B8" s="74" t="s">
        <v>203</v>
      </c>
      <c r="C8" s="7" t="s">
        <v>141</v>
      </c>
      <c r="D8" s="9"/>
      <c r="E8" s="75">
        <v>20000000</v>
      </c>
    </row>
    <row r="9" spans="1:6" s="12" customFormat="1" ht="24" customHeight="1" x14ac:dyDescent="0.3">
      <c r="A9" s="28"/>
      <c r="B9" s="74" t="s">
        <v>204</v>
      </c>
      <c r="C9" s="7" t="s">
        <v>141</v>
      </c>
      <c r="D9" s="9"/>
      <c r="E9" s="75">
        <v>50000000</v>
      </c>
    </row>
    <row r="10" spans="1:6" s="12" customFormat="1" ht="24" customHeight="1" x14ac:dyDescent="0.3">
      <c r="A10" s="28"/>
      <c r="B10" s="74" t="s">
        <v>205</v>
      </c>
      <c r="C10" s="7" t="s">
        <v>141</v>
      </c>
      <c r="D10" s="9"/>
      <c r="E10" s="75">
        <v>41224000</v>
      </c>
      <c r="F10" s="39">
        <f>E10+400000</f>
        <v>41624000</v>
      </c>
    </row>
    <row r="11" spans="1:6" s="12" customFormat="1" ht="24" customHeight="1" x14ac:dyDescent="0.3">
      <c r="A11" s="28"/>
      <c r="B11" s="74" t="s">
        <v>206</v>
      </c>
      <c r="C11" s="7" t="s">
        <v>141</v>
      </c>
      <c r="D11" s="9"/>
      <c r="E11" s="75">
        <v>20000000</v>
      </c>
    </row>
    <row r="12" spans="1:6" s="12" customFormat="1" ht="24" customHeight="1" x14ac:dyDescent="0.3">
      <c r="A12" s="28"/>
      <c r="B12" s="74" t="s">
        <v>207</v>
      </c>
      <c r="C12" s="7" t="s">
        <v>141</v>
      </c>
      <c r="D12" s="9"/>
      <c r="E12" s="75">
        <v>20000000</v>
      </c>
    </row>
    <row r="13" spans="1:6" s="12" customFormat="1" ht="24" customHeight="1" x14ac:dyDescent="0.3">
      <c r="A13" s="28"/>
      <c r="B13" s="74" t="s">
        <v>208</v>
      </c>
      <c r="C13" s="7" t="s">
        <v>141</v>
      </c>
      <c r="D13" s="9"/>
      <c r="E13" s="75">
        <v>20000000</v>
      </c>
    </row>
    <row r="14" spans="1:6" s="12" customFormat="1" ht="24" customHeight="1" x14ac:dyDescent="0.3">
      <c r="A14" s="28"/>
      <c r="B14" s="74" t="s">
        <v>209</v>
      </c>
      <c r="C14" s="7" t="s">
        <v>141</v>
      </c>
      <c r="D14" s="9"/>
      <c r="E14" s="75">
        <v>70000000</v>
      </c>
    </row>
    <row r="15" spans="1:6" s="12" customFormat="1" ht="24" customHeight="1" x14ac:dyDescent="0.3">
      <c r="A15" s="28"/>
      <c r="B15" s="74" t="s">
        <v>210</v>
      </c>
      <c r="C15" s="7" t="s">
        <v>141</v>
      </c>
      <c r="D15" s="9"/>
      <c r="E15" s="75">
        <v>50000000</v>
      </c>
      <c r="F15" s="39">
        <f>+E17+E16+E15+E14+E13+E12+E11+E10+E9+E8+E7+E6+E5+E4+E3+E2+E1</f>
        <v>1996224000</v>
      </c>
    </row>
    <row r="16" spans="1:6" s="12" customFormat="1" ht="24" customHeight="1" x14ac:dyDescent="0.3">
      <c r="A16" s="28"/>
      <c r="B16" s="74" t="s">
        <v>211</v>
      </c>
      <c r="C16" s="7" t="s">
        <v>141</v>
      </c>
      <c r="D16" s="9"/>
      <c r="E16" s="75">
        <v>50000000</v>
      </c>
    </row>
    <row r="17" spans="1:5" s="12" customFormat="1" ht="24" customHeight="1" x14ac:dyDescent="0.3">
      <c r="A17" s="28"/>
      <c r="B17" s="74" t="s">
        <v>212</v>
      </c>
      <c r="C17" s="7" t="s">
        <v>141</v>
      </c>
      <c r="D17" s="9"/>
      <c r="E17" s="75">
        <v>40000000</v>
      </c>
    </row>
    <row r="18" spans="1:5" s="65" customFormat="1" ht="34.5" customHeight="1" x14ac:dyDescent="0.3">
      <c r="A18" s="63"/>
      <c r="B18" s="64"/>
    </row>
    <row r="19" spans="1:5" ht="34.5" customHeight="1" x14ac:dyDescent="0.3"/>
    <row r="20" spans="1:5" ht="34.5" customHeight="1" x14ac:dyDescent="0.3">
      <c r="A20" s="2"/>
      <c r="B20" s="2"/>
    </row>
    <row r="21" spans="1:5" ht="34.5" customHeight="1" x14ac:dyDescent="0.3">
      <c r="A21" s="2"/>
      <c r="B21" s="2"/>
    </row>
    <row r="22" spans="1:5" ht="34.5" customHeight="1" x14ac:dyDescent="0.3">
      <c r="A22" s="2"/>
      <c r="B22" s="2"/>
    </row>
    <row r="23" spans="1:5" ht="34.5" customHeight="1" x14ac:dyDescent="0.3">
      <c r="A23" s="2"/>
      <c r="B23" s="2"/>
    </row>
    <row r="24" spans="1:5" ht="34.5" customHeight="1" x14ac:dyDescent="0.3">
      <c r="A24" s="2"/>
      <c r="B24" s="2"/>
    </row>
    <row r="25" spans="1:5" ht="34.5" customHeight="1" x14ac:dyDescent="0.3">
      <c r="A25" s="2"/>
      <c r="B25" s="2"/>
    </row>
  </sheetData>
  <printOptions horizontalCentered="1"/>
  <pageMargins left="0" right="0" top="0.35433070866141736" bottom="7.874015748031496E-2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IAAS</vt:lpstr>
      <vt:lpstr>Commun Infrastructrure</vt:lpstr>
      <vt:lpstr>Equi broui tact</vt:lpstr>
      <vt:lpstr>Commutation Télépho</vt:lpstr>
      <vt:lpstr>Energie et Maintenance</vt:lpstr>
      <vt:lpstr>Travaux Téléphonique</vt:lpstr>
      <vt:lpstr>Pédagogique et Didactique</vt:lpstr>
      <vt:lpstr>Antenne Pylone</vt:lpstr>
      <vt:lpstr>Accessoir piles batterie</vt:lpstr>
      <vt:lpstr>Visioconférence</vt:lpstr>
      <vt:lpstr>Réseau Interconnexion à Fib </vt:lpstr>
      <vt:lpstr>'Accessoir piles batterie'!Zone_d_impression</vt:lpstr>
      <vt:lpstr>'Antenne Pylone'!Zone_d_impression</vt:lpstr>
      <vt:lpstr>'Commun Infrastructrure'!Zone_d_impression</vt:lpstr>
      <vt:lpstr>'Commutation Télépho'!Zone_d_impression</vt:lpstr>
      <vt:lpstr>'Energie et Maintenance'!Zone_d_impression</vt:lpstr>
      <vt:lpstr>'Equi broui tact'!Zone_d_impression</vt:lpstr>
      <vt:lpstr>'Pédagogique et Didactique'!Zone_d_impression</vt:lpstr>
      <vt:lpstr>'Réseau Interconnexion à Fib '!Zone_d_impression</vt:lpstr>
      <vt:lpstr>'Travaux Téléphonique'!Zone_d_impression</vt:lpstr>
      <vt:lpstr>Visioconférence!Zone_d_impression</vt:lpstr>
    </vt:vector>
  </TitlesOfParts>
  <Company>SDR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Administrateur</cp:lastModifiedBy>
  <dcterms:created xsi:type="dcterms:W3CDTF">2025-08-25T10:28:07Z</dcterms:created>
  <dcterms:modified xsi:type="dcterms:W3CDTF">2025-12-20T20:30:01Z</dcterms:modified>
</cp:coreProperties>
</file>