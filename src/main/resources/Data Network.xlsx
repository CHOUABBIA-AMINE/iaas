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105" yWindow="-105" windowWidth="19425" windowHeight="10425" firstSheet="6" activeTab="17"/>
  </bookViews>
  <sheets>
    <sheet name="Zone" sheetId="1" r:id="rId1"/>
    <sheet name="Region" sheetId="2" r:id="rId2"/>
    <sheet name="Location" sheetId="8" r:id="rId3"/>
    <sheet name="Feuil5" sheetId="28" r:id="rId4"/>
    <sheet name="Product" sheetId="4" r:id="rId5"/>
    <sheet name="Metal" sheetId="25" r:id="rId6"/>
    <sheet name="Operational Status" sheetId="26" r:id="rId7"/>
    <sheet name="FacilityType" sheetId="9" r:id="rId8"/>
    <sheet name="EquipmentType" sheetId="11" r:id="rId9"/>
    <sheet name="Status" sheetId="13" state="hidden" r:id="rId10"/>
    <sheet name="Infrastructure" sheetId="29" r:id="rId11"/>
    <sheet name="Facility" sheetId="10" r:id="rId12"/>
    <sheet name="Stations" sheetId="30" r:id="rId13"/>
    <sheet name="Feuil7" sheetId="31" r:id="rId14"/>
    <sheet name="Feuil8" sheetId="32" r:id="rId15"/>
    <sheet name="Equipment" sheetId="12" r:id="rId16"/>
    <sheet name="System" sheetId="3" r:id="rId17"/>
    <sheet name="Pipeline" sheetId="6" r:id="rId18"/>
    <sheet name="Segment" sheetId="5" r:id="rId19"/>
    <sheet name="Station" sheetId="19" r:id="rId20"/>
    <sheet name="PS" sheetId="21" r:id="rId21"/>
    <sheet name="Injection" sheetId="24" r:id="rId22"/>
    <sheet name="Facility (2)" sheetId="27" state="hidden" r:id="rId23"/>
    <sheet name="Feuil3" sheetId="14" state="hidden" r:id="rId24"/>
    <sheet name="Feuil2" sheetId="15" state="hidden" r:id="rId25"/>
    <sheet name="Feuil1" sheetId="7" state="hidden" r:id="rId26"/>
    <sheet name="Feuil4" sheetId="16" state="hidden" r:id="rId27"/>
  </sheets>
  <definedNames>
    <definedName name="_xlnm._FilterDatabase" localSheetId="11" hidden="1">Facility!$A$2:$P$206</definedName>
    <definedName name="_xlnm._FilterDatabase" localSheetId="24" hidden="1">Feuil2!$A$1:$D$37</definedName>
    <definedName name="_xlnm._FilterDatabase" localSheetId="13" hidden="1">Feuil7!$H$1:$T$20</definedName>
    <definedName name="_xlnm._FilterDatabase" localSheetId="14" hidden="1">Feuil8!$I$1:$I$29</definedName>
    <definedName name="_xlnm._FilterDatabase" localSheetId="10" hidden="1">Infrastructure!$A$2:$J$144</definedName>
    <definedName name="_xlnm._FilterDatabase" localSheetId="21" hidden="1">Injection!$A$1:$S$62</definedName>
    <definedName name="_xlnm._FilterDatabase" localSheetId="17" hidden="1">Pipeline!$A$2:$X$45</definedName>
    <definedName name="_xlnm._FilterDatabase" localSheetId="20" hidden="1">PS!$A$2:$G$321</definedName>
    <definedName name="_xlnm._FilterDatabase" localSheetId="19" hidden="1">Station!$A$2:$E$54</definedName>
    <definedName name="_xlnm._FilterDatabase" localSheetId="12" hidden="1">Stations!$A$2:$Q$101</definedName>
    <definedName name="_xlnm._FilterDatabase" localSheetId="16" hidden="1">System!$A$2:$K$24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0" i="30" l="1"/>
  <c r="R81" i="30"/>
  <c r="R79" i="30"/>
  <c r="R4" i="30"/>
  <c r="R5" i="30"/>
  <c r="R6" i="30"/>
  <c r="R7" i="30"/>
  <c r="R8" i="30"/>
  <c r="R9" i="30"/>
  <c r="R10" i="30"/>
  <c r="R11" i="30"/>
  <c r="R12" i="30"/>
  <c r="R13" i="30"/>
  <c r="R14" i="30"/>
  <c r="R15" i="30"/>
  <c r="R16" i="30"/>
  <c r="R17" i="30"/>
  <c r="R18" i="30"/>
  <c r="R3" i="30"/>
  <c r="V3" i="31" l="1"/>
  <c r="W3" i="31"/>
  <c r="V4" i="31"/>
  <c r="W4" i="31"/>
  <c r="V5" i="31"/>
  <c r="W5" i="31"/>
  <c r="V6" i="31"/>
  <c r="W6" i="31"/>
  <c r="V7" i="31"/>
  <c r="W7" i="31"/>
  <c r="V8" i="31"/>
  <c r="W8" i="31"/>
  <c r="V9" i="31"/>
  <c r="W9" i="31"/>
  <c r="V10" i="31"/>
  <c r="W10" i="31"/>
  <c r="V11" i="31"/>
  <c r="W11" i="31"/>
  <c r="V12" i="31"/>
  <c r="W12" i="31"/>
  <c r="V13" i="31"/>
  <c r="W13" i="31"/>
  <c r="V14" i="31"/>
  <c r="W14" i="31"/>
  <c r="V15" i="31"/>
  <c r="W15" i="31"/>
  <c r="V16" i="31"/>
  <c r="W16" i="31"/>
  <c r="V17" i="31"/>
  <c r="W17" i="31"/>
  <c r="V18" i="31"/>
  <c r="W18" i="31"/>
  <c r="V19" i="31"/>
  <c r="W19" i="31"/>
  <c r="W2" i="31"/>
  <c r="V2" i="31"/>
  <c r="Q79" i="30"/>
  <c r="Q80" i="30"/>
  <c r="Q81" i="30"/>
  <c r="Q82" i="30"/>
  <c r="Q83" i="30"/>
  <c r="Q84" i="30"/>
  <c r="Q85" i="30"/>
  <c r="Q86" i="30"/>
  <c r="Q87" i="30"/>
  <c r="Q88" i="30"/>
  <c r="Q89" i="30"/>
  <c r="Q90" i="30"/>
  <c r="Q91" i="30"/>
  <c r="Q92" i="30"/>
  <c r="Q93" i="30"/>
  <c r="Q94" i="30"/>
  <c r="Q95" i="30"/>
  <c r="Q96" i="30"/>
  <c r="Q97" i="30"/>
  <c r="Q98" i="30"/>
  <c r="Q99" i="30"/>
  <c r="Q100" i="30"/>
  <c r="Q101" i="30"/>
  <c r="P83" i="10"/>
  <c r="P84" i="10"/>
  <c r="P85" i="10"/>
  <c r="P86" i="10"/>
  <c r="P87" i="10"/>
  <c r="P88" i="10"/>
  <c r="P89" i="10"/>
  <c r="P90" i="10"/>
  <c r="P91" i="10"/>
  <c r="P92" i="10"/>
  <c r="P93" i="10"/>
  <c r="P94" i="10"/>
  <c r="P95" i="10"/>
  <c r="P96" i="10"/>
  <c r="P97" i="10"/>
  <c r="P98" i="10"/>
  <c r="P99" i="10"/>
  <c r="P100" i="10"/>
  <c r="P101" i="10"/>
  <c r="C127" i="29"/>
  <c r="C128" i="29"/>
  <c r="J128" i="29" s="1"/>
  <c r="C129" i="29"/>
  <c r="J129" i="29" s="1"/>
  <c r="C130" i="29"/>
  <c r="C131" i="29"/>
  <c r="C132" i="29"/>
  <c r="C133" i="29"/>
  <c r="C134" i="29"/>
  <c r="J134" i="29" s="1"/>
  <c r="C135" i="29"/>
  <c r="J135" i="29" s="1"/>
  <c r="C136" i="29"/>
  <c r="J136" i="29" s="1"/>
  <c r="C137" i="29"/>
  <c r="J137" i="29" s="1"/>
  <c r="C138" i="29"/>
  <c r="C139" i="29"/>
  <c r="C140" i="29"/>
  <c r="J140" i="29" s="1"/>
  <c r="C141" i="29"/>
  <c r="J141" i="29" s="1"/>
  <c r="C142" i="29"/>
  <c r="J142" i="29" s="1"/>
  <c r="C143" i="29"/>
  <c r="C144" i="29"/>
  <c r="J144" i="29" s="1"/>
  <c r="C126" i="29"/>
  <c r="J126" i="29" s="1"/>
  <c r="J4" i="29"/>
  <c r="J5" i="29"/>
  <c r="J6" i="29"/>
  <c r="J7" i="29"/>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127" i="29"/>
  <c r="J130" i="29"/>
  <c r="J131" i="29"/>
  <c r="J132" i="29"/>
  <c r="J133" i="29"/>
  <c r="J138" i="29"/>
  <c r="J139" i="29"/>
  <c r="J143" i="29"/>
  <c r="J3" i="29"/>
  <c r="Q160" i="30" l="1"/>
  <c r="Q20" i="30" l="1"/>
  <c r="Q21" i="30"/>
  <c r="Q22" i="30"/>
  <c r="Q23" i="30"/>
  <c r="Q24" i="30"/>
  <c r="Q25" i="30"/>
  <c r="Q26" i="30"/>
  <c r="Q27" i="30"/>
  <c r="Q28" i="30"/>
  <c r="Q29" i="30"/>
  <c r="Q30" i="30"/>
  <c r="Q31" i="30"/>
  <c r="Q32" i="30"/>
  <c r="Q33" i="30"/>
  <c r="Q34" i="30"/>
  <c r="Q35" i="30"/>
  <c r="Q36" i="30"/>
  <c r="Q37" i="30"/>
  <c r="Q38" i="30"/>
  <c r="Q39" i="30"/>
  <c r="Q40" i="30"/>
  <c r="Q41" i="30"/>
  <c r="Q42" i="30"/>
  <c r="Q43" i="30"/>
  <c r="Q44" i="30"/>
  <c r="Q45" i="30"/>
  <c r="Q46" i="30"/>
  <c r="Q47" i="30"/>
  <c r="Q48" i="30"/>
  <c r="Q49" i="30"/>
  <c r="Q50" i="30"/>
  <c r="Q51" i="30"/>
  <c r="Q52" i="30"/>
  <c r="Q53" i="30"/>
  <c r="Q54" i="30"/>
  <c r="Q55" i="30"/>
  <c r="Q56" i="30"/>
  <c r="Q57" i="30"/>
  <c r="Q58" i="30"/>
  <c r="Q59" i="30"/>
  <c r="Q60" i="30"/>
  <c r="Q61" i="30"/>
  <c r="Q62" i="30"/>
  <c r="Q63" i="30"/>
  <c r="Q64" i="30"/>
  <c r="Q65" i="30"/>
  <c r="Q66" i="30"/>
  <c r="Q67" i="30"/>
  <c r="Q68" i="30"/>
  <c r="Q69" i="30"/>
  <c r="Q70" i="30"/>
  <c r="Q71" i="30"/>
  <c r="Q72" i="30"/>
  <c r="Q73" i="30"/>
  <c r="Q74" i="30"/>
  <c r="Q75" i="30"/>
  <c r="Q76" i="30"/>
  <c r="Q77" i="30"/>
  <c r="Q78" i="30"/>
  <c r="Q19" i="30"/>
  <c r="Q2" i="30"/>
  <c r="S78" i="30"/>
  <c r="S77" i="30"/>
  <c r="S76" i="30"/>
  <c r="S75" i="30"/>
  <c r="S74" i="30"/>
  <c r="S73" i="30"/>
  <c r="S72" i="30"/>
  <c r="S71" i="30"/>
  <c r="S70" i="30"/>
  <c r="S69" i="30"/>
  <c r="S68" i="30"/>
  <c r="S67" i="30"/>
  <c r="S66" i="30"/>
  <c r="S65" i="30"/>
  <c r="S64" i="30"/>
  <c r="S63" i="30"/>
  <c r="S62" i="30"/>
  <c r="S61" i="30"/>
  <c r="S60" i="30"/>
  <c r="S59" i="30"/>
  <c r="S58" i="30"/>
  <c r="S57" i="30"/>
  <c r="S56" i="30"/>
  <c r="S55" i="30"/>
  <c r="S54" i="30"/>
  <c r="S53" i="30"/>
  <c r="S52" i="30"/>
  <c r="S51" i="30"/>
  <c r="S50" i="30"/>
  <c r="S49" i="30"/>
  <c r="S48" i="30"/>
  <c r="S47" i="30"/>
  <c r="S46" i="30"/>
  <c r="S45" i="30"/>
  <c r="S44" i="30"/>
  <c r="S43" i="30"/>
  <c r="S42" i="30"/>
  <c r="S41" i="30"/>
  <c r="S40" i="30"/>
  <c r="S39" i="30"/>
  <c r="S38" i="30"/>
  <c r="S37" i="30"/>
  <c r="S36" i="30"/>
  <c r="S35" i="30"/>
  <c r="S34" i="30"/>
  <c r="S33" i="30"/>
  <c r="S32" i="30"/>
  <c r="S31" i="30"/>
  <c r="S30" i="30"/>
  <c r="S29" i="30"/>
  <c r="S28" i="30"/>
  <c r="S27" i="30"/>
  <c r="S26" i="30"/>
  <c r="S25" i="30"/>
  <c r="S24" i="30"/>
  <c r="S23" i="30"/>
  <c r="S22" i="30"/>
  <c r="S21" i="30"/>
  <c r="S20" i="30"/>
  <c r="O19" i="30"/>
  <c r="Q18" i="30"/>
  <c r="Q17" i="30"/>
  <c r="Q16" i="30"/>
  <c r="Q15" i="30"/>
  <c r="Q14" i="30"/>
  <c r="Q13" i="30"/>
  <c r="Q12" i="30"/>
  <c r="Q11" i="30"/>
  <c r="Q10" i="30"/>
  <c r="Q9" i="30"/>
  <c r="Q8" i="30"/>
  <c r="Q7" i="30"/>
  <c r="Q6" i="30"/>
  <c r="Q5" i="30"/>
  <c r="Q4" i="30"/>
  <c r="Q3" i="3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3" i="10"/>
  <c r="P2" i="10"/>
  <c r="J2" i="29" l="1"/>
  <c r="C125" i="29"/>
  <c r="J125" i="29" s="1"/>
  <c r="C124" i="29"/>
  <c r="J124" i="29" s="1"/>
  <c r="C123" i="29"/>
  <c r="J123" i="29" s="1"/>
  <c r="C122" i="29"/>
  <c r="J122" i="29" s="1"/>
  <c r="C121" i="29"/>
  <c r="J121" i="29" s="1"/>
  <c r="C120" i="29"/>
  <c r="J120" i="29" s="1"/>
  <c r="C119" i="29"/>
  <c r="J119" i="29" s="1"/>
  <c r="C118" i="29"/>
  <c r="J118" i="29" s="1"/>
  <c r="C117" i="29"/>
  <c r="J117" i="29" s="1"/>
  <c r="C116" i="29"/>
  <c r="J116" i="29" s="1"/>
  <c r="C115" i="29"/>
  <c r="J115" i="29" s="1"/>
  <c r="C114" i="29"/>
  <c r="J114" i="29" s="1"/>
  <c r="C113" i="29"/>
  <c r="J113" i="29" s="1"/>
  <c r="C112" i="29"/>
  <c r="J112" i="29" s="1"/>
  <c r="C111" i="29"/>
  <c r="J111" i="29" s="1"/>
  <c r="C110" i="29"/>
  <c r="J110" i="29" s="1"/>
  <c r="C109" i="29"/>
  <c r="J109" i="29" s="1"/>
  <c r="C108" i="29"/>
  <c r="J108" i="29" s="1"/>
  <c r="C107" i="29"/>
  <c r="J107" i="29" s="1"/>
  <c r="C106" i="29"/>
  <c r="J106" i="29" s="1"/>
  <c r="C105" i="29"/>
  <c r="J105" i="29" s="1"/>
  <c r="C104" i="29"/>
  <c r="J104" i="29" s="1"/>
  <c r="C103" i="29"/>
  <c r="J103" i="29" s="1"/>
  <c r="C102" i="29"/>
  <c r="J102" i="29" s="1"/>
  <c r="C101" i="29"/>
  <c r="J101" i="29" s="1"/>
  <c r="C100" i="29"/>
  <c r="J100" i="29" s="1"/>
  <c r="C99" i="29"/>
  <c r="J99" i="29" s="1"/>
  <c r="C98" i="29"/>
  <c r="J98" i="29" s="1"/>
  <c r="C97" i="29"/>
  <c r="J97" i="29" s="1"/>
  <c r="C96" i="29"/>
  <c r="J96" i="29" s="1"/>
  <c r="C95" i="29"/>
  <c r="J95" i="29" s="1"/>
  <c r="C94" i="29"/>
  <c r="J94" i="29" s="1"/>
  <c r="C93" i="29"/>
  <c r="J93" i="29" s="1"/>
  <c r="C92" i="29"/>
  <c r="J92" i="29" s="1"/>
  <c r="C91" i="29"/>
  <c r="J91" i="29" s="1"/>
  <c r="C90" i="29"/>
  <c r="J90" i="29" s="1"/>
  <c r="C89" i="29"/>
  <c r="J89" i="29" s="1"/>
  <c r="C88" i="29"/>
  <c r="J88" i="29" s="1"/>
  <c r="C87" i="29"/>
  <c r="J87" i="29" s="1"/>
  <c r="C86" i="29"/>
  <c r="J86" i="29" s="1"/>
  <c r="C85" i="29"/>
  <c r="J85" i="29" s="1"/>
  <c r="C84" i="29"/>
  <c r="J84" i="29" s="1"/>
  <c r="C83" i="29"/>
  <c r="J83" i="29" s="1"/>
  <c r="L78" i="29"/>
  <c r="L77" i="29"/>
  <c r="L76" i="29"/>
  <c r="L75" i="29"/>
  <c r="L74" i="29"/>
  <c r="L73" i="29"/>
  <c r="L72" i="29"/>
  <c r="L71" i="29"/>
  <c r="L70" i="29"/>
  <c r="L69" i="29"/>
  <c r="L68" i="29"/>
  <c r="L67" i="29"/>
  <c r="L66" i="29"/>
  <c r="L65" i="29"/>
  <c r="L64" i="29"/>
  <c r="L63" i="29"/>
  <c r="L62" i="29"/>
  <c r="L61" i="29"/>
  <c r="L60" i="29"/>
  <c r="L59" i="29"/>
  <c r="L58" i="29"/>
  <c r="L57" i="29"/>
  <c r="L56" i="29"/>
  <c r="L55" i="29"/>
  <c r="L54" i="29"/>
  <c r="L53" i="29"/>
  <c r="L52" i="29"/>
  <c r="L51" i="29"/>
  <c r="L50" i="29"/>
  <c r="L49" i="29"/>
  <c r="L48" i="29"/>
  <c r="L47" i="29"/>
  <c r="L46" i="29"/>
  <c r="L45" i="29"/>
  <c r="L44" i="29"/>
  <c r="L43" i="29"/>
  <c r="L42" i="29"/>
  <c r="L41" i="29"/>
  <c r="L40" i="29"/>
  <c r="L39" i="29"/>
  <c r="L38" i="29"/>
  <c r="L37" i="29"/>
  <c r="L36" i="29"/>
  <c r="L35" i="29"/>
  <c r="L34" i="29"/>
  <c r="L33" i="29"/>
  <c r="L32" i="29"/>
  <c r="L31" i="29"/>
  <c r="L30" i="29"/>
  <c r="L29" i="29"/>
  <c r="L28" i="29"/>
  <c r="L27" i="29"/>
  <c r="L26" i="29"/>
  <c r="L25" i="29"/>
  <c r="L24" i="29"/>
  <c r="L23" i="29"/>
  <c r="L22" i="29"/>
  <c r="L21" i="29"/>
  <c r="L20" i="29"/>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C37" i="6"/>
  <c r="AC38" i="6"/>
  <c r="AC39" i="6"/>
  <c r="AC40" i="6"/>
  <c r="AC41" i="6"/>
  <c r="AC42" i="6"/>
  <c r="AC43" i="6"/>
  <c r="AC44" i="6"/>
  <c r="AC45" i="6"/>
  <c r="AC3" i="6"/>
  <c r="AC2" i="6"/>
  <c r="AB3" i="6"/>
  <c r="AB4"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37" i="6"/>
  <c r="AB38" i="6"/>
  <c r="AB39" i="6"/>
  <c r="AB40" i="6"/>
  <c r="AB41" i="6"/>
  <c r="AB42" i="6"/>
  <c r="AB43" i="6"/>
  <c r="AB44" i="6"/>
  <c r="AB45" i="6"/>
  <c r="AB2" i="6"/>
  <c r="C24" i="6"/>
  <c r="C25" i="6"/>
  <c r="C26" i="6"/>
  <c r="C27" i="6"/>
  <c r="C28" i="6"/>
  <c r="C29" i="6"/>
  <c r="C30" i="6"/>
  <c r="C31" i="6"/>
  <c r="C32" i="6"/>
  <c r="C33" i="6"/>
  <c r="C34" i="6"/>
  <c r="C35" i="6"/>
  <c r="C36" i="6"/>
  <c r="C37" i="6"/>
  <c r="C38" i="6"/>
  <c r="C39" i="6"/>
  <c r="C40" i="6"/>
  <c r="C41" i="6"/>
  <c r="C42" i="6"/>
  <c r="C43" i="6"/>
  <c r="C44" i="6"/>
  <c r="C45" i="6"/>
  <c r="C23" i="6"/>
  <c r="C19" i="6"/>
  <c r="C20" i="6"/>
  <c r="C21" i="6"/>
  <c r="C22" i="6"/>
  <c r="C18" i="6"/>
  <c r="C16" i="6"/>
  <c r="C17" i="6"/>
  <c r="C15" i="6"/>
  <c r="C4" i="6"/>
  <c r="C5" i="6"/>
  <c r="C6" i="6"/>
  <c r="C7" i="6"/>
  <c r="C8" i="6"/>
  <c r="C9" i="6"/>
  <c r="C10" i="6"/>
  <c r="C11" i="6"/>
  <c r="C12" i="6"/>
  <c r="C13" i="6"/>
  <c r="C14" i="6"/>
  <c r="C3" i="6"/>
  <c r="N24" i="3"/>
  <c r="N4" i="3"/>
  <c r="N5" i="3"/>
  <c r="N6" i="3"/>
  <c r="N7" i="3"/>
  <c r="N8" i="3"/>
  <c r="N9" i="3"/>
  <c r="N10" i="3"/>
  <c r="N11" i="3"/>
  <c r="N12" i="3"/>
  <c r="N13" i="3"/>
  <c r="N14" i="3"/>
  <c r="N15" i="3"/>
  <c r="N16" i="3"/>
  <c r="N17" i="3"/>
  <c r="N18" i="3"/>
  <c r="N19" i="3"/>
  <c r="N20" i="3"/>
  <c r="N21" i="3"/>
  <c r="N22" i="3"/>
  <c r="N23" i="3"/>
  <c r="N2" i="3"/>
  <c r="N3" i="3"/>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20" i="10"/>
  <c r="N19" i="10"/>
  <c r="G18" i="9"/>
  <c r="P206" i="10"/>
  <c r="G20" i="9"/>
  <c r="G19" i="9"/>
  <c r="G21" i="9"/>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I9" i="27"/>
  <c r="I8" i="27"/>
  <c r="I7" i="27"/>
  <c r="I6" i="27"/>
  <c r="I5" i="27"/>
  <c r="I4" i="27"/>
  <c r="I3" i="27"/>
  <c r="I2" i="27"/>
  <c r="G4" i="11"/>
  <c r="G5" i="11"/>
  <c r="G6" i="11"/>
  <c r="G7" i="11"/>
  <c r="G8" i="11"/>
  <c r="G9" i="11"/>
  <c r="G10" i="11"/>
  <c r="G11" i="11"/>
  <c r="G12" i="11"/>
  <c r="G13" i="11"/>
  <c r="G3" i="11"/>
  <c r="G4" i="9"/>
  <c r="G5" i="9"/>
  <c r="G6" i="9"/>
  <c r="G7" i="9"/>
  <c r="G8" i="9"/>
  <c r="G9" i="9"/>
  <c r="G10" i="9"/>
  <c r="G11" i="9"/>
  <c r="G12" i="9"/>
  <c r="G13" i="9"/>
  <c r="G14" i="9"/>
  <c r="G15" i="9"/>
  <c r="G16" i="9"/>
  <c r="G17" i="9"/>
  <c r="G3" i="9"/>
  <c r="G2" i="9"/>
  <c r="E4" i="26"/>
  <c r="E5" i="26"/>
  <c r="E6" i="26"/>
  <c r="E7" i="26"/>
  <c r="E8" i="26"/>
  <c r="E9" i="26"/>
  <c r="E10" i="26"/>
  <c r="E3" i="26"/>
  <c r="E2" i="26"/>
  <c r="F4" i="25"/>
  <c r="F5" i="25"/>
  <c r="F6" i="25"/>
  <c r="F7" i="25"/>
  <c r="F8" i="25"/>
  <c r="F9" i="25"/>
  <c r="F10" i="25"/>
  <c r="F11" i="25"/>
  <c r="F12" i="25"/>
  <c r="F13" i="25"/>
  <c r="F14" i="25"/>
  <c r="F15" i="25"/>
  <c r="F3" i="25"/>
  <c r="F2" i="25"/>
  <c r="J4" i="8"/>
  <c r="J5" i="8"/>
  <c r="J6" i="8"/>
  <c r="J7" i="8"/>
  <c r="J8" i="8"/>
  <c r="J9" i="8"/>
  <c r="J10" i="8"/>
  <c r="J11" i="8"/>
  <c r="J12" i="8"/>
  <c r="J13" i="8"/>
  <c r="J14" i="8"/>
  <c r="J15" i="8"/>
  <c r="J16" i="8"/>
  <c r="J17" i="8"/>
  <c r="J18" i="8"/>
  <c r="J19" i="8"/>
  <c r="J20" i="8"/>
  <c r="J21" i="8"/>
  <c r="J22" i="8"/>
  <c r="J23" i="8"/>
  <c r="J24" i="8"/>
  <c r="J25" i="8"/>
  <c r="J26" i="8"/>
  <c r="J27" i="8"/>
  <c r="J28" i="8"/>
  <c r="J29" i="8"/>
  <c r="J165" i="8"/>
  <c r="J3" i="8"/>
  <c r="J2" i="8"/>
  <c r="H4" i="2"/>
  <c r="H5" i="2"/>
  <c r="H6" i="2"/>
  <c r="H7" i="2"/>
  <c r="H8" i="2"/>
  <c r="H9" i="2"/>
  <c r="H10" i="2"/>
  <c r="H11" i="2"/>
  <c r="H3" i="2"/>
  <c r="G4" i="1"/>
  <c r="G3" i="1"/>
  <c r="G2" i="1"/>
  <c r="O276" i="21"/>
  <c r="P276" i="21"/>
  <c r="Q276" i="21"/>
  <c r="S276" i="21" s="1"/>
  <c r="T276" i="21" s="1"/>
  <c r="R276" i="21"/>
  <c r="O277" i="21"/>
  <c r="P277" i="21"/>
  <c r="Q277" i="21"/>
  <c r="S277" i="21" s="1"/>
  <c r="T277" i="21" s="1"/>
  <c r="R277" i="21"/>
  <c r="O278" i="21"/>
  <c r="P278" i="21"/>
  <c r="Q278" i="21"/>
  <c r="S278" i="21" s="1"/>
  <c r="T278" i="21" s="1"/>
  <c r="R278" i="21"/>
  <c r="O279" i="21"/>
  <c r="P279" i="21"/>
  <c r="Q279" i="21"/>
  <c r="S279" i="21" s="1"/>
  <c r="T279" i="21" s="1"/>
  <c r="R279" i="21"/>
  <c r="O280" i="21"/>
  <c r="P280" i="21"/>
  <c r="Q280" i="21"/>
  <c r="S280" i="21" s="1"/>
  <c r="T280" i="21" s="1"/>
  <c r="R280" i="21"/>
  <c r="O281" i="21"/>
  <c r="P281" i="21"/>
  <c r="Q281" i="21"/>
  <c r="S281" i="21" s="1"/>
  <c r="T281" i="21" s="1"/>
  <c r="R281" i="21"/>
  <c r="O282" i="21"/>
  <c r="P282" i="21"/>
  <c r="Q282" i="21"/>
  <c r="S282" i="21" s="1"/>
  <c r="T282" i="21" s="1"/>
  <c r="R282" i="21"/>
  <c r="O283" i="21"/>
  <c r="P283" i="21"/>
  <c r="Q283" i="21"/>
  <c r="S283" i="21" s="1"/>
  <c r="T283" i="21" s="1"/>
  <c r="R283" i="21"/>
  <c r="O284" i="21"/>
  <c r="P284" i="21"/>
  <c r="Q284" i="21"/>
  <c r="S284" i="21" s="1"/>
  <c r="T284" i="21" s="1"/>
  <c r="R284" i="21"/>
  <c r="O285" i="21"/>
  <c r="P285" i="21"/>
  <c r="Q285" i="21"/>
  <c r="S285" i="21" s="1"/>
  <c r="T285" i="21" s="1"/>
  <c r="R285" i="21"/>
  <c r="O286" i="21"/>
  <c r="P286" i="21"/>
  <c r="Q286" i="21"/>
  <c r="S286" i="21" s="1"/>
  <c r="T286" i="21" s="1"/>
  <c r="R286" i="21"/>
  <c r="O287" i="21"/>
  <c r="P287" i="21"/>
  <c r="Q287" i="21"/>
  <c r="S287" i="21" s="1"/>
  <c r="T287" i="21" s="1"/>
  <c r="R287" i="21"/>
  <c r="O288" i="21"/>
  <c r="P288" i="21"/>
  <c r="Q288" i="21"/>
  <c r="S288" i="21" s="1"/>
  <c r="T288" i="21" s="1"/>
  <c r="R288" i="21"/>
  <c r="O289" i="21"/>
  <c r="P289" i="21"/>
  <c r="Q289" i="21"/>
  <c r="S289" i="21" s="1"/>
  <c r="T289" i="21" s="1"/>
  <c r="R289" i="21"/>
  <c r="O290" i="21"/>
  <c r="P290" i="21"/>
  <c r="Q290" i="21"/>
  <c r="S290" i="21" s="1"/>
  <c r="T290" i="21" s="1"/>
  <c r="R290" i="21"/>
  <c r="O291" i="21"/>
  <c r="P291" i="21"/>
  <c r="Q291" i="21"/>
  <c r="S291" i="21" s="1"/>
  <c r="T291" i="21" s="1"/>
  <c r="R291" i="21"/>
  <c r="O292" i="21"/>
  <c r="P292" i="21"/>
  <c r="Q292" i="21"/>
  <c r="S292" i="21" s="1"/>
  <c r="T292" i="21" s="1"/>
  <c r="R292" i="21"/>
  <c r="O293" i="21"/>
  <c r="P293" i="21"/>
  <c r="Q293" i="21"/>
  <c r="S293" i="21" s="1"/>
  <c r="T293" i="21" s="1"/>
  <c r="R293" i="21"/>
  <c r="O294" i="21"/>
  <c r="P294" i="21"/>
  <c r="Q294" i="21"/>
  <c r="S294" i="21" s="1"/>
  <c r="T294" i="21" s="1"/>
  <c r="R294" i="21"/>
  <c r="O295" i="21"/>
  <c r="P295" i="21"/>
  <c r="Q295" i="21"/>
  <c r="S295" i="21" s="1"/>
  <c r="T295" i="21" s="1"/>
  <c r="R295" i="21"/>
  <c r="O296" i="21"/>
  <c r="P296" i="21"/>
  <c r="Q296" i="21"/>
  <c r="S296" i="21" s="1"/>
  <c r="T296" i="21" s="1"/>
  <c r="R296" i="21"/>
  <c r="O297" i="21"/>
  <c r="P297" i="21"/>
  <c r="Q297" i="21"/>
  <c r="S297" i="21" s="1"/>
  <c r="T297" i="21" s="1"/>
  <c r="R297" i="21"/>
  <c r="O298" i="21"/>
  <c r="P298" i="21"/>
  <c r="Q298" i="21"/>
  <c r="S298" i="21" s="1"/>
  <c r="T298" i="21" s="1"/>
  <c r="R298" i="21"/>
  <c r="O299" i="21"/>
  <c r="P299" i="21"/>
  <c r="Q299" i="21"/>
  <c r="S299" i="21" s="1"/>
  <c r="T299" i="21" s="1"/>
  <c r="R299" i="21"/>
  <c r="O300" i="21"/>
  <c r="P300" i="21"/>
  <c r="Q300" i="21"/>
  <c r="S300" i="21" s="1"/>
  <c r="T300" i="21" s="1"/>
  <c r="R300" i="21"/>
  <c r="O301" i="21"/>
  <c r="P301" i="21"/>
  <c r="Q301" i="21"/>
  <c r="S301" i="21" s="1"/>
  <c r="T301" i="21" s="1"/>
  <c r="R301" i="21"/>
  <c r="O302" i="21"/>
  <c r="P302" i="21"/>
  <c r="Q302" i="21"/>
  <c r="S302" i="21" s="1"/>
  <c r="T302" i="21" s="1"/>
  <c r="R302" i="21"/>
  <c r="O303" i="21"/>
  <c r="P303" i="21"/>
  <c r="Q303" i="21"/>
  <c r="S303" i="21" s="1"/>
  <c r="T303" i="21" s="1"/>
  <c r="R303" i="21"/>
  <c r="O304" i="21"/>
  <c r="P304" i="21"/>
  <c r="Q304" i="21"/>
  <c r="S304" i="21" s="1"/>
  <c r="T304" i="21" s="1"/>
  <c r="R304" i="21"/>
  <c r="O305" i="21"/>
  <c r="P305" i="21"/>
  <c r="Q305" i="21"/>
  <c r="S305" i="21" s="1"/>
  <c r="T305" i="21" s="1"/>
  <c r="R305" i="21"/>
  <c r="O306" i="21"/>
  <c r="P306" i="21"/>
  <c r="Q306" i="21"/>
  <c r="S306" i="21" s="1"/>
  <c r="T306" i="21" s="1"/>
  <c r="R306" i="21"/>
  <c r="O307" i="21"/>
  <c r="P307" i="21"/>
  <c r="Q307" i="21"/>
  <c r="S307" i="21" s="1"/>
  <c r="T307" i="21" s="1"/>
  <c r="R307" i="21"/>
  <c r="O308" i="21"/>
  <c r="P308" i="21"/>
  <c r="Q308" i="21"/>
  <c r="S308" i="21" s="1"/>
  <c r="T308" i="21" s="1"/>
  <c r="R308" i="21"/>
  <c r="O309" i="21"/>
  <c r="P309" i="21"/>
  <c r="Q309" i="21"/>
  <c r="S309" i="21" s="1"/>
  <c r="T309" i="21" s="1"/>
  <c r="R309" i="21"/>
  <c r="O310" i="21"/>
  <c r="P310" i="21"/>
  <c r="Q310" i="21"/>
  <c r="S310" i="21" s="1"/>
  <c r="T310" i="21" s="1"/>
  <c r="R310" i="21"/>
  <c r="O311" i="21"/>
  <c r="P311" i="21"/>
  <c r="Q311" i="21"/>
  <c r="S311" i="21" s="1"/>
  <c r="T311" i="21" s="1"/>
  <c r="R311" i="21"/>
  <c r="O312" i="21"/>
  <c r="P312" i="21"/>
  <c r="Q312" i="21"/>
  <c r="S312" i="21" s="1"/>
  <c r="T312" i="21" s="1"/>
  <c r="R312" i="21"/>
  <c r="O313" i="21"/>
  <c r="P313" i="21"/>
  <c r="Q313" i="21"/>
  <c r="S313" i="21" s="1"/>
  <c r="T313" i="21" s="1"/>
  <c r="R313" i="21"/>
  <c r="O243" i="21"/>
  <c r="Q243" i="21" s="1"/>
  <c r="P243" i="21"/>
  <c r="O244" i="21"/>
  <c r="Q244" i="21" s="1"/>
  <c r="P244" i="21"/>
  <c r="O245" i="21"/>
  <c r="Q245" i="21" s="1"/>
  <c r="P245" i="21"/>
  <c r="O246" i="21"/>
  <c r="Q246" i="21" s="1"/>
  <c r="P246" i="21"/>
  <c r="O247" i="21"/>
  <c r="Q247" i="21" s="1"/>
  <c r="P247" i="21"/>
  <c r="O248" i="21"/>
  <c r="Q248" i="21" s="1"/>
  <c r="P248" i="21"/>
  <c r="O249" i="21"/>
  <c r="Q249" i="21" s="1"/>
  <c r="P249" i="21"/>
  <c r="O250" i="21"/>
  <c r="Q250" i="21" s="1"/>
  <c r="P250" i="21"/>
  <c r="O251" i="21"/>
  <c r="Q251" i="21" s="1"/>
  <c r="P251" i="21"/>
  <c r="O252" i="21"/>
  <c r="Q252" i="21" s="1"/>
  <c r="P252" i="21"/>
  <c r="O253" i="21"/>
  <c r="Q253" i="21" s="1"/>
  <c r="P253" i="21"/>
  <c r="O254" i="21"/>
  <c r="Q254" i="21" s="1"/>
  <c r="P254" i="21"/>
  <c r="O255" i="21"/>
  <c r="Q255" i="21" s="1"/>
  <c r="P255" i="21"/>
  <c r="O256" i="21"/>
  <c r="Q256" i="21" s="1"/>
  <c r="P256" i="21"/>
  <c r="O257" i="21"/>
  <c r="Q257" i="21" s="1"/>
  <c r="P257" i="21"/>
  <c r="O258" i="21"/>
  <c r="Q258" i="21" s="1"/>
  <c r="P258" i="21"/>
  <c r="O259" i="21"/>
  <c r="Q259" i="21" s="1"/>
  <c r="P259" i="21"/>
  <c r="O260" i="21"/>
  <c r="Q260" i="21" s="1"/>
  <c r="P260" i="21"/>
  <c r="O261" i="21"/>
  <c r="Q261" i="21" s="1"/>
  <c r="P261" i="21"/>
  <c r="O262" i="21"/>
  <c r="Q262" i="21" s="1"/>
  <c r="P262" i="21"/>
  <c r="O263" i="21"/>
  <c r="Q263" i="21" s="1"/>
  <c r="P263" i="21"/>
  <c r="O264" i="21"/>
  <c r="Q264" i="21" s="1"/>
  <c r="P264" i="21"/>
  <c r="O265" i="21"/>
  <c r="Q265" i="21" s="1"/>
  <c r="P265" i="21"/>
  <c r="O266" i="21"/>
  <c r="Q266" i="21" s="1"/>
  <c r="P266" i="21"/>
  <c r="O267" i="21"/>
  <c r="Q267" i="21" s="1"/>
  <c r="P267" i="21"/>
  <c r="O268" i="21"/>
  <c r="Q268" i="21" s="1"/>
  <c r="P268" i="21"/>
  <c r="O269" i="21"/>
  <c r="Q269" i="21" s="1"/>
  <c r="P269" i="21"/>
  <c r="O270" i="21"/>
  <c r="Q270" i="21" s="1"/>
  <c r="P270" i="21"/>
  <c r="O271" i="21"/>
  <c r="Q271" i="21" s="1"/>
  <c r="P271" i="21"/>
  <c r="O272" i="21"/>
  <c r="Q272" i="21" s="1"/>
  <c r="P272" i="21"/>
  <c r="O273" i="21"/>
  <c r="Q273" i="21" s="1"/>
  <c r="P273" i="21"/>
  <c r="O274" i="21"/>
  <c r="Q274" i="21" s="1"/>
  <c r="P274" i="21"/>
  <c r="O275" i="21"/>
  <c r="Q275" i="21" s="1"/>
  <c r="P275" i="21"/>
  <c r="O213" i="21"/>
  <c r="Q213" i="21" s="1"/>
  <c r="P213" i="21"/>
  <c r="O214" i="21"/>
  <c r="Q214" i="21" s="1"/>
  <c r="P214" i="21"/>
  <c r="O215" i="21"/>
  <c r="Q215" i="21" s="1"/>
  <c r="P215" i="21"/>
  <c r="O216" i="21"/>
  <c r="Q216" i="21" s="1"/>
  <c r="P216" i="21"/>
  <c r="O217" i="21"/>
  <c r="Q217" i="21" s="1"/>
  <c r="P217" i="21"/>
  <c r="O218" i="21"/>
  <c r="Q218" i="21" s="1"/>
  <c r="P218" i="21"/>
  <c r="O219" i="21"/>
  <c r="Q219" i="21" s="1"/>
  <c r="P219" i="21"/>
  <c r="O220" i="21"/>
  <c r="Q220" i="21" s="1"/>
  <c r="P220" i="21"/>
  <c r="O221" i="21"/>
  <c r="Q221" i="21" s="1"/>
  <c r="P221" i="21"/>
  <c r="O222" i="21"/>
  <c r="Q222" i="21" s="1"/>
  <c r="P222" i="21"/>
  <c r="O223" i="21"/>
  <c r="Q223" i="21" s="1"/>
  <c r="P223" i="21"/>
  <c r="O224" i="21"/>
  <c r="Q224" i="21" s="1"/>
  <c r="P224" i="21"/>
  <c r="O225" i="21"/>
  <c r="Q225" i="21" s="1"/>
  <c r="P225" i="21"/>
  <c r="O226" i="21"/>
  <c r="Q226" i="21" s="1"/>
  <c r="P226" i="21"/>
  <c r="O227" i="21"/>
  <c r="Q227" i="21" s="1"/>
  <c r="P227" i="21"/>
  <c r="O228" i="21"/>
  <c r="Q228" i="21" s="1"/>
  <c r="P228" i="21"/>
  <c r="O229" i="21"/>
  <c r="Q229" i="21" s="1"/>
  <c r="P229" i="21"/>
  <c r="O230" i="21"/>
  <c r="R230" i="21" s="1"/>
  <c r="P230" i="21"/>
  <c r="O231" i="21"/>
  <c r="Q231" i="21" s="1"/>
  <c r="P231" i="21"/>
  <c r="O232" i="21"/>
  <c r="Q232" i="21" s="1"/>
  <c r="P232" i="21"/>
  <c r="O233" i="21"/>
  <c r="Q233" i="21" s="1"/>
  <c r="P233" i="21"/>
  <c r="O234" i="21"/>
  <c r="Q234" i="21" s="1"/>
  <c r="P234" i="21"/>
  <c r="O235" i="21"/>
  <c r="Q235" i="21" s="1"/>
  <c r="P235" i="21"/>
  <c r="O236" i="21"/>
  <c r="Q236" i="21" s="1"/>
  <c r="P236" i="21"/>
  <c r="O237" i="21"/>
  <c r="Q237" i="21" s="1"/>
  <c r="P237" i="21"/>
  <c r="O238" i="21"/>
  <c r="Q238" i="21" s="1"/>
  <c r="P238" i="21"/>
  <c r="O239" i="21"/>
  <c r="Q239" i="21" s="1"/>
  <c r="P239" i="21"/>
  <c r="O240" i="21"/>
  <c r="Q240" i="21" s="1"/>
  <c r="P240" i="21"/>
  <c r="O241" i="21"/>
  <c r="Q241" i="21" s="1"/>
  <c r="P241" i="21"/>
  <c r="O242" i="21"/>
  <c r="Q242" i="21" s="1"/>
  <c r="P242" i="21"/>
  <c r="O314" i="21"/>
  <c r="Q314" i="21" s="1"/>
  <c r="P314" i="21"/>
  <c r="O315" i="21"/>
  <c r="Q315" i="21" s="1"/>
  <c r="P315" i="21"/>
  <c r="S206" i="21"/>
  <c r="T206" i="21" s="1"/>
  <c r="O195" i="21"/>
  <c r="Q195" i="21" s="1"/>
  <c r="P195" i="21"/>
  <c r="O196" i="21"/>
  <c r="Q196" i="21" s="1"/>
  <c r="P196" i="21"/>
  <c r="O197" i="21"/>
  <c r="Q197" i="21" s="1"/>
  <c r="P197" i="21"/>
  <c r="O198" i="21"/>
  <c r="R198" i="21" s="1"/>
  <c r="P198" i="21"/>
  <c r="O199" i="21"/>
  <c r="P199" i="21"/>
  <c r="O200" i="21"/>
  <c r="P200" i="21"/>
  <c r="S200" i="21"/>
  <c r="T200" i="21" s="1"/>
  <c r="O201" i="21"/>
  <c r="P201" i="21"/>
  <c r="O202" i="21"/>
  <c r="P202" i="21"/>
  <c r="S202" i="21"/>
  <c r="T202" i="21" s="1"/>
  <c r="O203" i="21"/>
  <c r="P203" i="21"/>
  <c r="O204" i="21"/>
  <c r="Q204" i="21" s="1"/>
  <c r="P204" i="21"/>
  <c r="O205" i="21"/>
  <c r="Q205" i="21" s="1"/>
  <c r="P205" i="21"/>
  <c r="O206" i="21"/>
  <c r="P206" i="21"/>
  <c r="O207" i="21"/>
  <c r="Q207" i="21" s="1"/>
  <c r="P207" i="21"/>
  <c r="O208" i="21"/>
  <c r="Q208" i="21" s="1"/>
  <c r="P208" i="21"/>
  <c r="O209" i="21"/>
  <c r="Q209" i="21" s="1"/>
  <c r="P209" i="21"/>
  <c r="O210" i="21"/>
  <c r="Q210" i="21" s="1"/>
  <c r="P210" i="21"/>
  <c r="O211" i="21"/>
  <c r="Q211" i="21" s="1"/>
  <c r="P211" i="21"/>
  <c r="O212" i="21"/>
  <c r="Q212" i="21" s="1"/>
  <c r="P212" i="21"/>
  <c r="S186" i="21"/>
  <c r="T186" i="21" s="1"/>
  <c r="O185" i="21"/>
  <c r="P185" i="21"/>
  <c r="S185" i="21"/>
  <c r="T185" i="21" s="1"/>
  <c r="O186" i="21"/>
  <c r="P186" i="21"/>
  <c r="O187" i="21"/>
  <c r="P187" i="21"/>
  <c r="S187" i="21"/>
  <c r="T187" i="21" s="1"/>
  <c r="O188" i="21"/>
  <c r="Q188" i="21" s="1"/>
  <c r="P188" i="21"/>
  <c r="O189" i="21"/>
  <c r="Q189" i="21" s="1"/>
  <c r="P189" i="21"/>
  <c r="O190" i="21"/>
  <c r="Q190" i="21" s="1"/>
  <c r="P190" i="21"/>
  <c r="O191" i="21"/>
  <c r="Q191" i="21" s="1"/>
  <c r="P191" i="21"/>
  <c r="O192" i="21"/>
  <c r="P192" i="21"/>
  <c r="S192" i="21"/>
  <c r="T192" i="21" s="1"/>
  <c r="O193" i="21"/>
  <c r="Q193" i="21" s="1"/>
  <c r="P193" i="21"/>
  <c r="O194" i="21"/>
  <c r="Q194" i="21" s="1"/>
  <c r="P194" i="21"/>
  <c r="O167" i="21"/>
  <c r="R167" i="21" s="1"/>
  <c r="P167" i="21"/>
  <c r="O168" i="21"/>
  <c r="Q168" i="21" s="1"/>
  <c r="P168" i="21"/>
  <c r="O169" i="21"/>
  <c r="R169" i="21" s="1"/>
  <c r="P169" i="21"/>
  <c r="O170" i="21"/>
  <c r="Q170" i="21" s="1"/>
  <c r="P170" i="21"/>
  <c r="O171" i="21"/>
  <c r="R171" i="21" s="1"/>
  <c r="P171" i="21"/>
  <c r="O172" i="21"/>
  <c r="Q172" i="21" s="1"/>
  <c r="P172" i="21"/>
  <c r="O173" i="21"/>
  <c r="Q173" i="21" s="1"/>
  <c r="P173" i="21"/>
  <c r="O174" i="21"/>
  <c r="Q174" i="21" s="1"/>
  <c r="P174" i="21"/>
  <c r="O175" i="21"/>
  <c r="R175" i="21" s="1"/>
  <c r="P175" i="21"/>
  <c r="O176" i="21"/>
  <c r="R176" i="21" s="1"/>
  <c r="P176" i="21"/>
  <c r="O177" i="21"/>
  <c r="R177" i="21" s="1"/>
  <c r="P177" i="21"/>
  <c r="O178" i="21"/>
  <c r="R178" i="21" s="1"/>
  <c r="P178" i="21"/>
  <c r="O179" i="21"/>
  <c r="R179" i="21" s="1"/>
  <c r="P179" i="21"/>
  <c r="O180" i="21"/>
  <c r="R180" i="21" s="1"/>
  <c r="P180" i="21"/>
  <c r="O181" i="21"/>
  <c r="Q181" i="21" s="1"/>
  <c r="P181" i="21"/>
  <c r="O182" i="21"/>
  <c r="Q182" i="21" s="1"/>
  <c r="P182" i="21"/>
  <c r="O183" i="21"/>
  <c r="R183" i="21" s="1"/>
  <c r="P183" i="21"/>
  <c r="O150" i="21"/>
  <c r="Q150" i="21" s="1"/>
  <c r="P150" i="21"/>
  <c r="O151" i="21"/>
  <c r="Q151" i="21" s="1"/>
  <c r="P151" i="21"/>
  <c r="O152" i="21"/>
  <c r="R152" i="21" s="1"/>
  <c r="P152" i="21"/>
  <c r="O153" i="21"/>
  <c r="Q153" i="21" s="1"/>
  <c r="P153" i="21"/>
  <c r="O154" i="21"/>
  <c r="Q154" i="21" s="1"/>
  <c r="P154" i="21"/>
  <c r="O155" i="21"/>
  <c r="Q155" i="21" s="1"/>
  <c r="P155" i="21"/>
  <c r="O156" i="21"/>
  <c r="R156" i="21" s="1"/>
  <c r="P156" i="21"/>
  <c r="O157" i="21"/>
  <c r="Q157" i="21" s="1"/>
  <c r="P157" i="21"/>
  <c r="O158" i="21"/>
  <c r="Q158" i="21" s="1"/>
  <c r="P158" i="21"/>
  <c r="O159" i="21"/>
  <c r="Q159" i="21" s="1"/>
  <c r="P159" i="21"/>
  <c r="O160" i="21"/>
  <c r="Q160" i="21" s="1"/>
  <c r="P160" i="21"/>
  <c r="O161" i="21"/>
  <c r="Q161" i="21" s="1"/>
  <c r="P161" i="21"/>
  <c r="O162" i="21"/>
  <c r="Q162" i="21" s="1"/>
  <c r="P162" i="21"/>
  <c r="O163" i="21"/>
  <c r="Q163" i="21" s="1"/>
  <c r="P163" i="21"/>
  <c r="O164" i="21"/>
  <c r="R164" i="21" s="1"/>
  <c r="P164" i="21"/>
  <c r="O165" i="21"/>
  <c r="Q165" i="21" s="1"/>
  <c r="P165" i="21"/>
  <c r="O166" i="21"/>
  <c r="Q166" i="21" s="1"/>
  <c r="P166" i="21"/>
  <c r="Q126" i="21"/>
  <c r="R126" i="21"/>
  <c r="Q127" i="21"/>
  <c r="R127" i="21"/>
  <c r="Q128" i="21"/>
  <c r="R128" i="21"/>
  <c r="Q129" i="21"/>
  <c r="R129" i="21"/>
  <c r="Q130" i="21"/>
  <c r="R130" i="21"/>
  <c r="Q131" i="21"/>
  <c r="R131" i="21"/>
  <c r="Q132" i="21"/>
  <c r="R132" i="21"/>
  <c r="Q133" i="21"/>
  <c r="R133" i="21"/>
  <c r="Q134" i="21"/>
  <c r="R134" i="21"/>
  <c r="Q135" i="21"/>
  <c r="R135" i="21"/>
  <c r="Q136" i="21"/>
  <c r="R136" i="21"/>
  <c r="Q137" i="21"/>
  <c r="R137" i="21"/>
  <c r="Q138" i="21"/>
  <c r="R138" i="21"/>
  <c r="Q139" i="21"/>
  <c r="R139" i="21"/>
  <c r="Q140" i="21"/>
  <c r="R140" i="21"/>
  <c r="Q141" i="21"/>
  <c r="R141" i="21"/>
  <c r="Q142" i="21"/>
  <c r="R142" i="21"/>
  <c r="Q143" i="21"/>
  <c r="R143" i="21"/>
  <c r="Q144" i="21"/>
  <c r="R144" i="21"/>
  <c r="Q145" i="21"/>
  <c r="R145" i="21"/>
  <c r="Q146" i="21"/>
  <c r="R146" i="21"/>
  <c r="Q147" i="21"/>
  <c r="R147" i="21"/>
  <c r="Q148" i="21"/>
  <c r="R148" i="21"/>
  <c r="M126" i="21"/>
  <c r="M127" i="21"/>
  <c r="M128" i="21"/>
  <c r="M129" i="21"/>
  <c r="M130" i="21"/>
  <c r="M131" i="21"/>
  <c r="M132" i="21"/>
  <c r="M133" i="21"/>
  <c r="M134" i="21"/>
  <c r="M135" i="21"/>
  <c r="M136" i="21"/>
  <c r="M137" i="21"/>
  <c r="M138" i="21"/>
  <c r="M139" i="21"/>
  <c r="M140" i="21"/>
  <c r="M141" i="21"/>
  <c r="M142" i="21"/>
  <c r="M143" i="21"/>
  <c r="M144" i="21"/>
  <c r="M145" i="21"/>
  <c r="M146" i="21"/>
  <c r="M147" i="21"/>
  <c r="M148" i="21"/>
  <c r="M125" i="21"/>
  <c r="O118" i="21"/>
  <c r="Q118" i="21" s="1"/>
  <c r="P118" i="21"/>
  <c r="O119" i="21"/>
  <c r="R119" i="21" s="1"/>
  <c r="P119" i="21"/>
  <c r="O120" i="21"/>
  <c r="R120" i="21" s="1"/>
  <c r="P120" i="21"/>
  <c r="O121" i="21"/>
  <c r="Q121" i="21" s="1"/>
  <c r="P121" i="21"/>
  <c r="O122" i="21"/>
  <c r="R122" i="21" s="1"/>
  <c r="P122" i="21"/>
  <c r="O123" i="21"/>
  <c r="Q123" i="21" s="1"/>
  <c r="P123" i="21"/>
  <c r="O124" i="21"/>
  <c r="R124" i="21" s="1"/>
  <c r="P124" i="21"/>
  <c r="O110" i="21"/>
  <c r="R110" i="21" s="1"/>
  <c r="P110" i="21"/>
  <c r="O111" i="21"/>
  <c r="Q111" i="21" s="1"/>
  <c r="P111" i="21"/>
  <c r="O112" i="21"/>
  <c r="Q112" i="21" s="1"/>
  <c r="P112" i="21"/>
  <c r="O113" i="21"/>
  <c r="Q113" i="21" s="1"/>
  <c r="P113" i="21"/>
  <c r="O114" i="21"/>
  <c r="R114" i="21" s="1"/>
  <c r="P114" i="21"/>
  <c r="O115" i="21"/>
  <c r="Q115" i="21" s="1"/>
  <c r="P115" i="21"/>
  <c r="O116" i="21"/>
  <c r="R116" i="21" s="1"/>
  <c r="P116" i="21"/>
  <c r="R258" i="21" l="1"/>
  <c r="S258" i="21" s="1"/>
  <c r="T258" i="21" s="1"/>
  <c r="R246" i="21"/>
  <c r="S246" i="21" s="1"/>
  <c r="T246" i="21" s="1"/>
  <c r="R274" i="21"/>
  <c r="S274" i="21" s="1"/>
  <c r="T274" i="21" s="1"/>
  <c r="R262" i="21"/>
  <c r="S262" i="21" s="1"/>
  <c r="T262" i="21" s="1"/>
  <c r="R266" i="21"/>
  <c r="S266" i="21" s="1"/>
  <c r="T266" i="21" s="1"/>
  <c r="R250" i="21"/>
  <c r="S250" i="21" s="1"/>
  <c r="T250" i="21" s="1"/>
  <c r="R270" i="21"/>
  <c r="S270" i="21" s="1"/>
  <c r="T270" i="21" s="1"/>
  <c r="R254" i="21"/>
  <c r="S254" i="21" s="1"/>
  <c r="T254" i="21" s="1"/>
  <c r="R272" i="21"/>
  <c r="S272" i="21" s="1"/>
  <c r="T272" i="21" s="1"/>
  <c r="R268" i="21"/>
  <c r="S268" i="21" s="1"/>
  <c r="T268" i="21" s="1"/>
  <c r="R264" i="21"/>
  <c r="S264" i="21" s="1"/>
  <c r="T264" i="21" s="1"/>
  <c r="R260" i="21"/>
  <c r="S260" i="21" s="1"/>
  <c r="T260" i="21" s="1"/>
  <c r="R256" i="21"/>
  <c r="S256" i="21" s="1"/>
  <c r="T256" i="21" s="1"/>
  <c r="R252" i="21"/>
  <c r="S252" i="21" s="1"/>
  <c r="T252" i="21" s="1"/>
  <c r="R248" i="21"/>
  <c r="S248" i="21" s="1"/>
  <c r="T248" i="21" s="1"/>
  <c r="R244" i="21"/>
  <c r="S244" i="21" s="1"/>
  <c r="T244" i="21" s="1"/>
  <c r="R275" i="21"/>
  <c r="S275" i="21" s="1"/>
  <c r="T275" i="21" s="1"/>
  <c r="R273" i="21"/>
  <c r="S273" i="21" s="1"/>
  <c r="T273" i="21" s="1"/>
  <c r="R271" i="21"/>
  <c r="S271" i="21" s="1"/>
  <c r="T271" i="21" s="1"/>
  <c r="R269" i="21"/>
  <c r="S269" i="21" s="1"/>
  <c r="T269" i="21" s="1"/>
  <c r="R267" i="21"/>
  <c r="S267" i="21" s="1"/>
  <c r="T267" i="21" s="1"/>
  <c r="R265" i="21"/>
  <c r="S265" i="21" s="1"/>
  <c r="T265" i="21" s="1"/>
  <c r="R263" i="21"/>
  <c r="S263" i="21" s="1"/>
  <c r="T263" i="21" s="1"/>
  <c r="R261" i="21"/>
  <c r="S261" i="21" s="1"/>
  <c r="T261" i="21" s="1"/>
  <c r="R259" i="21"/>
  <c r="S259" i="21" s="1"/>
  <c r="T259" i="21" s="1"/>
  <c r="R257" i="21"/>
  <c r="S257" i="21" s="1"/>
  <c r="T257" i="21" s="1"/>
  <c r="R255" i="21"/>
  <c r="S255" i="21" s="1"/>
  <c r="T255" i="21" s="1"/>
  <c r="R253" i="21"/>
  <c r="S253" i="21" s="1"/>
  <c r="T253" i="21" s="1"/>
  <c r="R251" i="21"/>
  <c r="S251" i="21" s="1"/>
  <c r="T251" i="21" s="1"/>
  <c r="R249" i="21"/>
  <c r="S249" i="21" s="1"/>
  <c r="T249" i="21" s="1"/>
  <c r="R247" i="21"/>
  <c r="S247" i="21" s="1"/>
  <c r="T247" i="21" s="1"/>
  <c r="R245" i="21"/>
  <c r="S245" i="21" s="1"/>
  <c r="T245" i="21" s="1"/>
  <c r="R243" i="21"/>
  <c r="S243" i="21" s="1"/>
  <c r="T243" i="21" s="1"/>
  <c r="R242" i="21"/>
  <c r="S242" i="21" s="1"/>
  <c r="T242" i="21" s="1"/>
  <c r="R232" i="21"/>
  <c r="S232" i="21" s="1"/>
  <c r="T232" i="21" s="1"/>
  <c r="R236" i="21"/>
  <c r="S236" i="21" s="1"/>
  <c r="T236" i="21" s="1"/>
  <c r="R238" i="21"/>
  <c r="S238" i="21" s="1"/>
  <c r="T238" i="21" s="1"/>
  <c r="R220" i="21"/>
  <c r="S220" i="21" s="1"/>
  <c r="T220" i="21" s="1"/>
  <c r="R224" i="21"/>
  <c r="S224" i="21" s="1"/>
  <c r="T224" i="21" s="1"/>
  <c r="Q230" i="21"/>
  <c r="S230" i="21" s="1"/>
  <c r="T230" i="21" s="1"/>
  <c r="R214" i="21"/>
  <c r="S214" i="21" s="1"/>
  <c r="T214" i="21" s="1"/>
  <c r="R226" i="21"/>
  <c r="S226" i="21" s="1"/>
  <c r="T226" i="21" s="1"/>
  <c r="R218" i="21"/>
  <c r="S218" i="21" s="1"/>
  <c r="T218" i="21" s="1"/>
  <c r="Q198" i="21"/>
  <c r="S198" i="21" s="1"/>
  <c r="T198" i="21" s="1"/>
  <c r="R315" i="21"/>
  <c r="S315" i="21" s="1"/>
  <c r="T315" i="21" s="1"/>
  <c r="R234" i="21"/>
  <c r="S234" i="21" s="1"/>
  <c r="T234" i="21" s="1"/>
  <c r="R228" i="21"/>
  <c r="S228" i="21" s="1"/>
  <c r="T228" i="21" s="1"/>
  <c r="R222" i="21"/>
  <c r="S222" i="21" s="1"/>
  <c r="T222" i="21" s="1"/>
  <c r="R216" i="21"/>
  <c r="S216" i="21" s="1"/>
  <c r="T216" i="21" s="1"/>
  <c r="R240" i="21"/>
  <c r="S240" i="21" s="1"/>
  <c r="T240" i="21" s="1"/>
  <c r="R314" i="21"/>
  <c r="S314" i="21" s="1"/>
  <c r="T314" i="21" s="1"/>
  <c r="R241" i="21"/>
  <c r="S241" i="21" s="1"/>
  <c r="T241" i="21" s="1"/>
  <c r="R239" i="21"/>
  <c r="S239" i="21" s="1"/>
  <c r="T239" i="21" s="1"/>
  <c r="R237" i="21"/>
  <c r="S237" i="21" s="1"/>
  <c r="T237" i="21" s="1"/>
  <c r="R235" i="21"/>
  <c r="S235" i="21" s="1"/>
  <c r="T235" i="21" s="1"/>
  <c r="R233" i="21"/>
  <c r="S233" i="21" s="1"/>
  <c r="T233" i="21" s="1"/>
  <c r="R231" i="21"/>
  <c r="S231" i="21" s="1"/>
  <c r="T231" i="21" s="1"/>
  <c r="R229" i="21"/>
  <c r="S229" i="21" s="1"/>
  <c r="T229" i="21" s="1"/>
  <c r="R227" i="21"/>
  <c r="S227" i="21" s="1"/>
  <c r="T227" i="21" s="1"/>
  <c r="R225" i="21"/>
  <c r="S225" i="21" s="1"/>
  <c r="T225" i="21" s="1"/>
  <c r="R223" i="21"/>
  <c r="S223" i="21" s="1"/>
  <c r="T223" i="21" s="1"/>
  <c r="R221" i="21"/>
  <c r="S221" i="21" s="1"/>
  <c r="T221" i="21" s="1"/>
  <c r="R219" i="21"/>
  <c r="S219" i="21" s="1"/>
  <c r="T219" i="21" s="1"/>
  <c r="R217" i="21"/>
  <c r="S217" i="21" s="1"/>
  <c r="T217" i="21" s="1"/>
  <c r="R215" i="21"/>
  <c r="S215" i="21" s="1"/>
  <c r="T215" i="21" s="1"/>
  <c r="R213" i="21"/>
  <c r="S213" i="21" s="1"/>
  <c r="T213" i="21" s="1"/>
  <c r="R210" i="21"/>
  <c r="S210" i="21" s="1"/>
  <c r="T210" i="21" s="1"/>
  <c r="R204" i="21"/>
  <c r="S204" i="21" s="1"/>
  <c r="T204" i="21" s="1"/>
  <c r="R196" i="21"/>
  <c r="S196" i="21" s="1"/>
  <c r="T196" i="21" s="1"/>
  <c r="R212" i="21"/>
  <c r="S212" i="21" s="1"/>
  <c r="T212" i="21" s="1"/>
  <c r="R208" i="21"/>
  <c r="S208" i="21" s="1"/>
  <c r="T208" i="21" s="1"/>
  <c r="S203" i="21"/>
  <c r="T203" i="21" s="1"/>
  <c r="R211" i="21"/>
  <c r="S211" i="21" s="1"/>
  <c r="T211" i="21" s="1"/>
  <c r="R209" i="21"/>
  <c r="S209" i="21" s="1"/>
  <c r="T209" i="21" s="1"/>
  <c r="R207" i="21"/>
  <c r="S207" i="21" s="1"/>
  <c r="T207" i="21" s="1"/>
  <c r="R205" i="21"/>
  <c r="S205" i="21" s="1"/>
  <c r="T205" i="21" s="1"/>
  <c r="S201" i="21"/>
  <c r="T201" i="21" s="1"/>
  <c r="S199" i="21"/>
  <c r="T199" i="21" s="1"/>
  <c r="R197" i="21"/>
  <c r="S197" i="21" s="1"/>
  <c r="T197" i="21" s="1"/>
  <c r="R195" i="21"/>
  <c r="S195" i="21" s="1"/>
  <c r="T195" i="21" s="1"/>
  <c r="R189" i="21"/>
  <c r="S189" i="21" s="1"/>
  <c r="T189" i="21" s="1"/>
  <c r="R194" i="21"/>
  <c r="S194" i="21" s="1"/>
  <c r="T194" i="21" s="1"/>
  <c r="R191" i="21"/>
  <c r="S191" i="21" s="1"/>
  <c r="T191" i="21" s="1"/>
  <c r="R188" i="21"/>
  <c r="S188" i="21" s="1"/>
  <c r="T188" i="21" s="1"/>
  <c r="R193" i="21"/>
  <c r="S193" i="21" s="1"/>
  <c r="T193" i="21" s="1"/>
  <c r="R190" i="21"/>
  <c r="S190" i="21" s="1"/>
  <c r="T190" i="21" s="1"/>
  <c r="Q177" i="21"/>
  <c r="S177" i="21" s="1"/>
  <c r="T177" i="21" s="1"/>
  <c r="R157" i="21"/>
  <c r="S157" i="21" s="1"/>
  <c r="T157" i="21" s="1"/>
  <c r="S134" i="21"/>
  <c r="T134" i="21" s="1"/>
  <c r="S132" i="21"/>
  <c r="T132" i="21" s="1"/>
  <c r="Q167" i="21"/>
  <c r="S167" i="21" s="1"/>
  <c r="T167" i="21" s="1"/>
  <c r="Q124" i="21"/>
  <c r="S124" i="21" s="1"/>
  <c r="T124" i="21" s="1"/>
  <c r="Q114" i="21"/>
  <c r="S114" i="21" s="1"/>
  <c r="T114" i="21" s="1"/>
  <c r="Q171" i="21"/>
  <c r="S171" i="21" s="1"/>
  <c r="T171" i="21" s="1"/>
  <c r="Q116" i="21"/>
  <c r="S116" i="21" s="1"/>
  <c r="T116" i="21" s="1"/>
  <c r="Q152" i="21"/>
  <c r="S152" i="21" s="1"/>
  <c r="T152" i="21" s="1"/>
  <c r="Q119" i="21"/>
  <c r="S119" i="21" s="1"/>
  <c r="T119" i="21" s="1"/>
  <c r="Q179" i="21"/>
  <c r="S179" i="21" s="1"/>
  <c r="T179" i="21" s="1"/>
  <c r="Q122" i="21"/>
  <c r="S122" i="21" s="1"/>
  <c r="T122" i="21" s="1"/>
  <c r="R161" i="21"/>
  <c r="S161" i="21" s="1"/>
  <c r="T161" i="21" s="1"/>
  <c r="Q156" i="21"/>
  <c r="S156" i="21" s="1"/>
  <c r="T156" i="21" s="1"/>
  <c r="S142" i="21"/>
  <c r="T142" i="21" s="1"/>
  <c r="S144" i="21"/>
  <c r="T144" i="21" s="1"/>
  <c r="S148" i="21"/>
  <c r="T148" i="21" s="1"/>
  <c r="R165" i="21"/>
  <c r="S165" i="21" s="1"/>
  <c r="T165" i="21" s="1"/>
  <c r="Q169" i="21"/>
  <c r="S169" i="21" s="1"/>
  <c r="T169" i="21" s="1"/>
  <c r="S141" i="21"/>
  <c r="T141" i="21" s="1"/>
  <c r="Q183" i="21"/>
  <c r="S183" i="21" s="1"/>
  <c r="T183" i="21" s="1"/>
  <c r="S133" i="21"/>
  <c r="T133" i="21" s="1"/>
  <c r="S138" i="21"/>
  <c r="T138" i="21" s="1"/>
  <c r="Q120" i="21"/>
  <c r="S120" i="21" s="1"/>
  <c r="T120" i="21" s="1"/>
  <c r="S130" i="21"/>
  <c r="T130" i="21" s="1"/>
  <c r="S146" i="21"/>
  <c r="T146" i="21" s="1"/>
  <c r="S140" i="21"/>
  <c r="T140" i="21" s="1"/>
  <c r="S139" i="21"/>
  <c r="T139" i="21" s="1"/>
  <c r="Q164" i="21"/>
  <c r="S164" i="21" s="1"/>
  <c r="T164" i="21" s="1"/>
  <c r="R160" i="21"/>
  <c r="S160" i="21" s="1"/>
  <c r="T160" i="21" s="1"/>
  <c r="Q180" i="21"/>
  <c r="S180" i="21" s="1"/>
  <c r="T180" i="21" s="1"/>
  <c r="R173" i="21"/>
  <c r="S173" i="21" s="1"/>
  <c r="T173" i="21" s="1"/>
  <c r="S128" i="21"/>
  <c r="T128" i="21" s="1"/>
  <c r="R111" i="21"/>
  <c r="S111" i="21" s="1"/>
  <c r="T111" i="21" s="1"/>
  <c r="R163" i="21"/>
  <c r="S163" i="21" s="1"/>
  <c r="T163" i="21" s="1"/>
  <c r="S127" i="21"/>
  <c r="T127" i="21" s="1"/>
  <c r="R159" i="21"/>
  <c r="S159" i="21" s="1"/>
  <c r="T159" i="21" s="1"/>
  <c r="Q176" i="21"/>
  <c r="S176" i="21" s="1"/>
  <c r="T176" i="21" s="1"/>
  <c r="R172" i="21"/>
  <c r="S172" i="21" s="1"/>
  <c r="T172" i="21" s="1"/>
  <c r="S143" i="21"/>
  <c r="T143" i="21" s="1"/>
  <c r="S137" i="21"/>
  <c r="T137" i="21" s="1"/>
  <c r="S126" i="21"/>
  <c r="T126" i="21" s="1"/>
  <c r="R155" i="21"/>
  <c r="S155" i="21" s="1"/>
  <c r="T155" i="21" s="1"/>
  <c r="R151" i="21"/>
  <c r="S151" i="21" s="1"/>
  <c r="T151" i="21" s="1"/>
  <c r="R168" i="21"/>
  <c r="S168" i="21" s="1"/>
  <c r="T168" i="21" s="1"/>
  <c r="R181" i="21"/>
  <c r="S181" i="21" s="1"/>
  <c r="T181" i="21" s="1"/>
  <c r="S136" i="21"/>
  <c r="T136" i="21" s="1"/>
  <c r="Q175" i="21"/>
  <c r="S175" i="21" s="1"/>
  <c r="T175" i="21" s="1"/>
  <c r="R182" i="21"/>
  <c r="S182" i="21" s="1"/>
  <c r="T182" i="21" s="1"/>
  <c r="R174" i="21"/>
  <c r="S174" i="21" s="1"/>
  <c r="T174" i="21" s="1"/>
  <c r="R170" i="21"/>
  <c r="S170" i="21" s="1"/>
  <c r="T170" i="21" s="1"/>
  <c r="Q178" i="21"/>
  <c r="S178" i="21" s="1"/>
  <c r="T178" i="21" s="1"/>
  <c r="R153" i="21"/>
  <c r="S153" i="21" s="1"/>
  <c r="T153" i="21" s="1"/>
  <c r="R166" i="21"/>
  <c r="S166" i="21" s="1"/>
  <c r="T166" i="21" s="1"/>
  <c r="R162" i="21"/>
  <c r="S162" i="21" s="1"/>
  <c r="T162" i="21" s="1"/>
  <c r="R158" i="21"/>
  <c r="S158" i="21" s="1"/>
  <c r="T158" i="21" s="1"/>
  <c r="R154" i="21"/>
  <c r="S154" i="21" s="1"/>
  <c r="T154" i="21" s="1"/>
  <c r="R150" i="21"/>
  <c r="S150" i="21" s="1"/>
  <c r="T150" i="21" s="1"/>
  <c r="S145" i="21"/>
  <c r="T145" i="21" s="1"/>
  <c r="S129" i="21"/>
  <c r="T129" i="21" s="1"/>
  <c r="S135" i="21"/>
  <c r="T135" i="21" s="1"/>
  <c r="R115" i="21"/>
  <c r="S115" i="21" s="1"/>
  <c r="T115" i="21" s="1"/>
  <c r="Q110" i="21"/>
  <c r="S110" i="21" s="1"/>
  <c r="T110" i="21" s="1"/>
  <c r="R123" i="21"/>
  <c r="S123" i="21" s="1"/>
  <c r="T123" i="21" s="1"/>
  <c r="R112" i="21"/>
  <c r="S112" i="21" s="1"/>
  <c r="T112" i="21" s="1"/>
  <c r="S147" i="21"/>
  <c r="T147" i="21" s="1"/>
  <c r="S131" i="21"/>
  <c r="T131" i="21" s="1"/>
  <c r="R121" i="21"/>
  <c r="S121" i="21" s="1"/>
  <c r="T121" i="21" s="1"/>
  <c r="R118" i="21"/>
  <c r="S118" i="21" s="1"/>
  <c r="T118" i="21" s="1"/>
  <c r="R113" i="21"/>
  <c r="S113" i="21" s="1"/>
  <c r="T113" i="21" s="1"/>
  <c r="O108" i="21"/>
  <c r="R108" i="21" s="1"/>
  <c r="P108" i="21"/>
  <c r="O93" i="21"/>
  <c r="Q93" i="21" s="1"/>
  <c r="P93" i="21"/>
  <c r="O94" i="21"/>
  <c r="Q94" i="21" s="1"/>
  <c r="P94" i="21"/>
  <c r="O95" i="21"/>
  <c r="Q95" i="21" s="1"/>
  <c r="P95" i="21"/>
  <c r="O96" i="21"/>
  <c r="R96" i="21" s="1"/>
  <c r="P96" i="21"/>
  <c r="O97" i="21"/>
  <c r="Q97" i="21" s="1"/>
  <c r="P97" i="21"/>
  <c r="O98" i="21"/>
  <c r="Q98" i="21" s="1"/>
  <c r="P98" i="21"/>
  <c r="O99" i="21"/>
  <c r="R99" i="21" s="1"/>
  <c r="P99" i="21"/>
  <c r="O100" i="21"/>
  <c r="Q100" i="21" s="1"/>
  <c r="P100" i="21"/>
  <c r="O101" i="21"/>
  <c r="Q101" i="21" s="1"/>
  <c r="P101" i="21"/>
  <c r="O102" i="21"/>
  <c r="Q102" i="21" s="1"/>
  <c r="P102" i="21"/>
  <c r="O103" i="21"/>
  <c r="Q103" i="21" s="1"/>
  <c r="P103" i="21"/>
  <c r="O104" i="21"/>
  <c r="Q104" i="21" s="1"/>
  <c r="P104" i="21"/>
  <c r="O105" i="21"/>
  <c r="Q105" i="21" s="1"/>
  <c r="P105" i="21"/>
  <c r="R103" i="21" l="1"/>
  <c r="S103" i="21" s="1"/>
  <c r="T103" i="21" s="1"/>
  <c r="Q96" i="21"/>
  <c r="S96" i="21" s="1"/>
  <c r="T96" i="21" s="1"/>
  <c r="Q99" i="21"/>
  <c r="S99" i="21" s="1"/>
  <c r="T99" i="21" s="1"/>
  <c r="R100" i="21"/>
  <c r="S100" i="21" s="1"/>
  <c r="T100" i="21" s="1"/>
  <c r="R104" i="21"/>
  <c r="S104" i="21" s="1"/>
  <c r="T104" i="21" s="1"/>
  <c r="R95" i="21"/>
  <c r="S95" i="21" s="1"/>
  <c r="T95" i="21" s="1"/>
  <c r="Q108" i="21"/>
  <c r="S108" i="21" s="1"/>
  <c r="T108" i="21" s="1"/>
  <c r="R101" i="21"/>
  <c r="S101" i="21" s="1"/>
  <c r="T101" i="21" s="1"/>
  <c r="R97" i="21"/>
  <c r="S97" i="21" s="1"/>
  <c r="T97" i="21" s="1"/>
  <c r="R93" i="21"/>
  <c r="S93" i="21" s="1"/>
  <c r="T93" i="21" s="1"/>
  <c r="R105" i="21"/>
  <c r="S105" i="21" s="1"/>
  <c r="T105" i="21" s="1"/>
  <c r="R102" i="21"/>
  <c r="S102" i="21" s="1"/>
  <c r="T102" i="21" s="1"/>
  <c r="R98" i="21"/>
  <c r="S98" i="21" s="1"/>
  <c r="T98" i="21" s="1"/>
  <c r="R94" i="21"/>
  <c r="S94" i="21" s="1"/>
  <c r="T94" i="21" s="1"/>
  <c r="O78" i="21"/>
  <c r="Q78" i="21" s="1"/>
  <c r="P78" i="21"/>
  <c r="O79" i="21"/>
  <c r="Q79" i="21" s="1"/>
  <c r="P79" i="21"/>
  <c r="O80" i="21"/>
  <c r="Q80" i="21" s="1"/>
  <c r="P80" i="21"/>
  <c r="O81" i="21"/>
  <c r="Q81" i="21" s="1"/>
  <c r="P81" i="21"/>
  <c r="O82" i="21"/>
  <c r="R82" i="21" s="1"/>
  <c r="P82" i="21"/>
  <c r="O83" i="21"/>
  <c r="Q83" i="21" s="1"/>
  <c r="P83" i="21"/>
  <c r="O84" i="21"/>
  <c r="Q84" i="21" s="1"/>
  <c r="P84" i="21"/>
  <c r="O85" i="21"/>
  <c r="Q85" i="21" s="1"/>
  <c r="P85" i="21"/>
  <c r="O86" i="21"/>
  <c r="Q86" i="21" s="1"/>
  <c r="P86" i="21"/>
  <c r="O87" i="21"/>
  <c r="Q87" i="21" s="1"/>
  <c r="P87" i="21"/>
  <c r="O88" i="21"/>
  <c r="Q88" i="21" s="1"/>
  <c r="P88" i="21"/>
  <c r="O89" i="21"/>
  <c r="Q89" i="21" s="1"/>
  <c r="P89" i="21"/>
  <c r="O90" i="21"/>
  <c r="Q90" i="21" s="1"/>
  <c r="P90" i="21"/>
  <c r="O72" i="21"/>
  <c r="R72" i="21" s="1"/>
  <c r="P72" i="21"/>
  <c r="O73" i="21"/>
  <c r="R73" i="21" s="1"/>
  <c r="P73" i="21"/>
  <c r="O74" i="21"/>
  <c r="Q74" i="21" s="1"/>
  <c r="P74" i="21"/>
  <c r="O75" i="21"/>
  <c r="R75" i="21" s="1"/>
  <c r="P75" i="21"/>
  <c r="O76" i="21"/>
  <c r="R76" i="21" s="1"/>
  <c r="P76" i="21"/>
  <c r="L49" i="21"/>
  <c r="M49" i="21" s="1"/>
  <c r="L50" i="21"/>
  <c r="M50" i="21" s="1"/>
  <c r="L51" i="21"/>
  <c r="M51" i="21" s="1"/>
  <c r="L52" i="21"/>
  <c r="M52" i="21" s="1"/>
  <c r="L53" i="21"/>
  <c r="M53" i="21" s="1"/>
  <c r="L54" i="21"/>
  <c r="M54" i="21" s="1"/>
  <c r="L55" i="21"/>
  <c r="M55" i="21" s="1"/>
  <c r="L56" i="21"/>
  <c r="M56" i="21" s="1"/>
  <c r="L57" i="21"/>
  <c r="M57" i="21" s="1"/>
  <c r="L58" i="21"/>
  <c r="M58" i="21" s="1"/>
  <c r="L59" i="21"/>
  <c r="M59" i="21" s="1"/>
  <c r="L60" i="21"/>
  <c r="M60" i="21" s="1"/>
  <c r="L61" i="21"/>
  <c r="M61" i="21" s="1"/>
  <c r="L62" i="21"/>
  <c r="M62" i="21" s="1"/>
  <c r="L63" i="21"/>
  <c r="M63" i="21" s="1"/>
  <c r="L64" i="21"/>
  <c r="M64" i="21" s="1"/>
  <c r="L65" i="21"/>
  <c r="M65" i="21" s="1"/>
  <c r="L66" i="21"/>
  <c r="M66" i="21" s="1"/>
  <c r="L67" i="21"/>
  <c r="M67" i="21" s="1"/>
  <c r="L68" i="21"/>
  <c r="M68" i="21" s="1"/>
  <c r="L69" i="21"/>
  <c r="M69" i="21" s="1"/>
  <c r="L70" i="21"/>
  <c r="M70" i="21" s="1"/>
  <c r="O49" i="21"/>
  <c r="Q49" i="21" s="1"/>
  <c r="P49" i="21"/>
  <c r="O50" i="21"/>
  <c r="Q50" i="21" s="1"/>
  <c r="P50" i="21"/>
  <c r="O51" i="21"/>
  <c r="R51" i="21" s="1"/>
  <c r="P51" i="21"/>
  <c r="O52" i="21"/>
  <c r="Q52" i="21" s="1"/>
  <c r="P52" i="21"/>
  <c r="O53" i="21"/>
  <c r="Q53" i="21" s="1"/>
  <c r="P53" i="21"/>
  <c r="O54" i="21"/>
  <c r="R54" i="21" s="1"/>
  <c r="P54" i="21"/>
  <c r="O55" i="21"/>
  <c r="R55" i="21" s="1"/>
  <c r="P55" i="21"/>
  <c r="O56" i="21"/>
  <c r="Q56" i="21" s="1"/>
  <c r="P56" i="21"/>
  <c r="O57" i="21"/>
  <c r="Q57" i="21" s="1"/>
  <c r="P57" i="21"/>
  <c r="O58" i="21"/>
  <c r="Q58" i="21" s="1"/>
  <c r="P58" i="21"/>
  <c r="O59" i="21"/>
  <c r="Q59" i="21" s="1"/>
  <c r="P59" i="21"/>
  <c r="O60" i="21"/>
  <c r="Q60" i="21" s="1"/>
  <c r="P60" i="21"/>
  <c r="O61" i="21"/>
  <c r="Q61" i="21" s="1"/>
  <c r="P61" i="21"/>
  <c r="O62" i="21"/>
  <c r="R62" i="21" s="1"/>
  <c r="P62" i="21"/>
  <c r="O63" i="21"/>
  <c r="Q63" i="21" s="1"/>
  <c r="P63" i="21"/>
  <c r="O64" i="21"/>
  <c r="Q64" i="21" s="1"/>
  <c r="P64" i="21"/>
  <c r="O65" i="21"/>
  <c r="Q65" i="21" s="1"/>
  <c r="P65" i="21"/>
  <c r="O66" i="21"/>
  <c r="R66" i="21" s="1"/>
  <c r="P66" i="21"/>
  <c r="O67" i="21"/>
  <c r="R67" i="21" s="1"/>
  <c r="P67" i="21"/>
  <c r="O68" i="21"/>
  <c r="Q68" i="21" s="1"/>
  <c r="P68" i="21"/>
  <c r="O69" i="21"/>
  <c r="Q69" i="21" s="1"/>
  <c r="P69" i="21"/>
  <c r="O70" i="21"/>
  <c r="R70" i="21" s="1"/>
  <c r="P70" i="21"/>
  <c r="O71" i="21"/>
  <c r="R71" i="21" s="1"/>
  <c r="P71" i="21"/>
  <c r="O77" i="21"/>
  <c r="Q77" i="21" s="1"/>
  <c r="P77" i="21"/>
  <c r="O91" i="21"/>
  <c r="R91" i="21" s="1"/>
  <c r="P91" i="21"/>
  <c r="O92" i="21"/>
  <c r="Q92" i="21" s="1"/>
  <c r="P92" i="21"/>
  <c r="O106" i="21"/>
  <c r="Q106" i="21" s="1"/>
  <c r="P106" i="21"/>
  <c r="O107" i="21"/>
  <c r="Q107" i="21" s="1"/>
  <c r="P107" i="21"/>
  <c r="O109" i="21"/>
  <c r="R109" i="21" s="1"/>
  <c r="P109" i="21"/>
  <c r="O117" i="21"/>
  <c r="Q117" i="21" s="1"/>
  <c r="P117" i="21"/>
  <c r="Q125" i="21"/>
  <c r="P125" i="21"/>
  <c r="O149" i="21"/>
  <c r="R149" i="21" s="1"/>
  <c r="P149" i="21"/>
  <c r="O184" i="21"/>
  <c r="R184" i="21" s="1"/>
  <c r="P184" i="21"/>
  <c r="M4" i="21"/>
  <c r="M5" i="21"/>
  <c r="M6" i="21"/>
  <c r="M7"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3" i="21"/>
  <c r="L4" i="21"/>
  <c r="L5" i="21"/>
  <c r="L6" i="21"/>
  <c r="L7" i="21"/>
  <c r="L8" i="21"/>
  <c r="L9" i="21"/>
  <c r="L10" i="21"/>
  <c r="L11" i="21"/>
  <c r="L12" i="21"/>
  <c r="L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3" i="21"/>
  <c r="P4" i="21"/>
  <c r="P5" i="21"/>
  <c r="P6" i="21"/>
  <c r="P7" i="21"/>
  <c r="P8" i="21"/>
  <c r="P9" i="21"/>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O4" i="21"/>
  <c r="R4" i="21" s="1"/>
  <c r="O5" i="21"/>
  <c r="R5" i="21" s="1"/>
  <c r="O6" i="21"/>
  <c r="R6" i="21" s="1"/>
  <c r="O7" i="21"/>
  <c r="Q7" i="21" s="1"/>
  <c r="O8" i="21"/>
  <c r="Q8" i="21" s="1"/>
  <c r="O9" i="21"/>
  <c r="Q9" i="21" s="1"/>
  <c r="O10" i="21"/>
  <c r="Q10" i="21" s="1"/>
  <c r="O11" i="21"/>
  <c r="R11" i="21" s="1"/>
  <c r="O12" i="21"/>
  <c r="R12" i="21" s="1"/>
  <c r="O13" i="21"/>
  <c r="Q13" i="21" s="1"/>
  <c r="O14" i="21"/>
  <c r="R14" i="21" s="1"/>
  <c r="O15" i="21"/>
  <c r="Q15" i="21" s="1"/>
  <c r="O16" i="21"/>
  <c r="Q16" i="21" s="1"/>
  <c r="O17" i="21"/>
  <c r="R17" i="21" s="1"/>
  <c r="O18" i="21"/>
  <c r="Q18" i="21" s="1"/>
  <c r="O19" i="21"/>
  <c r="R19" i="21" s="1"/>
  <c r="O20" i="21"/>
  <c r="R20" i="21" s="1"/>
  <c r="O21" i="21"/>
  <c r="R21" i="21" s="1"/>
  <c r="O22" i="21"/>
  <c r="R22" i="21" s="1"/>
  <c r="O23" i="21"/>
  <c r="Q23" i="21" s="1"/>
  <c r="O24" i="21"/>
  <c r="Q24" i="21" s="1"/>
  <c r="O25" i="21"/>
  <c r="Q25" i="21" s="1"/>
  <c r="O26" i="21"/>
  <c r="Q26" i="21" s="1"/>
  <c r="O27" i="21"/>
  <c r="R27" i="21" s="1"/>
  <c r="O28" i="21"/>
  <c r="R28" i="21" s="1"/>
  <c r="O29" i="21"/>
  <c r="R29" i="21" s="1"/>
  <c r="O30" i="21"/>
  <c r="R30" i="21" s="1"/>
  <c r="O31" i="21"/>
  <c r="Q31" i="21" s="1"/>
  <c r="O32" i="21"/>
  <c r="Q32" i="21" s="1"/>
  <c r="O33" i="21"/>
  <c r="R33" i="21" s="1"/>
  <c r="O34" i="21"/>
  <c r="Q34" i="21" s="1"/>
  <c r="O35" i="21"/>
  <c r="R35" i="21" s="1"/>
  <c r="O36" i="21"/>
  <c r="R36" i="21" s="1"/>
  <c r="O37" i="21"/>
  <c r="Q37" i="21" s="1"/>
  <c r="O38" i="21"/>
  <c r="R38" i="21" s="1"/>
  <c r="O39" i="21"/>
  <c r="Q39" i="21" s="1"/>
  <c r="O40" i="21"/>
  <c r="Q40" i="21" s="1"/>
  <c r="O41" i="21"/>
  <c r="Q41" i="21" s="1"/>
  <c r="O42" i="21"/>
  <c r="Q42" i="21" s="1"/>
  <c r="O43" i="21"/>
  <c r="R43" i="21" s="1"/>
  <c r="O44" i="21"/>
  <c r="R44" i="21" s="1"/>
  <c r="O45" i="21"/>
  <c r="R45" i="21" s="1"/>
  <c r="O46" i="21"/>
  <c r="R46" i="21" s="1"/>
  <c r="O47" i="21"/>
  <c r="Q47" i="21" s="1"/>
  <c r="O48" i="21"/>
  <c r="Q48" i="21" s="1"/>
  <c r="P3" i="21"/>
  <c r="O3" i="21"/>
  <c r="R3" i="21" s="1"/>
  <c r="Q73" i="21" l="1"/>
  <c r="S73" i="21" s="1"/>
  <c r="T73" i="21" s="1"/>
  <c r="R25" i="21"/>
  <c r="S25" i="21" s="1"/>
  <c r="T25" i="21" s="1"/>
  <c r="R48" i="21"/>
  <c r="S48" i="21" s="1"/>
  <c r="T48" i="21" s="1"/>
  <c r="R23" i="21"/>
  <c r="S23" i="21" s="1"/>
  <c r="T23" i="21" s="1"/>
  <c r="R15" i="21"/>
  <c r="S15" i="21" s="1"/>
  <c r="T15" i="21" s="1"/>
  <c r="Q17" i="21"/>
  <c r="S17" i="21" s="1"/>
  <c r="T17" i="21" s="1"/>
  <c r="R41" i="21"/>
  <c r="S41" i="21" s="1"/>
  <c r="T41" i="21" s="1"/>
  <c r="R39" i="21"/>
  <c r="S39" i="21" s="1"/>
  <c r="T39" i="21" s="1"/>
  <c r="R31" i="21"/>
  <c r="S31" i="21" s="1"/>
  <c r="T31" i="21" s="1"/>
  <c r="Q76" i="21"/>
  <c r="S76" i="21" s="1"/>
  <c r="T76" i="21" s="1"/>
  <c r="R9" i="21"/>
  <c r="S9" i="21" s="1"/>
  <c r="T9" i="21" s="1"/>
  <c r="R7" i="21"/>
  <c r="S7" i="21" s="1"/>
  <c r="T7" i="21" s="1"/>
  <c r="Q33" i="21"/>
  <c r="S33" i="21" s="1"/>
  <c r="T33" i="21" s="1"/>
  <c r="R59" i="21"/>
  <c r="S59" i="21" s="1"/>
  <c r="T59" i="21" s="1"/>
  <c r="Q54" i="21"/>
  <c r="S54" i="21" s="1"/>
  <c r="T54" i="21" s="1"/>
  <c r="Q51" i="21"/>
  <c r="S51" i="21" s="1"/>
  <c r="T51" i="21" s="1"/>
  <c r="Q149" i="21"/>
  <c r="S149" i="21" s="1"/>
  <c r="T149" i="21" s="1"/>
  <c r="Q67" i="21"/>
  <c r="S67" i="21" s="1"/>
  <c r="T67" i="21" s="1"/>
  <c r="R50" i="21"/>
  <c r="S50" i="21" s="1"/>
  <c r="T50" i="21" s="1"/>
  <c r="Q184" i="21"/>
  <c r="S184" i="21" s="1"/>
  <c r="T184" i="21" s="1"/>
  <c r="Q91" i="21"/>
  <c r="S91" i="21" s="1"/>
  <c r="T91" i="21" s="1"/>
  <c r="Q66" i="21"/>
  <c r="S66" i="21" s="1"/>
  <c r="T66" i="21" s="1"/>
  <c r="Q109" i="21"/>
  <c r="S109" i="21" s="1"/>
  <c r="T109" i="21" s="1"/>
  <c r="Q62" i="21"/>
  <c r="S62" i="21" s="1"/>
  <c r="T62" i="21" s="1"/>
  <c r="Q55" i="21"/>
  <c r="S55" i="21" s="1"/>
  <c r="T55" i="21" s="1"/>
  <c r="R58" i="21"/>
  <c r="S58" i="21" s="1"/>
  <c r="T58" i="21" s="1"/>
  <c r="R87" i="21"/>
  <c r="S87" i="21" s="1"/>
  <c r="T87" i="21" s="1"/>
  <c r="R42" i="21"/>
  <c r="S42" i="21" s="1"/>
  <c r="T42" i="21" s="1"/>
  <c r="R26" i="21"/>
  <c r="S26" i="21" s="1"/>
  <c r="T26" i="21" s="1"/>
  <c r="R10" i="21"/>
  <c r="S10" i="21" s="1"/>
  <c r="T10" i="21" s="1"/>
  <c r="Q30" i="21"/>
  <c r="S30" i="21" s="1"/>
  <c r="T30" i="21" s="1"/>
  <c r="Q70" i="21"/>
  <c r="S70" i="21" s="1"/>
  <c r="T70" i="21" s="1"/>
  <c r="R40" i="21"/>
  <c r="S40" i="21" s="1"/>
  <c r="T40" i="21" s="1"/>
  <c r="R24" i="21"/>
  <c r="S24" i="21" s="1"/>
  <c r="T24" i="21" s="1"/>
  <c r="R8" i="21"/>
  <c r="S8" i="21" s="1"/>
  <c r="T8" i="21" s="1"/>
  <c r="Q22" i="21"/>
  <c r="S22" i="21" s="1"/>
  <c r="T22" i="21" s="1"/>
  <c r="R34" i="21"/>
  <c r="S34" i="21" s="1"/>
  <c r="T34" i="21" s="1"/>
  <c r="R18" i="21"/>
  <c r="S18" i="21" s="1"/>
  <c r="T18" i="21" s="1"/>
  <c r="Q46" i="21"/>
  <c r="S46" i="21" s="1"/>
  <c r="T46" i="21" s="1"/>
  <c r="Q14" i="21"/>
  <c r="S14" i="21" s="1"/>
  <c r="T14" i="21" s="1"/>
  <c r="R63" i="21"/>
  <c r="S63" i="21" s="1"/>
  <c r="T63" i="21" s="1"/>
  <c r="Q3" i="21"/>
  <c r="S3" i="21" s="1"/>
  <c r="T3" i="21" s="1"/>
  <c r="R32" i="21"/>
  <c r="S32" i="21" s="1"/>
  <c r="T32" i="21" s="1"/>
  <c r="R16" i="21"/>
  <c r="S16" i="21" s="1"/>
  <c r="T16" i="21" s="1"/>
  <c r="Q38" i="21"/>
  <c r="S38" i="21" s="1"/>
  <c r="T38" i="21" s="1"/>
  <c r="Q6" i="21"/>
  <c r="S6" i="21" s="1"/>
  <c r="T6" i="21" s="1"/>
  <c r="R74" i="21"/>
  <c r="S74" i="21" s="1"/>
  <c r="T74" i="21" s="1"/>
  <c r="Q72" i="21"/>
  <c r="S72" i="21" s="1"/>
  <c r="T72" i="21" s="1"/>
  <c r="R84" i="21"/>
  <c r="S84" i="21" s="1"/>
  <c r="T84" i="21" s="1"/>
  <c r="R107" i="21"/>
  <c r="S107" i="21" s="1"/>
  <c r="T107" i="21" s="1"/>
  <c r="R79" i="21"/>
  <c r="S79" i="21" s="1"/>
  <c r="T79" i="21" s="1"/>
  <c r="R88" i="21"/>
  <c r="S88" i="21" s="1"/>
  <c r="T88" i="21" s="1"/>
  <c r="Q82" i="21"/>
  <c r="S82" i="21" s="1"/>
  <c r="T82" i="21" s="1"/>
  <c r="R83" i="21"/>
  <c r="S83" i="21" s="1"/>
  <c r="T83" i="21" s="1"/>
  <c r="R78" i="21"/>
  <c r="S78" i="21" s="1"/>
  <c r="T78" i="21" s="1"/>
  <c r="R80" i="21"/>
  <c r="S80" i="21" s="1"/>
  <c r="T80" i="21" s="1"/>
  <c r="R86" i="21"/>
  <c r="S86" i="21" s="1"/>
  <c r="T86" i="21" s="1"/>
  <c r="R90" i="21"/>
  <c r="S90" i="21" s="1"/>
  <c r="T90" i="21" s="1"/>
  <c r="R81" i="21"/>
  <c r="S81" i="21" s="1"/>
  <c r="T81" i="21" s="1"/>
  <c r="R89" i="21"/>
  <c r="S89" i="21" s="1"/>
  <c r="T89" i="21" s="1"/>
  <c r="R85" i="21"/>
  <c r="S85" i="21" s="1"/>
  <c r="T85" i="21" s="1"/>
  <c r="Q75" i="21"/>
  <c r="S75" i="21" s="1"/>
  <c r="T75" i="21" s="1"/>
  <c r="Q71" i="21"/>
  <c r="S71" i="21" s="1"/>
  <c r="T71" i="21" s="1"/>
  <c r="R117" i="21"/>
  <c r="S117" i="21" s="1"/>
  <c r="T117" i="21" s="1"/>
  <c r="R92" i="21"/>
  <c r="S92" i="21" s="1"/>
  <c r="T92" i="21" s="1"/>
  <c r="R77" i="21"/>
  <c r="S77" i="21" s="1"/>
  <c r="T77" i="21" s="1"/>
  <c r="R68" i="21"/>
  <c r="S68" i="21" s="1"/>
  <c r="T68" i="21" s="1"/>
  <c r="R64" i="21"/>
  <c r="S64" i="21" s="1"/>
  <c r="T64" i="21" s="1"/>
  <c r="R60" i="21"/>
  <c r="S60" i="21" s="1"/>
  <c r="T60" i="21" s="1"/>
  <c r="R56" i="21"/>
  <c r="S56" i="21" s="1"/>
  <c r="T56" i="21" s="1"/>
  <c r="R52" i="21"/>
  <c r="S52" i="21" s="1"/>
  <c r="T52" i="21" s="1"/>
  <c r="R125" i="21"/>
  <c r="S125" i="21" s="1"/>
  <c r="T125" i="21" s="1"/>
  <c r="R106" i="21"/>
  <c r="S106" i="21" s="1"/>
  <c r="T106" i="21" s="1"/>
  <c r="R69" i="21"/>
  <c r="S69" i="21" s="1"/>
  <c r="T69" i="21" s="1"/>
  <c r="R65" i="21"/>
  <c r="S65" i="21" s="1"/>
  <c r="T65" i="21" s="1"/>
  <c r="R61" i="21"/>
  <c r="S61" i="21" s="1"/>
  <c r="T61" i="21" s="1"/>
  <c r="R57" i="21"/>
  <c r="S57" i="21" s="1"/>
  <c r="T57" i="21" s="1"/>
  <c r="R53" i="21"/>
  <c r="S53" i="21" s="1"/>
  <c r="T53" i="21" s="1"/>
  <c r="R49" i="21"/>
  <c r="S49" i="21" s="1"/>
  <c r="T49" i="21" s="1"/>
  <c r="Q29" i="21"/>
  <c r="S29" i="21" s="1"/>
  <c r="T29" i="21" s="1"/>
  <c r="Q5" i="21"/>
  <c r="S5" i="21" s="1"/>
  <c r="T5" i="21" s="1"/>
  <c r="R47" i="21"/>
  <c r="S47" i="21" s="1"/>
  <c r="T47" i="21" s="1"/>
  <c r="Q44" i="21"/>
  <c r="S44" i="21" s="1"/>
  <c r="T44" i="21" s="1"/>
  <c r="Q36" i="21"/>
  <c r="S36" i="21" s="1"/>
  <c r="T36" i="21" s="1"/>
  <c r="Q20" i="21"/>
  <c r="S20" i="21" s="1"/>
  <c r="T20" i="21" s="1"/>
  <c r="Q4" i="21"/>
  <c r="S4" i="21" s="1"/>
  <c r="T4" i="21" s="1"/>
  <c r="Q43" i="21"/>
  <c r="S43" i="21" s="1"/>
  <c r="T43" i="21" s="1"/>
  <c r="Q35" i="21"/>
  <c r="S35" i="21" s="1"/>
  <c r="T35" i="21" s="1"/>
  <c r="Q27" i="21"/>
  <c r="S27" i="21" s="1"/>
  <c r="T27" i="21" s="1"/>
  <c r="Q19" i="21"/>
  <c r="S19" i="21" s="1"/>
  <c r="T19" i="21" s="1"/>
  <c r="Q11" i="21"/>
  <c r="S11" i="21" s="1"/>
  <c r="T11" i="21" s="1"/>
  <c r="Q45" i="21"/>
  <c r="S45" i="21" s="1"/>
  <c r="T45" i="21" s="1"/>
  <c r="Q21" i="21"/>
  <c r="S21" i="21" s="1"/>
  <c r="T21" i="21" s="1"/>
  <c r="Q28" i="21"/>
  <c r="S28" i="21" s="1"/>
  <c r="T28" i="21" s="1"/>
  <c r="Q12" i="21"/>
  <c r="S12" i="21" s="1"/>
  <c r="T12" i="21" s="1"/>
  <c r="R37" i="21"/>
  <c r="S37" i="21" s="1"/>
  <c r="T37" i="21" s="1"/>
  <c r="R13" i="21"/>
  <c r="S13" i="21" s="1"/>
  <c r="T13" i="21" s="1"/>
  <c r="F6" i="13" l="1"/>
  <c r="G2" i="11"/>
  <c r="F4" i="13"/>
  <c r="F5" i="13"/>
  <c r="F3" i="13"/>
  <c r="F2" i="13"/>
  <c r="K4" i="4" l="1"/>
  <c r="K5" i="4"/>
  <c r="K6" i="4"/>
  <c r="K3" i="4"/>
  <c r="K2" i="4"/>
  <c r="H2" i="2"/>
</calcChain>
</file>

<file path=xl/sharedStrings.xml><?xml version="1.0" encoding="utf-8"?>
<sst xmlns="http://schemas.openxmlformats.org/spreadsheetml/2006/main" count="4383" uniqueCount="1658">
  <si>
    <t>N°</t>
  </si>
  <si>
    <t>Symbol</t>
  </si>
  <si>
    <t>Designation</t>
  </si>
  <si>
    <t>Nord</t>
  </si>
  <si>
    <t>Sud</t>
  </si>
  <si>
    <t>RTO</t>
  </si>
  <si>
    <t>RTC</t>
  </si>
  <si>
    <t>RTE</t>
  </si>
  <si>
    <t>GPDF</t>
  </si>
  <si>
    <t>GEM</t>
  </si>
  <si>
    <t>CDHL</t>
  </si>
  <si>
    <t>CNDG</t>
  </si>
  <si>
    <t>RTI</t>
  </si>
  <si>
    <t>Reggane</t>
  </si>
  <si>
    <t>Region de Transport Ouest</t>
  </si>
  <si>
    <t>Pedro Duran Farel</t>
  </si>
  <si>
    <t>Enrico Mattei</t>
  </si>
  <si>
    <t>Pétrole brut</t>
  </si>
  <si>
    <t>Condensat</t>
  </si>
  <si>
    <t>G</t>
  </si>
  <si>
    <t>O</t>
  </si>
  <si>
    <t>N</t>
  </si>
  <si>
    <t>L</t>
  </si>
  <si>
    <t>Product</t>
  </si>
  <si>
    <t>STC OZ1/OZ2</t>
  </si>
  <si>
    <t>STC OK1</t>
  </si>
  <si>
    <t>STC OB1/OG1</t>
  </si>
  <si>
    <t>STC OT1</t>
  </si>
  <si>
    <t>STC OH1</t>
  </si>
  <si>
    <t>STC OD1/OD3/OH2</t>
  </si>
  <si>
    <t>STC OH3/OH4</t>
  </si>
  <si>
    <t>OZ1/OZ2</t>
  </si>
  <si>
    <t>OK1</t>
  </si>
  <si>
    <t>OB1/OG1</t>
  </si>
  <si>
    <t>OT1</t>
  </si>
  <si>
    <t>OH1</t>
  </si>
  <si>
    <t>OD1/OD3/OH2</t>
  </si>
  <si>
    <t>OH3/OH4</t>
  </si>
  <si>
    <t>STC NZ1</t>
  </si>
  <si>
    <t>STC NK1</t>
  </si>
  <si>
    <t>STC NH2</t>
  </si>
  <si>
    <t>STC LZ1/LZ2</t>
  </si>
  <si>
    <t>STC LR1/DLR1/ELR1</t>
  </si>
  <si>
    <t>Gaz naturel</t>
  </si>
  <si>
    <t>Gaz de Pétrole Liquéfié (GPL)</t>
  </si>
  <si>
    <t>STC GZ0</t>
  </si>
  <si>
    <t>STC GZ1/GZ2/GZ3</t>
  </si>
  <si>
    <t>STC GZ4</t>
  </si>
  <si>
    <t>STC GPDF</t>
  </si>
  <si>
    <t>STC GK1/GK2</t>
  </si>
  <si>
    <t>STC GK3</t>
  </si>
  <si>
    <t>STC GO1/GO2/GO3</t>
  </si>
  <si>
    <t>STC GG1</t>
  </si>
  <si>
    <t>STC GR1/GR2/GR4/GR6</t>
  </si>
  <si>
    <t>STC GR5</t>
  </si>
  <si>
    <t>NZ1</t>
  </si>
  <si>
    <t>NK1</t>
  </si>
  <si>
    <t>NH2</t>
  </si>
  <si>
    <t>LZ1/LZ2</t>
  </si>
  <si>
    <t>LR1/DLR1/ELR1</t>
  </si>
  <si>
    <t>GZ0</t>
  </si>
  <si>
    <t>GZ1/GZ2/GZ3</t>
  </si>
  <si>
    <t>GZ4</t>
  </si>
  <si>
    <t>GK1/GK2</t>
  </si>
  <si>
    <t>GK3</t>
  </si>
  <si>
    <t>GO1/GO2/GO3</t>
  </si>
  <si>
    <t>GG1</t>
  </si>
  <si>
    <t>GR1/GR2/GR4/GR6</t>
  </si>
  <si>
    <t>GR5</t>
  </si>
  <si>
    <t>Zone</t>
  </si>
  <si>
    <t>STC</t>
  </si>
  <si>
    <t>OZ2</t>
  </si>
  <si>
    <t>OZ1</t>
  </si>
  <si>
    <t>OB1</t>
  </si>
  <si>
    <t>OG1</t>
  </si>
  <si>
    <t>OD1</t>
  </si>
  <si>
    <t>OD3</t>
  </si>
  <si>
    <t>OH2</t>
  </si>
  <si>
    <t>OH3</t>
  </si>
  <si>
    <t>OH4</t>
  </si>
  <si>
    <t>Départ</t>
  </si>
  <si>
    <t>Arrivée</t>
  </si>
  <si>
    <t>Haoud el Hamra</t>
  </si>
  <si>
    <t>Arzew</t>
  </si>
  <si>
    <t>Skikda</t>
  </si>
  <si>
    <t>Béjaia</t>
  </si>
  <si>
    <t>Alger</t>
  </si>
  <si>
    <t>Frontière Tunisienne</t>
  </si>
  <si>
    <t>Mesdar</t>
  </si>
  <si>
    <t>Hassi Berkine</t>
  </si>
  <si>
    <t>Rhourd El Baguel</t>
  </si>
  <si>
    <t>El Borma</t>
  </si>
  <si>
    <t>In Amenas</t>
  </si>
  <si>
    <t>Beni Mensour</t>
  </si>
  <si>
    <t>Hassi R'mel</t>
  </si>
  <si>
    <t>PK66 - Ohanet</t>
  </si>
  <si>
    <t>LR1</t>
  </si>
  <si>
    <t>DLR1</t>
  </si>
  <si>
    <t>ELR1</t>
  </si>
  <si>
    <t>LZ1</t>
  </si>
  <si>
    <t>LZ2</t>
  </si>
  <si>
    <t>Gassi Touil</t>
  </si>
  <si>
    <t>Hassi Messaoud</t>
  </si>
  <si>
    <t>Ohanet</t>
  </si>
  <si>
    <t>Alrar</t>
  </si>
  <si>
    <t>GO1</t>
  </si>
  <si>
    <t>GO2</t>
  </si>
  <si>
    <t>GO3</t>
  </si>
  <si>
    <t>GK2</t>
  </si>
  <si>
    <t>GK1</t>
  </si>
  <si>
    <t>EGPDF</t>
  </si>
  <si>
    <t>GZ1</t>
  </si>
  <si>
    <t>GZ2</t>
  </si>
  <si>
    <t>RGG1</t>
  </si>
  <si>
    <t>GR1</t>
  </si>
  <si>
    <t>GR2</t>
  </si>
  <si>
    <t>GR4</t>
  </si>
  <si>
    <t>GR6</t>
  </si>
  <si>
    <t>GR7</t>
  </si>
  <si>
    <t>Arzew/Beni Saf</t>
  </si>
  <si>
    <t>Mouctaa Douze</t>
  </si>
  <si>
    <t>Beni Saf</t>
  </si>
  <si>
    <t>El Aricha</t>
  </si>
  <si>
    <t>Mechtatine</t>
  </si>
  <si>
    <t>El Kala</t>
  </si>
  <si>
    <t>Tamlouka</t>
  </si>
  <si>
    <t>Oued Saf Saf</t>
  </si>
  <si>
    <t>Bordj Menail</t>
  </si>
  <si>
    <t>Medjedel</t>
  </si>
  <si>
    <t>Rhoud Nouss</t>
  </si>
  <si>
    <t>PC4-GR5</t>
  </si>
  <si>
    <t>GZ3/RGZ3</t>
  </si>
  <si>
    <t>Diametre (")</t>
  </si>
  <si>
    <t>prod_outputCNDG</t>
  </si>
  <si>
    <t>prod_GPDF</t>
  </si>
  <si>
    <t>pred_export_GPDF</t>
  </si>
  <si>
    <t>pred_outputCNDG_GPDF</t>
  </si>
  <si>
    <t>prod_GZ4</t>
  </si>
  <si>
    <t>pred_export_GZ4</t>
  </si>
  <si>
    <t>pred_outputCNDG_GZ4</t>
  </si>
  <si>
    <t>prod_GEM</t>
  </si>
  <si>
    <t>pred_export_GEM</t>
  </si>
  <si>
    <t>pred_outputCNDG_GEM</t>
  </si>
  <si>
    <t>pres_GR3</t>
  </si>
  <si>
    <t>prod_GR3</t>
  </si>
  <si>
    <t>pred_GR3</t>
  </si>
  <si>
    <t>pres_usedBySRGA2</t>
  </si>
  <si>
    <t>prod_usedBySRGA2</t>
  </si>
  <si>
    <t>pred_usedBySRGA2</t>
  </si>
  <si>
    <t>pres_usedBySC4</t>
  </si>
  <si>
    <t>prod_usedBySC4</t>
  </si>
  <si>
    <t>pred_usedBySC4</t>
  </si>
  <si>
    <t>pres_HassiBaHamou</t>
  </si>
  <si>
    <t>prod_HassiBaHamou</t>
  </si>
  <si>
    <t>pred_HassiBaHamou</t>
  </si>
  <si>
    <t>pres_HassiTidjerane</t>
  </si>
  <si>
    <t>prod_HassiTidjerane</t>
  </si>
  <si>
    <t>pred_HassiTidjerane</t>
  </si>
  <si>
    <t xml:space="preserve">pres_Tinerkouk </t>
  </si>
  <si>
    <t xml:space="preserve">prod_Tinerkouk </t>
  </si>
  <si>
    <t xml:space="preserve">pred_Tinerkouk </t>
  </si>
  <si>
    <t>pres_Timimoun</t>
  </si>
  <si>
    <t>prod_Timimoun</t>
  </si>
  <si>
    <t>pred_Timimoun</t>
  </si>
  <si>
    <t>pres_Reggane</t>
  </si>
  <si>
    <t>prod_Reggane</t>
  </si>
  <si>
    <t>pred_Reggane</t>
  </si>
  <si>
    <t>pres_Touat</t>
  </si>
  <si>
    <t>prod_Touat</t>
  </si>
  <si>
    <t>pred_Touat</t>
  </si>
  <si>
    <t>pres_SC_G5R</t>
  </si>
  <si>
    <t>prod_SC_G5R</t>
  </si>
  <si>
    <t>pred_SC_G5R</t>
  </si>
  <si>
    <t>pres_SC_G4R</t>
  </si>
  <si>
    <t>prod_SC_G4R</t>
  </si>
  <si>
    <t>pred_SC_G4R</t>
  </si>
  <si>
    <t>pres_SC4</t>
  </si>
  <si>
    <t>prod_SC4</t>
  </si>
  <si>
    <t>pred_SC4</t>
  </si>
  <si>
    <t>pres_CNDG</t>
  </si>
  <si>
    <t>prod_CNDG</t>
  </si>
  <si>
    <t>pred_CNDG</t>
  </si>
  <si>
    <t>pres_GPDF</t>
  </si>
  <si>
    <t>pred_GPDF</t>
  </si>
  <si>
    <t>pres_MEDGAZ</t>
  </si>
  <si>
    <t>prod_MEDGAZ</t>
  </si>
  <si>
    <t>pred_MEDGAZ</t>
  </si>
  <si>
    <t>pres_GEM</t>
  </si>
  <si>
    <t>pred_GEM</t>
  </si>
  <si>
    <t>pres_GL1K</t>
  </si>
  <si>
    <t>prod_GL1K</t>
  </si>
  <si>
    <t>pred_GL1K</t>
  </si>
  <si>
    <t>pres_GL3Z</t>
  </si>
  <si>
    <t>prod_GL3Z</t>
  </si>
  <si>
    <t>pred_GL3Z</t>
  </si>
  <si>
    <t>pres_GL2Z</t>
  </si>
  <si>
    <t>prod_GL2Z</t>
  </si>
  <si>
    <t>pred_GL2Z</t>
  </si>
  <si>
    <t>pres_GL1Z</t>
  </si>
  <si>
    <t>prod_GL1Z</t>
  </si>
  <si>
    <t>pred_GL1Z</t>
  </si>
  <si>
    <t>HRM</t>
  </si>
  <si>
    <t>Region Hassi R'Mel</t>
  </si>
  <si>
    <t>Name</t>
  </si>
  <si>
    <t>F_00</t>
  </si>
  <si>
    <t>F_01</t>
  </si>
  <si>
    <t>Code</t>
  </si>
  <si>
    <t>F_02</t>
  </si>
  <si>
    <t>F_03</t>
  </si>
  <si>
    <t>Region</t>
  </si>
  <si>
    <t>F_05</t>
  </si>
  <si>
    <t>Longitude</t>
  </si>
  <si>
    <t>Latitude</t>
  </si>
  <si>
    <t>F_04</t>
  </si>
  <si>
    <t>Description</t>
  </si>
  <si>
    <t>Status</t>
  </si>
  <si>
    <t>Location</t>
  </si>
  <si>
    <t>FacilityType</t>
  </si>
  <si>
    <t>Manufacturer</t>
  </si>
  <si>
    <t>ModelNumber</t>
  </si>
  <si>
    <t>SerialNumber</t>
  </si>
  <si>
    <t>Manufacturing
Date</t>
  </si>
  <si>
    <t>Last Maintenance 
Date</t>
  </si>
  <si>
    <t>Installation
Date</t>
  </si>
  <si>
    <t>Facility</t>
  </si>
  <si>
    <t>Equipment
Type</t>
  </si>
  <si>
    <t>F_06</t>
  </si>
  <si>
    <t>F_07</t>
  </si>
  <si>
    <t>F_08</t>
  </si>
  <si>
    <t>F_09</t>
  </si>
  <si>
    <t>F_10</t>
  </si>
  <si>
    <t>F_11</t>
  </si>
  <si>
    <t>Sulfur Content</t>
  </si>
  <si>
    <t>Is Hazardous</t>
  </si>
  <si>
    <t>Flash Point</t>
  </si>
  <si>
    <t>Viscosity</t>
  </si>
  <si>
    <t>Density</t>
  </si>
  <si>
    <t>Total Length</t>
  </si>
  <si>
    <t>Operational Since</t>
  </si>
  <si>
    <t>Destination</t>
  </si>
  <si>
    <t>Origin</t>
  </si>
  <si>
    <t>Insert into T_20_01 (</t>
  </si>
  <si>
    <t>Insert into T_20_02 (</t>
  </si>
  <si>
    <t>b'1'</t>
  </si>
  <si>
    <t>Raffinerie</t>
  </si>
  <si>
    <t>Insert into T_20_04 (</t>
  </si>
  <si>
    <t>Insert into T_20_05 (</t>
  </si>
  <si>
    <t>ACTIVE</t>
  </si>
  <si>
    <t>MAINTENANCE</t>
  </si>
  <si>
    <t>DECOMMISSIONED</t>
  </si>
  <si>
    <t>Insert into T_20_07 (</t>
  </si>
  <si>
    <t>PANNE</t>
  </si>
  <si>
    <t>Terminal</t>
  </si>
  <si>
    <t>FAILED</t>
  </si>
  <si>
    <t xml:space="preserve">El Merk </t>
  </si>
  <si>
    <t xml:space="preserve">HBNS </t>
  </si>
  <si>
    <t>ORH</t>
  </si>
  <si>
    <t>HBR</t>
  </si>
  <si>
    <t>ROD</t>
  </si>
  <si>
    <t>ZR</t>
  </si>
  <si>
    <t>MLN</t>
  </si>
  <si>
    <t xml:space="preserve">Berkine 
Nord </t>
  </si>
  <si>
    <t>Berkine 
Sud</t>
  </si>
  <si>
    <t>Bir Rbaa</t>
  </si>
  <si>
    <t>RKF</t>
  </si>
  <si>
    <t>MLE</t>
  </si>
  <si>
    <t>BMS</t>
  </si>
  <si>
    <t>BRS</t>
  </si>
  <si>
    <t>HMD &amp; Périph</t>
  </si>
  <si>
    <t>BBK</t>
  </si>
  <si>
    <t>GSA</t>
  </si>
  <si>
    <t>TFT</t>
  </si>
  <si>
    <t>Sec HBK</t>
  </si>
  <si>
    <t>Djebel ONK</t>
  </si>
  <si>
    <t>Ras 
Toumb</t>
  </si>
  <si>
    <t>Sec HRM</t>
  </si>
  <si>
    <t>ONR</t>
  </si>
  <si>
    <t>REB</t>
  </si>
  <si>
    <t>STH</t>
  </si>
  <si>
    <t>ADRAR</t>
  </si>
  <si>
    <t>GTL</t>
  </si>
  <si>
    <t>OHT</t>
  </si>
  <si>
    <t>RNS</t>
  </si>
  <si>
    <t>OGR</t>
  </si>
  <si>
    <t>Type</t>
  </si>
  <si>
    <t>RNS ORDO</t>
  </si>
  <si>
    <t>Hamra</t>
  </si>
  <si>
    <t>Ain T'sila</t>
  </si>
  <si>
    <t>Sbaa</t>
  </si>
  <si>
    <t>In Salah</t>
  </si>
  <si>
    <t>DMS</t>
  </si>
  <si>
    <t xml:space="preserve">Tinerkouk &amp; Tinkerkouk West </t>
  </si>
  <si>
    <t>Hassi Tidjerane &amp; Hassi tidjerane West</t>
  </si>
  <si>
    <t>Hassi Ba Hamou&amp; Reg Mouaded</t>
  </si>
  <si>
    <t>AHNET</t>
  </si>
  <si>
    <t>RNS (GA)</t>
  </si>
  <si>
    <t>HRM (GA)</t>
  </si>
  <si>
    <t>OHT (GA)</t>
  </si>
  <si>
    <t>GTL (GA)</t>
  </si>
  <si>
    <t>STH (GA)</t>
  </si>
  <si>
    <t>TFT (GA)</t>
  </si>
  <si>
    <t>HBK (GA)</t>
  </si>
  <si>
    <t>ONR (GA)</t>
  </si>
  <si>
    <t>REB (GA)</t>
  </si>
  <si>
    <t>HMD (GA)</t>
  </si>
  <si>
    <t>In Amedjane Sud (GA)</t>
  </si>
  <si>
    <t>INAS (GA)</t>
  </si>
  <si>
    <t>TGT</t>
  </si>
  <si>
    <t>ISG</t>
  </si>
  <si>
    <t>TOUAT 
GAZ</t>
  </si>
  <si>
    <t>G.TFT</t>
  </si>
  <si>
    <t>REGGANE</t>
  </si>
  <si>
    <t>TIM</t>
  </si>
  <si>
    <t>Contrat Berkine Sud</t>
  </si>
  <si>
    <t>Berkine Nord</t>
  </si>
  <si>
    <t>EL MERK (EME)</t>
  </si>
  <si>
    <t xml:space="preserve">MLN </t>
  </si>
  <si>
    <t>Pôle Bir Rbaa Nord</t>
  </si>
  <si>
    <t>Berkine Sud</t>
  </si>
  <si>
    <t>Raffinerie d'Alger</t>
  </si>
  <si>
    <t>Puit pétrolier de Beni Mensour</t>
  </si>
  <si>
    <t>Puit pétrolier d'In Amenas</t>
  </si>
  <si>
    <t>Puit pétrolier d'El Borma</t>
  </si>
  <si>
    <t>Puit pétrolier de Rhourd El Baguel</t>
  </si>
  <si>
    <t>Puit pétrolier de Mesdar</t>
  </si>
  <si>
    <t>Puit pétrolier de Hassi Berkine</t>
  </si>
  <si>
    <t>Puit Condensat du PK66 - Ohanet</t>
  </si>
  <si>
    <t>Unité GPL d'Alrar</t>
  </si>
  <si>
    <t>Unité GPL d'Ohanet</t>
  </si>
  <si>
    <t>Puit gaz de Mouctaa Douze</t>
  </si>
  <si>
    <t>Puit gaz de Alrar</t>
  </si>
  <si>
    <t>Puit gaz de Rhoud Nouss</t>
  </si>
  <si>
    <t>Puit gaz de Reggane</t>
  </si>
  <si>
    <t>Puit gaz de PC4-GR5</t>
  </si>
  <si>
    <t>Terminal GNL d'Arzew/Beni Saf</t>
  </si>
  <si>
    <t>Terminal GNL d'Arzew</t>
  </si>
  <si>
    <t>Terminal GNL de Skikda</t>
  </si>
  <si>
    <t>Terminal GNL de Beni Saf</t>
  </si>
  <si>
    <t>Terminal d'exportation d'El Aricha</t>
  </si>
  <si>
    <t>Terminal GNL d'El Kala</t>
  </si>
  <si>
    <t>Terminal d'exportation d'Oued Saf Saf</t>
  </si>
  <si>
    <t>Terminal d'exportation de Bordj Menail</t>
  </si>
  <si>
    <t>Station de pompage Gassi Touil</t>
  </si>
  <si>
    <t>El Skhira</t>
  </si>
  <si>
    <t>Terminal d'exportation d'Arzew</t>
  </si>
  <si>
    <t>Terminal d'exportation de Béjaia</t>
  </si>
  <si>
    <t>Terminal d'exportation de Skikda</t>
  </si>
  <si>
    <t>Terminal d'exportation d'El Skhira</t>
  </si>
  <si>
    <t>Station de pompage Mesdar</t>
  </si>
  <si>
    <t>Station de compression Mechtatine</t>
  </si>
  <si>
    <t>Station de compression Medjedel</t>
  </si>
  <si>
    <t>Station de compression Tamlouka</t>
  </si>
  <si>
    <t>Insert into T_20_03 (</t>
  </si>
  <si>
    <t>Design
Capacity</t>
  </si>
  <si>
    <t>FK</t>
  </si>
  <si>
    <t>Hassi Messaoud / OUARGLA</t>
  </si>
  <si>
    <t>SP1</t>
  </si>
  <si>
    <t>SP2</t>
  </si>
  <si>
    <t>SP3</t>
  </si>
  <si>
    <t>SP4</t>
  </si>
  <si>
    <t>SP5</t>
  </si>
  <si>
    <t>SP6</t>
  </si>
  <si>
    <t>PRS</t>
  </si>
  <si>
    <t>Ouargla / OUARGLA</t>
  </si>
  <si>
    <t>Al Atteuf / GHARDAIA</t>
  </si>
  <si>
    <t>Hassi R’Mel / LAGHOUAT</t>
  </si>
  <si>
    <t>Milok / Tadjemout / LAGHOUAT</t>
  </si>
  <si>
    <t>Djebil / Faidja / TIARET</t>
  </si>
  <si>
    <t>Pipeline</t>
  </si>
  <si>
    <t>PS n°1</t>
  </si>
  <si>
    <t>PS n°2</t>
  </si>
  <si>
    <t>PS n°3</t>
  </si>
  <si>
    <t>PS n°4</t>
  </si>
  <si>
    <t>PS n°5</t>
  </si>
  <si>
    <t>PS n°6</t>
  </si>
  <si>
    <t>PS n°7</t>
  </si>
  <si>
    <t>PS n°8</t>
  </si>
  <si>
    <t>PS n°9</t>
  </si>
  <si>
    <t>PS n°10</t>
  </si>
  <si>
    <t>PS n°11</t>
  </si>
  <si>
    <t>PS n°12</t>
  </si>
  <si>
    <t>PS n°13</t>
  </si>
  <si>
    <t>PS n°14</t>
  </si>
  <si>
    <t>PS n°15</t>
  </si>
  <si>
    <t>PS n°16</t>
  </si>
  <si>
    <t>PS n°17</t>
  </si>
  <si>
    <t>PS n°18</t>
  </si>
  <si>
    <t>PS n°19</t>
  </si>
  <si>
    <t>PS n°20</t>
  </si>
  <si>
    <t>PS n°21</t>
  </si>
  <si>
    <t>0+000 / 150</t>
  </si>
  <si>
    <t>44+200 / 150</t>
  </si>
  <si>
    <t>145+473 / 295</t>
  </si>
  <si>
    <t>184+200 / 365</t>
  </si>
  <si>
    <t>236+475 / 562</t>
  </si>
  <si>
    <t>256+000 / 631</t>
  </si>
  <si>
    <t>328+047 / 762</t>
  </si>
  <si>
    <t>466+900 / 1275</t>
  </si>
  <si>
    <t>489+915 / 1083</t>
  </si>
  <si>
    <t>533+940 / 970</t>
  </si>
  <si>
    <t>611+375 / 1100</t>
  </si>
  <si>
    <t>648+000 / 758</t>
  </si>
  <si>
    <t>669+302 / 620</t>
  </si>
  <si>
    <t>701+544 / 270</t>
  </si>
  <si>
    <t>715+885 / 87</t>
  </si>
  <si>
    <t>758+279 / 25</t>
  </si>
  <si>
    <t>781+594 / 08</t>
  </si>
  <si>
    <t>781+720 / 08</t>
  </si>
  <si>
    <t>HMD / OUARGLA</t>
  </si>
  <si>
    <t>Ain Beida / OUARGLA</t>
  </si>
  <si>
    <t>OUARGLA</t>
  </si>
  <si>
    <t>Zelfana / GHARDAIA</t>
  </si>
  <si>
    <t>Ghardaia / GHARDAIA</t>
  </si>
  <si>
    <t>Daia Ben Dahoua / GHARDAIA</t>
  </si>
  <si>
    <t>Hassi / R'mel / LAGHOUAT</t>
  </si>
  <si>
    <t>Ain Hamra / LAGHOUAT</t>
  </si>
  <si>
    <t>Djelfa / DJELFA</t>
  </si>
  <si>
    <t>Faidja / TIARET</t>
  </si>
  <si>
    <t>Ain Dheb / TIARET</t>
  </si>
  <si>
    <t>Sougueur / TIARET</t>
  </si>
  <si>
    <t>Guertoufa / TIARET</t>
  </si>
  <si>
    <t>Rahouia / TIARET</t>
  </si>
  <si>
    <t>Zemmoura / RELIZANE</t>
  </si>
  <si>
    <t>Bormadia / RELIZANE</t>
  </si>
  <si>
    <t>El Hassiane / MOSTAGANEM</t>
  </si>
  <si>
    <t>Marsa el hadjej / ORAN</t>
  </si>
  <si>
    <t>22+000 / 142</t>
  </si>
  <si>
    <t>43+900 / 149</t>
  </si>
  <si>
    <t>73+000 / 186</t>
  </si>
  <si>
    <t>102+000 / 223</t>
  </si>
  <si>
    <t>150+000 / 300</t>
  </si>
  <si>
    <t>180+000 / 350</t>
  </si>
  <si>
    <t>210+000 / 467</t>
  </si>
  <si>
    <t>236+500 / 566</t>
  </si>
  <si>
    <t>265+750 / 688</t>
  </si>
  <si>
    <t>295+500 / 756</t>
  </si>
  <si>
    <t>330+000 / 766</t>
  </si>
  <si>
    <t>360+000 / 848</t>
  </si>
  <si>
    <t>390+000 / 790</t>
  </si>
  <si>
    <t>445+000 / 1050</t>
  </si>
  <si>
    <t>475+000 / 1215</t>
  </si>
  <si>
    <t>505+000 / 986</t>
  </si>
  <si>
    <t>564+500 / 1132</t>
  </si>
  <si>
    <t>594+000 / 1225</t>
  </si>
  <si>
    <t>624+000 / 997</t>
  </si>
  <si>
    <t>654+000 / 599</t>
  </si>
  <si>
    <t>684+000 / 553</t>
  </si>
  <si>
    <t>714+000 / 146</t>
  </si>
  <si>
    <t>744+000 / 150</t>
  </si>
  <si>
    <t>774+000 / 26</t>
  </si>
  <si>
    <t>804+000 / 196</t>
  </si>
  <si>
    <t>PS n°22</t>
  </si>
  <si>
    <t>PS n°23</t>
  </si>
  <si>
    <t>PS n°24</t>
  </si>
  <si>
    <t>PS n°25</t>
  </si>
  <si>
    <t>Ben Dhaou / GHARDAIA</t>
  </si>
  <si>
    <t>Hassi R’mel / LAGHOUAT</t>
  </si>
  <si>
    <t>Bennaceur Benchohra / LAGHOUAT</t>
  </si>
  <si>
    <t>Laghouat / LAGHOUAT</t>
  </si>
  <si>
    <t>Aflou / LAGHOUAT</t>
  </si>
  <si>
    <t>O.Touil / DJELFA</t>
  </si>
  <si>
    <t>Nador / TIARET</t>
  </si>
  <si>
    <t>Tiaret / TIARET</t>
  </si>
  <si>
    <t>Temda / TIARET</t>
  </si>
  <si>
    <t>Kenenda / RELIZANE</t>
  </si>
  <si>
    <t>Yellel / RELIZANE</t>
  </si>
  <si>
    <t>Granine / ORAN</t>
  </si>
  <si>
    <t>534+060 / 970</t>
  </si>
  <si>
    <t>552+122 / 1100</t>
  </si>
  <si>
    <t>72+000 / 210</t>
  </si>
  <si>
    <t>Position
Km</t>
  </si>
  <si>
    <t>Altitude
m</t>
  </si>
  <si>
    <t>Hassi Ben Abdellah / OUARGLA</t>
  </si>
  <si>
    <t>HAOUD BERKAOUI</t>
  </si>
  <si>
    <t>GUELLALA</t>
  </si>
  <si>
    <t>OUED NOUMER</t>
  </si>
  <si>
    <t>HASSI R’ MEL</t>
  </si>
  <si>
    <t>x</t>
  </si>
  <si>
    <t xml:space="preserve">Kenanda / Relizane </t>
  </si>
  <si>
    <t>PS n°01</t>
  </si>
  <si>
    <t>PS n°02</t>
  </si>
  <si>
    <t>PS n°03</t>
  </si>
  <si>
    <t>PS n°04</t>
  </si>
  <si>
    <t>PS n°05</t>
  </si>
  <si>
    <t>PS n°06</t>
  </si>
  <si>
    <t>PS n°07</t>
  </si>
  <si>
    <t>PS n°08</t>
  </si>
  <si>
    <t>PS n°09</t>
  </si>
  <si>
    <t>PS n°14 Bis</t>
  </si>
  <si>
    <t>PS n°16 Bis</t>
  </si>
  <si>
    <t>00+000 / 159</t>
  </si>
  <si>
    <t>32+000 / 160</t>
  </si>
  <si>
    <t>63+114 / 150</t>
  </si>
  <si>
    <t>126+057 / 110</t>
  </si>
  <si>
    <t>190+560 / 80</t>
  </si>
  <si>
    <t>233+401 / 80</t>
  </si>
  <si>
    <t>265+084 / 100</t>
  </si>
  <si>
    <t>338+643 / 190</t>
  </si>
  <si>
    <t>366+870 / 310</t>
  </si>
  <si>
    <t>396+854 / 280</t>
  </si>
  <si>
    <t>431+427 / 640</t>
  </si>
  <si>
    <t>463+121 / 930</t>
  </si>
  <si>
    <t>494+386 / 950</t>
  </si>
  <si>
    <t>516+946 / 830</t>
  </si>
  <si>
    <t>547+427 / 670</t>
  </si>
  <si>
    <t>576+285 / 600</t>
  </si>
  <si>
    <t>596+137 / 460</t>
  </si>
  <si>
    <t>615+012 / 12</t>
  </si>
  <si>
    <t>646+747 / 12</t>
  </si>
  <si>
    <t>PS n°10 Bis</t>
  </si>
  <si>
    <t>PS n°10 Ter</t>
  </si>
  <si>
    <t>Hassi Messaoud / Hassi Messaoud / OUARGLA</t>
  </si>
  <si>
    <t>Hassi Ben Abdellah / Sidi Khouiled / OUARGLA</t>
  </si>
  <si>
    <t>El Allia /El Hadjira / TOUGGOURT</t>
  </si>
  <si>
    <t>El M’rara / Djamaa / EL MEGHAÏER</t>
  </si>
  <si>
    <t>El Meghaïer /El Meghaïer / EL MEGHAÏER</t>
  </si>
  <si>
    <t>Oum Touyour /El-Meghaïer / EL MEGHAÏER</t>
  </si>
  <si>
    <t>Tolga / Tolga / BISKRA</t>
  </si>
  <si>
    <t>Bitam / Barika / BATNA</t>
  </si>
  <si>
    <t>Boumagueur / N'gaous / BATNA</t>
  </si>
  <si>
    <t>Lemsane / Ouled Si Slimane / BATNA</t>
  </si>
  <si>
    <t>Ain Djasser / Ain Djasser / BATNA</t>
  </si>
  <si>
    <t>M'chira / Teleghma / MILA</t>
  </si>
  <si>
    <t>Oued Seguen / Teleghma / MILA</t>
  </si>
  <si>
    <t>Constantine / Constantine / CONSTANTINE</t>
  </si>
  <si>
    <t>Zighoud Youcef / Zighoud Youcef / CONSTANTINE</t>
  </si>
  <si>
    <t>El Harrouch / El Harrouch / SKIKDA</t>
  </si>
  <si>
    <t>Hammadi Krouma / Skikda / SKIKDA</t>
  </si>
  <si>
    <t>EL MEGHAÏER</t>
  </si>
  <si>
    <t>TOUGGOURT</t>
  </si>
  <si>
    <t>BISKRA</t>
  </si>
  <si>
    <t>BATNA</t>
  </si>
  <si>
    <t>MILA</t>
  </si>
  <si>
    <t>CONSTANTINE</t>
  </si>
  <si>
    <t>SKIKDA</t>
  </si>
  <si>
    <t>El M’rara / EL MEGHAÏER</t>
  </si>
  <si>
    <t>Tolga / BISKRA</t>
  </si>
  <si>
    <t>Bitam / BATNA</t>
  </si>
  <si>
    <t>Boumagueur / BATNA</t>
  </si>
  <si>
    <t>Lemsane / BATNA</t>
  </si>
  <si>
    <t>Ain Djasser / BATNA</t>
  </si>
  <si>
    <t>M'chira / MILA</t>
  </si>
  <si>
    <t>Oued Seguen / MILA</t>
  </si>
  <si>
    <t>Constantine / CONSTANTINE</t>
  </si>
  <si>
    <t>Zighoud Youcef / CONSTANTINE</t>
  </si>
  <si>
    <t>El Harrouch / SKIKDA</t>
  </si>
  <si>
    <t>Hammadi Krouma / SKIKDA</t>
  </si>
  <si>
    <t>Selga Bouchegroune / BISKRA</t>
  </si>
  <si>
    <t>HAOUD EL HAMRA</t>
  </si>
  <si>
    <t>SP1 Bis</t>
  </si>
  <si>
    <t>Djamaa / EL MEGHAIER</t>
  </si>
  <si>
    <t>M’sila / M’SILA</t>
  </si>
  <si>
    <t>El Outaya / BISKRA</t>
  </si>
  <si>
    <t>Haoud El Hamra / OUARGLA</t>
  </si>
  <si>
    <t>SP1 Bouira</t>
  </si>
  <si>
    <t>Béni Mansour / BOUIRA</t>
  </si>
  <si>
    <t>PS n°04 Bis</t>
  </si>
  <si>
    <t>Touggourt / TOUGGOURT</t>
  </si>
  <si>
    <t>Stile / EL MEGHAIER</t>
  </si>
  <si>
    <t>Oumache / BISKRA</t>
  </si>
  <si>
    <t>Kantara / BISKRA</t>
  </si>
  <si>
    <t>Ain Khadra / M’SILA</t>
  </si>
  <si>
    <t>64+448 / 119,90</t>
  </si>
  <si>
    <t>134+960 / 89,50</t>
  </si>
  <si>
    <t>265+030 / 82,82</t>
  </si>
  <si>
    <t>313+540 / 46,960</t>
  </si>
  <si>
    <t>373+431 / 294,277</t>
  </si>
  <si>
    <t>449+600 / 419,750</t>
  </si>
  <si>
    <t>El Adjiba / BOUIRA</t>
  </si>
  <si>
    <t>Oued El Berdj / BOUIRA</t>
  </si>
  <si>
    <t>Ain Alloui / BOUIRA</t>
  </si>
  <si>
    <t>Kherbouzia / BOUIRA</t>
  </si>
  <si>
    <t>Mezeghna / MEDEA</t>
  </si>
  <si>
    <t>Souhane / BLIDA</t>
  </si>
  <si>
    <t>Larbaa / BLIDA</t>
  </si>
  <si>
    <t>18+920 / 429</t>
  </si>
  <si>
    <t>37+940 / 594</t>
  </si>
  <si>
    <t>60+200 / 733</t>
  </si>
  <si>
    <t>78+840 / 726</t>
  </si>
  <si>
    <t>99+500 / 451</t>
  </si>
  <si>
    <t>123+820 / 772</t>
  </si>
  <si>
    <t>132+450 / 84</t>
  </si>
  <si>
    <t>In Amenas / ILLIZI</t>
  </si>
  <si>
    <t>Deb Deb / ILLIZI</t>
  </si>
  <si>
    <t>54+100 / 544</t>
  </si>
  <si>
    <t>83+900 / 662</t>
  </si>
  <si>
    <t>123+100 / 600</t>
  </si>
  <si>
    <t>151+000 / 525</t>
  </si>
  <si>
    <t>210+100 / 400</t>
  </si>
  <si>
    <t>240+700 / 315</t>
  </si>
  <si>
    <t>263+900 / 280</t>
  </si>
  <si>
    <t>In Aménas / ILLIZI</t>
  </si>
  <si>
    <t>IN AMENAS</t>
  </si>
  <si>
    <t>Merksen</t>
  </si>
  <si>
    <t>El Borma / OUARGLA</t>
  </si>
  <si>
    <t>Mesdar / OUARGLA</t>
  </si>
  <si>
    <t>08b</t>
  </si>
  <si>
    <t>ROD1</t>
  </si>
  <si>
    <t>32+400 / 224</t>
  </si>
  <si>
    <t>74+800 / 195</t>
  </si>
  <si>
    <t>144+800 / 162</t>
  </si>
  <si>
    <t>239+200 / 162</t>
  </si>
  <si>
    <t>25+238 / 211</t>
  </si>
  <si>
    <t>50+672 / 197</t>
  </si>
  <si>
    <t>74+969 / 200</t>
  </si>
  <si>
    <t>102+209 / 166</t>
  </si>
  <si>
    <t>119+709 / 162</t>
  </si>
  <si>
    <t>159+513 / 155</t>
  </si>
  <si>
    <t>182+024 / 169</t>
  </si>
  <si>
    <t>204+429 / 151</t>
  </si>
  <si>
    <t>227+002 / 154</t>
  </si>
  <si>
    <t>248+065 / 155</t>
  </si>
  <si>
    <t>19+700 / 155</t>
  </si>
  <si>
    <t>62+000 / 145</t>
  </si>
  <si>
    <t>EL BORMA</t>
  </si>
  <si>
    <t>BIR EL MSANA (BMS) (AST)</t>
  </si>
  <si>
    <t>MESDAR</t>
  </si>
  <si>
    <t>BIR R’BAA NORD (BRN) (AST)</t>
  </si>
  <si>
    <t>RHOURDE EL BAGUEL</t>
  </si>
  <si>
    <t>HASSI BIR REKAIZ (HBR) (AST)</t>
  </si>
  <si>
    <t>Tamadanet (à l’arrêt)</t>
  </si>
  <si>
    <t>DP / TFT (avec Tifernine)</t>
  </si>
  <si>
    <t>DP / Rhourd Nouss</t>
  </si>
  <si>
    <t>DP / Gassi Touil</t>
  </si>
  <si>
    <t>Nezla (à l’arrêt)</t>
  </si>
  <si>
    <t>OSP1</t>
  </si>
  <si>
    <t>OSP2</t>
  </si>
  <si>
    <t>OSP4</t>
  </si>
  <si>
    <t>Ohanet / ILLIZI</t>
  </si>
  <si>
    <t>Mederba / ILLIZI</t>
  </si>
  <si>
    <t>Gassi Touil / OUARGLA</t>
  </si>
  <si>
    <t>Nezla / OUARGLA</t>
  </si>
  <si>
    <t>Hassi Berkine / OUARGLA</t>
  </si>
  <si>
    <t>El-Borma / OUARGLA</t>
  </si>
  <si>
    <t>31+400 / 196</t>
  </si>
  <si>
    <t>63+500 / 185</t>
  </si>
  <si>
    <t>93+400 / 187</t>
  </si>
  <si>
    <t>123+400 / 190</t>
  </si>
  <si>
    <t>173+300 / 184</t>
  </si>
  <si>
    <t>204+000 / 165</t>
  </si>
  <si>
    <t>233+000 / 156,79</t>
  </si>
  <si>
    <t>262+000 / 169,65</t>
  </si>
  <si>
    <t>93+500 / 187</t>
  </si>
  <si>
    <t>173+245 / 184</t>
  </si>
  <si>
    <t>204+010 / 165</t>
  </si>
  <si>
    <t>233+041 / 156,79</t>
  </si>
  <si>
    <t>263+000 / 169,65</t>
  </si>
  <si>
    <t>Hassi R’mel</t>
  </si>
  <si>
    <t>Benaceur Benchahra</t>
  </si>
  <si>
    <t>Elkheneg</t>
  </si>
  <si>
    <t>Tadjemout</t>
  </si>
  <si>
    <t>El Baida</t>
  </si>
  <si>
    <t>Faidja</t>
  </si>
  <si>
    <t>Sougueur</t>
  </si>
  <si>
    <t>Guertoufa</t>
  </si>
  <si>
    <t>Rahouia</t>
  </si>
  <si>
    <t>Zemmoura</t>
  </si>
  <si>
    <t>Barmadia</t>
  </si>
  <si>
    <t>Matmar</t>
  </si>
  <si>
    <t>Mohamadia</t>
  </si>
  <si>
    <t>Mocta douz</t>
  </si>
  <si>
    <t>Granine</t>
  </si>
  <si>
    <t>LAGHOUAT</t>
  </si>
  <si>
    <t>TIARET</t>
  </si>
  <si>
    <t>RELIZANE</t>
  </si>
  <si>
    <t>MASCARA</t>
  </si>
  <si>
    <t>Benaceur Benchahra / LAGHOUAT</t>
  </si>
  <si>
    <t>Elkheneg / LAGHOUAT</t>
  </si>
  <si>
    <t>Tadjemout / LAGHOUAT</t>
  </si>
  <si>
    <t>El Baida / LAGHOUAT</t>
  </si>
  <si>
    <t>Barmadia / RELIZANE</t>
  </si>
  <si>
    <t>Matmar / RELIZANE</t>
  </si>
  <si>
    <t>Mohamadia / MASCARA</t>
  </si>
  <si>
    <t>Mocta douz / MASCARA</t>
  </si>
  <si>
    <t>Granine / MASCARA</t>
  </si>
  <si>
    <t>0+446</t>
  </si>
  <si>
    <t>7+000</t>
  </si>
  <si>
    <t>22+960</t>
  </si>
  <si>
    <t>77+000</t>
  </si>
  <si>
    <t>95+000</t>
  </si>
  <si>
    <t>109+274</t>
  </si>
  <si>
    <t>139+086</t>
  </si>
  <si>
    <t>194+551</t>
  </si>
  <si>
    <t>230+022</t>
  </si>
  <si>
    <t>247+400</t>
  </si>
  <si>
    <t>262+000</t>
  </si>
  <si>
    <t>306+786</t>
  </si>
  <si>
    <t>317+500</t>
  </si>
  <si>
    <t>337+300</t>
  </si>
  <si>
    <t>364+367</t>
  </si>
  <si>
    <t>397+328</t>
  </si>
  <si>
    <t>411+438</t>
  </si>
  <si>
    <t>424+000</t>
  </si>
  <si>
    <t>463+666</t>
  </si>
  <si>
    <t>477+000</t>
  </si>
  <si>
    <t>488+000</t>
  </si>
  <si>
    <t>490+605</t>
  </si>
  <si>
    <t>1 057</t>
  </si>
  <si>
    <t>1 102</t>
  </si>
  <si>
    <t>1 096</t>
  </si>
  <si>
    <t>Milok / LAGHOUAT</t>
  </si>
  <si>
    <t>Medareg / LAGHOUAT</t>
  </si>
  <si>
    <t>DP Hassi R’mel</t>
  </si>
  <si>
    <t>Touat Gaz * (en association)</t>
  </si>
  <si>
    <t>Reggane * (en association)</t>
  </si>
  <si>
    <t xml:space="preserve">HASSI BERKINE </t>
  </si>
  <si>
    <t xml:space="preserve">Menzel Ledjmet Nord </t>
  </si>
  <si>
    <t>19+142 / 173</t>
  </si>
  <si>
    <t>39+030 / 170</t>
  </si>
  <si>
    <t>58+423 / 127</t>
  </si>
  <si>
    <t>78+000 / 119</t>
  </si>
  <si>
    <t>97+503 / 112</t>
  </si>
  <si>
    <t>117+112 / 98</t>
  </si>
  <si>
    <t>136+698 / 88</t>
  </si>
  <si>
    <t>156+448 / 71</t>
  </si>
  <si>
    <t>175+500 / 77</t>
  </si>
  <si>
    <t>209+315 / 110</t>
  </si>
  <si>
    <t>228+535 / 78</t>
  </si>
  <si>
    <t>248+003 / 42</t>
  </si>
  <si>
    <t>267+651 / 93</t>
  </si>
  <si>
    <t>287+163 / 85</t>
  </si>
  <si>
    <t>306+745 / 78</t>
  </si>
  <si>
    <t>326+507 / 150</t>
  </si>
  <si>
    <t>357+114 / 241</t>
  </si>
  <si>
    <t>375+164 / 403</t>
  </si>
  <si>
    <t>Sidi khouiled / OUARGLA</t>
  </si>
  <si>
    <t>Elhadjira / OUARGLA</t>
  </si>
  <si>
    <t>Temacine / OUARGLA</t>
  </si>
  <si>
    <t>Megharine / OUARGLA</t>
  </si>
  <si>
    <t>El outaya / BISKRA</t>
  </si>
  <si>
    <t>Ouarlal / BISKRA</t>
  </si>
  <si>
    <t>M'ghaier / M’GHAIER</t>
  </si>
  <si>
    <t>Djamâa / M’GHAIER</t>
  </si>
  <si>
    <t>DP Hassi Messaoud</t>
  </si>
  <si>
    <t>PS n°26</t>
  </si>
  <si>
    <t>PS n°27</t>
  </si>
  <si>
    <t>PS n°28</t>
  </si>
  <si>
    <t>PS n°29</t>
  </si>
  <si>
    <t>PS n°30</t>
  </si>
  <si>
    <t>PS n°31</t>
  </si>
  <si>
    <t>PS n°32</t>
  </si>
  <si>
    <t>PS n°33</t>
  </si>
  <si>
    <t>PS n°34</t>
  </si>
  <si>
    <t>PS n°35</t>
  </si>
  <si>
    <t>PS n°36</t>
  </si>
  <si>
    <t>394+301 / 538</t>
  </si>
  <si>
    <t>411+129 / 474</t>
  </si>
  <si>
    <t>446+337 / 705</t>
  </si>
  <si>
    <t>461+375 / 854</t>
  </si>
  <si>
    <t>478+150 / 934</t>
  </si>
  <si>
    <t>496+241 / 874</t>
  </si>
  <si>
    <t>508+364 / 957</t>
  </si>
  <si>
    <t>525+239 / 833</t>
  </si>
  <si>
    <t>540+753 / 780</t>
  </si>
  <si>
    <t>554+193 / 660</t>
  </si>
  <si>
    <t>568+761 / 770</t>
  </si>
  <si>
    <t>576+080 / 432</t>
  </si>
  <si>
    <t>588+960 / 594</t>
  </si>
  <si>
    <t>599+888 / 568</t>
  </si>
  <si>
    <t>614+435 / 172</t>
  </si>
  <si>
    <t>623+417 / 149</t>
  </si>
  <si>
    <t>633+085 / 60</t>
  </si>
  <si>
    <t>641+444 / 30</t>
  </si>
  <si>
    <t>N’gaous / N’gaous / BATNA</t>
  </si>
  <si>
    <t>Lemcen / Ouled Si Slimane / BATNA</t>
  </si>
  <si>
    <t>Talkhemt / Ras El Aioun / BATNA</t>
  </si>
  <si>
    <t>Aindjasser / Ain djasser / MILA</t>
  </si>
  <si>
    <t>Ouled khlouf / Tadjenent / MILA</t>
  </si>
  <si>
    <t>M’chira / Teleghma / MILA</t>
  </si>
  <si>
    <t>Teleghma / Teleghma / MILA</t>
  </si>
  <si>
    <t>Oued Sguine / Teleghma / MILA</t>
  </si>
  <si>
    <t>Ain Smara / Khroub / CONSTANTINE</t>
  </si>
  <si>
    <t>Didouche Mourad / Didouche Mourad / CONSTANTINE</t>
  </si>
  <si>
    <t>Zighout youcef / Zighout youcef / CONSTANTINE</t>
  </si>
  <si>
    <t>El Harouche / El Harouche / SKIKDA</t>
  </si>
  <si>
    <t>Salah bouchaour / El Harouche / SKIKDA</t>
  </si>
  <si>
    <t>Ramdane Djamel / Ramdane Djamel / SKIKDA</t>
  </si>
  <si>
    <t>Barika / BATNA</t>
  </si>
  <si>
    <t>N’gaous / BATNA</t>
  </si>
  <si>
    <t>Ouled Si Slimane / BATNA</t>
  </si>
  <si>
    <t>Ras El Aioun / BATNA</t>
  </si>
  <si>
    <t>Ain djasser / MILA</t>
  </si>
  <si>
    <t xml:space="preserve"> Tadjenent / MILA</t>
  </si>
  <si>
    <t>Teleghma / MILA</t>
  </si>
  <si>
    <t>Khroub / CONSTANTINE</t>
  </si>
  <si>
    <t>Didouche Mourad / CONSTANTINE</t>
  </si>
  <si>
    <t>Zighout youcef / CONSTANTINE</t>
  </si>
  <si>
    <t>El Harouche / SKIKDA</t>
  </si>
  <si>
    <t>Ramdane Djamel / SKIKDA</t>
  </si>
  <si>
    <t>Skikda / SKIKDA</t>
  </si>
  <si>
    <t>27 / 637</t>
  </si>
  <si>
    <t>40 / 515</t>
  </si>
  <si>
    <t>78 / 438</t>
  </si>
  <si>
    <t>117+300 / 373</t>
  </si>
  <si>
    <t>201+600 / 273</t>
  </si>
  <si>
    <t>255+300 / 242</t>
  </si>
  <si>
    <t>293+600 / 226</t>
  </si>
  <si>
    <t>386 / 183</t>
  </si>
  <si>
    <t>435+100 / 159</t>
  </si>
  <si>
    <t>475+100 / 145</t>
  </si>
  <si>
    <t>27</t>
  </si>
  <si>
    <t>40</t>
  </si>
  <si>
    <t>78</t>
  </si>
  <si>
    <t>386</t>
  </si>
  <si>
    <t>Bordj Omar Driss / ILLIZI</t>
  </si>
  <si>
    <t>DP / Ohanet</t>
  </si>
  <si>
    <t>DP / Stah</t>
  </si>
  <si>
    <t>Tinhert *</t>
  </si>
  <si>
    <t>DP Ohanet</t>
  </si>
  <si>
    <t>In Aménas (SH/ENI/EQUINOR)</t>
  </si>
  <si>
    <t>DP TFT</t>
  </si>
  <si>
    <t>Isaréne</t>
  </si>
  <si>
    <t>CPF MLE</t>
  </si>
  <si>
    <t>EL MERK</t>
  </si>
  <si>
    <t>Hassi R'Mel / LAGHOUAT</t>
  </si>
  <si>
    <t>33+400 / 800</t>
  </si>
  <si>
    <t>66+800 / 920</t>
  </si>
  <si>
    <t>91+300 / 820</t>
  </si>
  <si>
    <t>153+500 / 1250</t>
  </si>
  <si>
    <t>189 / 1000</t>
  </si>
  <si>
    <t>219 / 920</t>
  </si>
  <si>
    <t>249 / 1100</t>
  </si>
  <si>
    <t>281 / 1250</t>
  </si>
  <si>
    <t>329 / 1000</t>
  </si>
  <si>
    <t>349+400 / 480</t>
  </si>
  <si>
    <t>372+800 / 550</t>
  </si>
  <si>
    <t>388 / 510</t>
  </si>
  <si>
    <t>412+200 / 180</t>
  </si>
  <si>
    <t>436+300 / 110</t>
  </si>
  <si>
    <t>451+400 / 107</t>
  </si>
  <si>
    <t>474+300 / 30</t>
  </si>
  <si>
    <t>492+700 / 160</t>
  </si>
  <si>
    <t>El Kheneg / LAGHOUAT</t>
  </si>
  <si>
    <t>Tadjmout / LAGHOUAT</t>
  </si>
  <si>
    <t>Sidi Bouzid / LAGHOUAT</t>
  </si>
  <si>
    <t>Naima / TIARET</t>
  </si>
  <si>
    <t>Mellakou / TIARET</t>
  </si>
  <si>
    <t>Sidi Lazreg / RELIZANE</t>
  </si>
  <si>
    <t>Bendaoud / RELIZANE</t>
  </si>
  <si>
    <t>Sedjarara / MASCARA</t>
  </si>
  <si>
    <t>El Ghomri / MASCARA</t>
  </si>
  <si>
    <t>Ras Ain Amirouche / MASCARA</t>
  </si>
  <si>
    <t>Mers El Hadjadj / ORAN</t>
  </si>
  <si>
    <t>189</t>
  </si>
  <si>
    <t>219</t>
  </si>
  <si>
    <t>249</t>
  </si>
  <si>
    <t>281</t>
  </si>
  <si>
    <t>329</t>
  </si>
  <si>
    <t>388</t>
  </si>
  <si>
    <t>PS n°15A</t>
  </si>
  <si>
    <t>PS n°15B</t>
  </si>
  <si>
    <t>20+983 / 760</t>
  </si>
  <si>
    <t>41+247 / 824</t>
  </si>
  <si>
    <t>60+604 / 875</t>
  </si>
  <si>
    <t>80+141 / 800</t>
  </si>
  <si>
    <t>97+958 / 795</t>
  </si>
  <si>
    <t>119+566 / 953</t>
  </si>
  <si>
    <t>140+999 / 1069</t>
  </si>
  <si>
    <t>160+134 / 1237</t>
  </si>
  <si>
    <t>182+012 / 1136</t>
  </si>
  <si>
    <t>199+477 / 971</t>
  </si>
  <si>
    <t>219+487 / 978</t>
  </si>
  <si>
    <t>241+804 / 1056</t>
  </si>
  <si>
    <t>261+913 / 1147</t>
  </si>
  <si>
    <t>282+038 / 1266</t>
  </si>
  <si>
    <t>301+416 / 1173</t>
  </si>
  <si>
    <t>325+534 / 995</t>
  </si>
  <si>
    <t>336+228 / 1015</t>
  </si>
  <si>
    <t>346+717 / 786</t>
  </si>
  <si>
    <t>358+621 / 673</t>
  </si>
  <si>
    <t>369+781 / 636</t>
  </si>
  <si>
    <t>382+146 / 538</t>
  </si>
  <si>
    <t>393+132 / 269</t>
  </si>
  <si>
    <t>404+398 / 116</t>
  </si>
  <si>
    <t>412+418 / 120</t>
  </si>
  <si>
    <t>425+319 / 311</t>
  </si>
  <si>
    <t>433+722 / 314</t>
  </si>
  <si>
    <t>447+168 / 75</t>
  </si>
  <si>
    <t>457+033 / 24</t>
  </si>
  <si>
    <t>477+352 / 8</t>
  </si>
  <si>
    <t>Hassi r’mel / LAGHOUAT</t>
  </si>
  <si>
    <t>Beidha / LAGHOUAT</t>
  </si>
  <si>
    <t>Tousnina / TIARET</t>
  </si>
  <si>
    <t>Sidi Mhamed Benaouda / RELIZANE</t>
  </si>
  <si>
    <t>Ain Rahma / RELIZANE</t>
  </si>
  <si>
    <t>Sedjrara / RELIZANE</t>
  </si>
  <si>
    <t>Sidi Abdelmoumene / MASCARA</t>
  </si>
  <si>
    <t>Mactaa Douz / MASCARA</t>
  </si>
  <si>
    <t>Ras el Ain Amirouche / MASCARA</t>
  </si>
  <si>
    <t>467+132 / 15</t>
  </si>
  <si>
    <t>486+013 / 16</t>
  </si>
  <si>
    <t>PS n°20Bis</t>
  </si>
  <si>
    <t>20+000 / 709</t>
  </si>
  <si>
    <t>40+000 / 694</t>
  </si>
  <si>
    <t>60+000 / 662</t>
  </si>
  <si>
    <t>118+000 / 558</t>
  </si>
  <si>
    <t>156+000 / 570</t>
  </si>
  <si>
    <t>195+600 / 540</t>
  </si>
  <si>
    <t>263+400 / 423</t>
  </si>
  <si>
    <t>298+000 / 348</t>
  </si>
  <si>
    <t>316+800 / 318</t>
  </si>
  <si>
    <t>357+800 / 300</t>
  </si>
  <si>
    <t>395+700 / 274</t>
  </si>
  <si>
    <t>448+800 / 240</t>
  </si>
  <si>
    <t>484+800 / 220</t>
  </si>
  <si>
    <t>524+300 / 198</t>
  </si>
  <si>
    <t>544+900 / 186</t>
  </si>
  <si>
    <t>565+600 / 178</t>
  </si>
  <si>
    <t>586+400 / 167</t>
  </si>
  <si>
    <t>604+300 / 160</t>
  </si>
  <si>
    <t>623+300 / 151</t>
  </si>
  <si>
    <t>653+500 / 167</t>
  </si>
  <si>
    <t>672+500 / 167</t>
  </si>
  <si>
    <t>694+500 / 177</t>
  </si>
  <si>
    <t>715+500 / 148</t>
  </si>
  <si>
    <t>741+600 / 136</t>
  </si>
  <si>
    <t>769+500 / 160</t>
  </si>
  <si>
    <t>837+600 / 318</t>
  </si>
  <si>
    <t>857+500 / 352</t>
  </si>
  <si>
    <t>878+500 / 412</t>
  </si>
  <si>
    <t>900+700 / 496</t>
  </si>
  <si>
    <t>918+300 / 558</t>
  </si>
  <si>
    <t>936+600 / 626</t>
  </si>
  <si>
    <t>954+300 / 708</t>
  </si>
  <si>
    <t>971+300 / 770</t>
  </si>
  <si>
    <t>Bordj Omar Idriss / ILLIZI</t>
  </si>
  <si>
    <t>Rouissat / OUARGLA</t>
  </si>
  <si>
    <t>Bounoura / GHARDAIA</t>
  </si>
  <si>
    <t>Ghardaïa / GHARDAIA</t>
  </si>
  <si>
    <t>Ben Dhaou / LAGHOUAT</t>
  </si>
  <si>
    <t>Hassi R'mel / LAGHOUAT</t>
  </si>
  <si>
    <t>18 / 558</t>
  </si>
  <si>
    <t>54 / 570</t>
  </si>
  <si>
    <t>93 / 540</t>
  </si>
  <si>
    <t>161 / 423</t>
  </si>
  <si>
    <t>196 / 348</t>
  </si>
  <si>
    <t>214 / 318</t>
  </si>
  <si>
    <t>255 / 300</t>
  </si>
  <si>
    <t>294 / 274</t>
  </si>
  <si>
    <t>346 / 240</t>
  </si>
  <si>
    <t>382 / 220</t>
  </si>
  <si>
    <t>19+000 / 163</t>
  </si>
  <si>
    <t>41+000 / 177</t>
  </si>
  <si>
    <t>63+000 / 147</t>
  </si>
  <si>
    <t>84+017 / 140</t>
  </si>
  <si>
    <t>101+802 / 220</t>
  </si>
  <si>
    <t>121+500 / 230</t>
  </si>
  <si>
    <t>142+000 / 250</t>
  </si>
  <si>
    <t>171+000 / 310</t>
  </si>
  <si>
    <t>191+278 / 380</t>
  </si>
  <si>
    <t>212+000 / 440</t>
  </si>
  <si>
    <t>233+240 / 470</t>
  </si>
  <si>
    <t>271+322 / 580</t>
  </si>
  <si>
    <t>291+500 / 640</t>
  </si>
  <si>
    <t>305+618 / 690</t>
  </si>
  <si>
    <t>324+000 / 750</t>
  </si>
  <si>
    <t>El Atteuf / GHARDAIA</t>
  </si>
  <si>
    <t>Guardaia / GHARDAIA</t>
  </si>
  <si>
    <t>BP Tiguentourine</t>
  </si>
  <si>
    <t>Groupement TFT</t>
  </si>
  <si>
    <t>Groupement Isarene / Ain Tsila</t>
  </si>
  <si>
    <t>Rhourd Nouss</t>
  </si>
  <si>
    <t>MLE+CAFC</t>
  </si>
  <si>
    <t>Bir Rbaa Nord</t>
  </si>
  <si>
    <t>Berkin Nord et Sud</t>
  </si>
  <si>
    <t>Hassi Messaoud Sud 2</t>
  </si>
  <si>
    <t>Hassi Messaoud Sud 1</t>
  </si>
  <si>
    <t>Z-CINA</t>
  </si>
  <si>
    <t>Rhourde Nouss / ILLIZI</t>
  </si>
  <si>
    <t>SP RN</t>
  </si>
  <si>
    <t>NSP1</t>
  </si>
  <si>
    <t>SC1</t>
  </si>
  <si>
    <t>SC2</t>
  </si>
  <si>
    <t>SC3</t>
  </si>
  <si>
    <t>SC4</t>
  </si>
  <si>
    <t>Medarreg / TIARET</t>
  </si>
  <si>
    <t>Zaaroura / TIARET</t>
  </si>
  <si>
    <t>Bourmadia / RELIZANE</t>
  </si>
  <si>
    <t>Material</t>
  </si>
  <si>
    <t>X52</t>
  </si>
  <si>
    <t>X60</t>
  </si>
  <si>
    <t>InnerCaoting</t>
  </si>
  <si>
    <t>OuterCaoting</t>
  </si>
  <si>
    <t>Brai de Houille</t>
  </si>
  <si>
    <t>Epoxy</t>
  </si>
  <si>
    <t>S</t>
  </si>
  <si>
    <t>Zone nord du pays</t>
  </si>
  <si>
    <t>Zone sude du pays</t>
  </si>
  <si>
    <t>Region Haoud El Hamra</t>
  </si>
  <si>
    <t>HEH</t>
  </si>
  <si>
    <t>Region de Transport Illizi</t>
  </si>
  <si>
    <t>Wilaya</t>
  </si>
  <si>
    <t>Oran</t>
  </si>
  <si>
    <t>Region de Transport Centre</t>
  </si>
  <si>
    <t>Region de Transport Est</t>
  </si>
  <si>
    <t>TRC</t>
  </si>
  <si>
    <t>Siége Centrale de l'Activité</t>
  </si>
  <si>
    <t>Bejaia</t>
  </si>
  <si>
    <t>Tlemcen</t>
  </si>
  <si>
    <t>Tebessa</t>
  </si>
  <si>
    <t>Ouargla</t>
  </si>
  <si>
    <t>Laghouat</t>
  </si>
  <si>
    <t>Illizi</t>
  </si>
  <si>
    <t>Altitude</t>
  </si>
  <si>
    <t>A25</t>
  </si>
  <si>
    <t>Conduites basse pression</t>
  </si>
  <si>
    <t>A</t>
  </si>
  <si>
    <t>Conduites générales</t>
  </si>
  <si>
    <t>B</t>
  </si>
  <si>
    <t>Conduites standard pour hydrocarbures</t>
  </si>
  <si>
    <t>X42</t>
  </si>
  <si>
    <t>Pipelines moyenne pression</t>
  </si>
  <si>
    <t>X46</t>
  </si>
  <si>
    <t>X56</t>
  </si>
  <si>
    <t>Pipelines haute pression</t>
  </si>
  <si>
    <t>X65</t>
  </si>
  <si>
    <t>Pipelines offshore et haute pression</t>
  </si>
  <si>
    <t>X70</t>
  </si>
  <si>
    <t>Pipelines haute performance</t>
  </si>
  <si>
    <t>X80</t>
  </si>
  <si>
    <t>Pipelines très haute performance</t>
  </si>
  <si>
    <t>X100</t>
  </si>
  <si>
    <t>Applications spéciales (rare)</t>
  </si>
  <si>
    <t>X120</t>
  </si>
  <si>
    <t>Opérations normales</t>
  </si>
  <si>
    <t>Conditions du marché, flexibilité opérationnelle</t>
  </si>
  <si>
    <t>Maintenance planifiée ou incident imprévu</t>
  </si>
  <si>
    <t>En Maintenance</t>
  </si>
  <si>
    <t>Réparations programmées, inspections</t>
  </si>
  <si>
    <t>Pré-mise en service, vérifications post-réparation</t>
  </si>
  <si>
    <t>Capacité Réduite</t>
  </si>
  <si>
    <t>Panne d'équipement, contraintes opérationnelles</t>
  </si>
  <si>
    <t>Urgence / Incident</t>
  </si>
  <si>
    <t>Fuite, rupture, incident de sécurité</t>
  </si>
  <si>
    <t>Fin de vie opérationnelle</t>
  </si>
  <si>
    <t>En Test</t>
  </si>
  <si>
    <t>Mis Hors Service</t>
  </si>
  <si>
    <t>Arrêté</t>
  </si>
  <si>
    <t>À l'Arrêt</t>
  </si>
  <si>
    <t>En Service</t>
  </si>
  <si>
    <t>Insert into T_20_06 (</t>
  </si>
  <si>
    <t>Poste de Sectionnement</t>
  </si>
  <si>
    <t>Poste de Coupure</t>
  </si>
  <si>
    <t>Poste de Prélèvement</t>
  </si>
  <si>
    <t>Usine de Pétrochimique</t>
  </si>
  <si>
    <t>Station de Compression</t>
  </si>
  <si>
    <t>Station de Pompage</t>
  </si>
  <si>
    <t>Station de Détente</t>
  </si>
  <si>
    <t>Usine de Traitement</t>
  </si>
  <si>
    <t>Station de Collecte</t>
  </si>
  <si>
    <t>Bac de Stockage</t>
  </si>
  <si>
    <t>Usine de Liquéfaction de Gaz Naturel</t>
  </si>
  <si>
    <t>Usines de GPL</t>
  </si>
  <si>
    <t>Port d'exportation</t>
  </si>
  <si>
    <t>Collecter les hydrocarbures (brut, gaz, eau) provenant de multiples puits dans un champ et les acheminer vers une installation centrale de traitement</t>
  </si>
  <si>
    <t>éparer et purifier les hydrocarbures pour répondre aux spécifications des pipelines ou de la vente</t>
  </si>
  <si>
    <t>Comprimer le gaz pour compenser la perte de charge due aux frottements, maintenir le débit et la pression sur de longues distances</t>
  </si>
  <si>
    <t>Fournir l'énergie hydraulique nécessaire pour faire circuler le pétrole ou les produits raffinés dans le pipeline</t>
  </si>
  <si>
    <t>la destination finale primaire de nombreux oléoducs. Elles transforment le pétrole brut en produits finis (essence, diesel, carburéacteur) qui seront à leur tour transportés vers des centres de distribution</t>
  </si>
  <si>
    <t>Isoler une section du pipeline pour la maintenance, les inspections ou en cas d'urgence. C'est une fonction opérationnelle qui permet de diviser le pipeline en tronçons plus courts et indépendants</t>
  </si>
  <si>
    <t>Arrêter brutalement l'écoulement du produit en cas d'incident détecté (fuite importante, rupture, incendie). C'est une fonction de sécurité pure</t>
  </si>
  <si>
    <t>Prélever (livrer) une partie du produit transporté pour l'aiguiller vers un client ou un autre réseau. C'est une fonction commerciale et de gestion de flux</t>
  </si>
  <si>
    <t>réduire la pression du gaz acheminé dans un pipeline haute pression pour l'adapter à la pression requise par le réseau de distribution en aval ou par un client industriel</t>
  </si>
  <si>
    <t>Stocker stratégiquement les hydrocarbures pour Gérer les écarts entre la production continue et la demande variable</t>
  </si>
  <si>
    <t>Transformer le gaz naturel et le pétrole en produits à plus haute valeur ajoutée que les matières premières brutes. Elles produisent des matières premières pour l'industrie plastique, chimique, agricole</t>
  </si>
  <si>
    <t>Refroidir le gaz naturel à -162°C pour le transformer en Gaz Naturel Liquéfié (GNL), réduisant son volume de 600 fois. Cela permet de le transporter par navires méthaniers vers des marchés internationaux non reliés par gazoducs</t>
  </si>
  <si>
    <t>Séparer et liquéfier les gaz (propane et butane) naturellement présents dans le gaz naturel ou le pétrole brut. Le GPL est stocké et transporté sous pression pour être utilisé comme carburant (bouteilles de gaz, carburant automobile) ou comme combustible</t>
  </si>
  <si>
    <t>Points de sortie maritime pour l'exportation des hydrocarbures et produits dérivés. Ils sont équipés de terminaux spécialisés, de quais en eau profonde, de bras de chargement et de vastes zones de stockage</t>
  </si>
  <si>
    <t>SCL</t>
  </si>
  <si>
    <t>UT</t>
  </si>
  <si>
    <t>SC</t>
  </si>
  <si>
    <t>SP</t>
  </si>
  <si>
    <t>SD</t>
  </si>
  <si>
    <t>PS</t>
  </si>
  <si>
    <t>PP</t>
  </si>
  <si>
    <t>UGPL</t>
  </si>
  <si>
    <t>BAC</t>
  </si>
  <si>
    <t>PC</t>
  </si>
  <si>
    <t>RAF</t>
  </si>
  <si>
    <t>UP</t>
  </si>
  <si>
    <t>UGNL</t>
  </si>
  <si>
    <t>PEXP</t>
  </si>
  <si>
    <t>Eliminer les composants les plus légers et les contaminants pour le rendre sûr pour le transport et le stockage, et pour répondre aux spécifications commerciales.</t>
  </si>
  <si>
    <t xml:space="preserve">Usine de Condensat </t>
  </si>
  <si>
    <t>UCDN</t>
  </si>
  <si>
    <t>TURBINE</t>
  </si>
  <si>
    <t>POMPE</t>
  </si>
  <si>
    <t>TURBO-POMPE</t>
  </si>
  <si>
    <t>TURBO-ALTERNATEUR</t>
  </si>
  <si>
    <t>MOTEUR</t>
  </si>
  <si>
    <t>TURBO-COMPRESSEUR</t>
  </si>
  <si>
    <t>Machine qui convertit l'énergie cinétique et/ou thermique d'un fluide (vapeur, gaz, eau) en énergie mécanique (rotation d'un arbre).</t>
  </si>
  <si>
    <t>Machine qui convertit une énergie (généralement thermique) en énergie mécanique. Le terme est souvent utilisé pour les moteurs à combustion interne.</t>
  </si>
  <si>
    <t>MOTEUR ÉLECTRIQUE</t>
  </si>
  <si>
    <t>Machine qui convertit l'énergie électrique en énergie mécanique de rotation.</t>
  </si>
  <si>
    <t>Machine qui utilise l'énergie mécanique pour augmenter la pression d'un liquide et le faire circuler dans une conduite.</t>
  </si>
  <si>
    <t>COMPRESSEUR</t>
  </si>
  <si>
    <t>Machine qui utilise l'énergie mécanique pour augmenter la pression d'un gaz en réduisant son volume.</t>
  </si>
  <si>
    <t>Une pompe centrifuge (qui utilise une roue à aubes tournante pour accélérer le fluide) entraînée par une turbine.</t>
  </si>
  <si>
    <t>Un compresseur centrifuge (axial ou radial) entraîné par une turbine à gaz ou à vapeur.</t>
  </si>
  <si>
    <t>ÉLECTRO-POMPE</t>
  </si>
  <si>
    <t>Une pompe tout type (centrifuge, à piston) entraînée par un moteur électrique.</t>
  </si>
  <si>
    <t>BOOSTER</t>
  </si>
  <si>
    <t>Terme général désignant un équipement qui "booste" (augmente) une pression ou un signal.</t>
  </si>
  <si>
    <t>Ensemble composé d'une turbine (source d'énergie) couplée directement à un alternateur (générateur de courant électrique).</t>
  </si>
  <si>
    <t>GROUPE ÉLECTROGÈNE</t>
  </si>
  <si>
    <t>Ensemble autonome composé d'un moteur (généralement diesel) couplé à un alternateur pour produire de l'électricité.</t>
  </si>
  <si>
    <t>T</t>
  </si>
  <si>
    <t>M</t>
  </si>
  <si>
    <t>P</t>
  </si>
  <si>
    <t>C</t>
  </si>
  <si>
    <t>EM</t>
  </si>
  <si>
    <t>TP</t>
  </si>
  <si>
    <t>TC</t>
  </si>
  <si>
    <t>EP</t>
  </si>
  <si>
    <t>TA</t>
  </si>
  <si>
    <t>GE</t>
  </si>
  <si>
    <t>Insert into T_20_08 (</t>
  </si>
  <si>
    <t>Insert into T_20_11 (</t>
  </si>
  <si>
    <t>Operating
Capacity</t>
  </si>
  <si>
    <t>Length
(Km)</t>
  </si>
  <si>
    <t>Installation 
Date</t>
  </si>
  <si>
    <t>Commission
Date</t>
  </si>
  <si>
    <t>Retirement
Date</t>
  </si>
  <si>
    <t>Operational
Status</t>
  </si>
  <si>
    <t>F_12</t>
  </si>
  <si>
    <t>F_13</t>
  </si>
  <si>
    <t>Departure
Facility</t>
  </si>
  <si>
    <t>Arrival 
Facility</t>
  </si>
  <si>
    <t>Pipeline
System</t>
  </si>
  <si>
    <t>1965-11-07</t>
  </si>
  <si>
    <t>Centre de Dispatiching</t>
  </si>
  <si>
    <t>CD</t>
  </si>
  <si>
    <t>Centre de Dispatching et gestion des flux des hydrcabures trasnportés</t>
  </si>
  <si>
    <t>Centre de Dispatching des Hydrocarbures Liquides</t>
  </si>
  <si>
    <t>Poste de Chargement en Mere</t>
  </si>
  <si>
    <t>Poste de Chargement à Quai</t>
  </si>
  <si>
    <t>PCM</t>
  </si>
  <si>
    <t>PCQ</t>
  </si>
  <si>
    <t>PEHZ</t>
  </si>
  <si>
    <t>Port d'Exportation des Hydrocarbures d'Arzew</t>
  </si>
  <si>
    <t>Port d'Exportation des Hydrocarbures de Skikda</t>
  </si>
  <si>
    <t>PEHK</t>
  </si>
  <si>
    <t>Port d'Exportation des Hydrocarbures de Bejaia</t>
  </si>
  <si>
    <t>PEHB</t>
  </si>
  <si>
    <t>Usine de Liquéfaction de Gaz Naturel d'Arzew</t>
  </si>
  <si>
    <t>ULGNZ</t>
  </si>
  <si>
    <t>ULGNK</t>
  </si>
  <si>
    <t>Centre National de Dispatching Gaz</t>
  </si>
  <si>
    <t>Terminal d'exportation</t>
  </si>
  <si>
    <t>TEXP</t>
  </si>
  <si>
    <t>Points de sortie terrestre pour l'exportation des hydrocarbures et produits dérivés</t>
  </si>
  <si>
    <t>Usine de Liquéfaction de Gaz Naturel 
de Skikda</t>
  </si>
  <si>
    <t>Raffinerie d'Arzew</t>
  </si>
  <si>
    <t>Raffinerie de Skikda</t>
  </si>
  <si>
    <t>Raffinerie de Hassi Messaoud</t>
  </si>
  <si>
    <t>Raffinerie d'Adrar</t>
  </si>
  <si>
    <t>Adrar</t>
  </si>
  <si>
    <t>Chlef</t>
  </si>
  <si>
    <t>Oum El Bouaghi</t>
  </si>
  <si>
    <t>Batna</t>
  </si>
  <si>
    <t>Béjaïa</t>
  </si>
  <si>
    <t>Biskra</t>
  </si>
  <si>
    <t>Béchar</t>
  </si>
  <si>
    <t>Blida</t>
  </si>
  <si>
    <t>Bouira</t>
  </si>
  <si>
    <t>Tamanrasset</t>
  </si>
  <si>
    <t>Tébessa</t>
  </si>
  <si>
    <t>Tiaret</t>
  </si>
  <si>
    <t>Tizi Ouzou</t>
  </si>
  <si>
    <t>Djelfa</t>
  </si>
  <si>
    <t>Jijel</t>
  </si>
  <si>
    <t>Sétif</t>
  </si>
  <si>
    <t>Saïda</t>
  </si>
  <si>
    <t>Sidi Bel Abbès</t>
  </si>
  <si>
    <t>Annaba</t>
  </si>
  <si>
    <t>Guelma</t>
  </si>
  <si>
    <t>Constantine</t>
  </si>
  <si>
    <t>Médéa</t>
  </si>
  <si>
    <t>Mostaganem</t>
  </si>
  <si>
    <t>M'Sila</t>
  </si>
  <si>
    <t>Mascara</t>
  </si>
  <si>
    <t>El Bayadh</t>
  </si>
  <si>
    <t>Bordj Bou Arreridj</t>
  </si>
  <si>
    <t>Boumerdès</t>
  </si>
  <si>
    <t>El Tarf</t>
  </si>
  <si>
    <t>Tindouf</t>
  </si>
  <si>
    <t>Tissemsilt</t>
  </si>
  <si>
    <t>El Oued</t>
  </si>
  <si>
    <t>Khenchela</t>
  </si>
  <si>
    <t>Souk Ahras</t>
  </si>
  <si>
    <t>Tipaza</t>
  </si>
  <si>
    <t>Mila</t>
  </si>
  <si>
    <t>Aïn Defla</t>
  </si>
  <si>
    <t>Naâma</t>
  </si>
  <si>
    <t>Aïn Témouchent</t>
  </si>
  <si>
    <t>Ghardaïa</t>
  </si>
  <si>
    <t>Relizane</t>
  </si>
  <si>
    <t>Timimoun</t>
  </si>
  <si>
    <t>Bordj Badji Mokhtar</t>
  </si>
  <si>
    <t>Ouled Djellal</t>
  </si>
  <si>
    <t>Béni Abbès</t>
  </si>
  <si>
    <t>In Guezzam</t>
  </si>
  <si>
    <t>Touggourt</t>
  </si>
  <si>
    <t>Djanet</t>
  </si>
  <si>
    <t>El M'Ghair</t>
  </si>
  <si>
    <t>El Meniaa</t>
  </si>
  <si>
    <t>Usine de séparation des GPL</t>
  </si>
  <si>
    <t>Djamaa</t>
  </si>
  <si>
    <t>ID</t>
  </si>
  <si>
    <t>Boumagueur</t>
  </si>
  <si>
    <t>CP2K</t>
  </si>
  <si>
    <t>2003-08-18</t>
  </si>
  <si>
    <t>1972-01-01</t>
  </si>
  <si>
    <t>1959-11-10</t>
  </si>
  <si>
    <t>2005-07-04</t>
  </si>
  <si>
    <t>1960-01-01</t>
  </si>
  <si>
    <t>1982-01-01</t>
  </si>
  <si>
    <t>1977-03-23</t>
  </si>
  <si>
    <t>1999-12-11</t>
  </si>
  <si>
    <t>1972-04-10</t>
  </si>
  <si>
    <t>1999-01-01</t>
  </si>
  <si>
    <t>2006-01-01</t>
  </si>
  <si>
    <t>1978-11-01</t>
  </si>
  <si>
    <t>2009-08-04</t>
  </si>
  <si>
    <t>1984-02-08</t>
  </si>
  <si>
    <t>2010-11-01</t>
  </si>
  <si>
    <t>1996-01-01</t>
  </si>
  <si>
    <t>2004-10-04</t>
  </si>
  <si>
    <t>2014-01-01</t>
  </si>
  <si>
    <t>1961-01-01</t>
  </si>
  <si>
    <t>2022-01-01</t>
  </si>
  <si>
    <t>1976-01-01</t>
  </si>
  <si>
    <t>GZ0 Bis</t>
  </si>
  <si>
    <t>2022-09-01</t>
  </si>
  <si>
    <t>1989-01-01</t>
  </si>
  <si>
    <t>GZ3</t>
  </si>
  <si>
    <t>RGZ3</t>
  </si>
  <si>
    <t>2018-01-01</t>
  </si>
  <si>
    <t>2010-04-16</t>
  </si>
  <si>
    <t>2021-01-01</t>
  </si>
  <si>
    <t>1971-01-01</t>
  </si>
  <si>
    <t>1978-01-01</t>
  </si>
  <si>
    <t>2001-01-01</t>
  </si>
  <si>
    <t>1998-01-01</t>
  </si>
  <si>
    <t>2012-01-01</t>
  </si>
  <si>
    <t>1987-01-01</t>
  </si>
  <si>
    <t>2008-01-01</t>
  </si>
  <si>
    <t>2010-01-01</t>
  </si>
  <si>
    <t>1981-01-01</t>
  </si>
  <si>
    <t>2019-01-01</t>
  </si>
  <si>
    <t>1986-01-01</t>
  </si>
  <si>
    <t>2017-01-01</t>
  </si>
  <si>
    <t>2019-12-01</t>
  </si>
  <si>
    <t>2017-06-01</t>
  </si>
  <si>
    <t>GR1-S01</t>
  </si>
  <si>
    <t>GR1-S02</t>
  </si>
  <si>
    <t>brais de houille</t>
  </si>
  <si>
    <t>polyéthylène extrudé</t>
  </si>
  <si>
    <t>Résine Epoxyde à durcissement par 
polyamide</t>
  </si>
  <si>
    <t>GR2-S01</t>
  </si>
  <si>
    <t>GR2-S02</t>
  </si>
  <si>
    <t xml:space="preserve">PEHD Tri couche </t>
  </si>
  <si>
    <t>polyethylene</t>
  </si>
  <si>
    <t>TEO</t>
  </si>
  <si>
    <t>Al Atteuf</t>
  </si>
  <si>
    <t>Milok</t>
  </si>
  <si>
    <t>Djebil</t>
  </si>
  <si>
    <t>Station de Pompage de Haoud El Hamra</t>
  </si>
  <si>
    <t>Station de Pompage d'Ouargla</t>
  </si>
  <si>
    <t>Station de Pompage d'Al Atteuf</t>
  </si>
  <si>
    <t>Station de Pompage de Hassi R'mel</t>
  </si>
  <si>
    <t>Station de Pompage de Milok</t>
  </si>
  <si>
    <t>Station de Pompage de Djebil</t>
  </si>
  <si>
    <t>SP1-OK1</t>
  </si>
  <si>
    <t>SP3-OK1</t>
  </si>
  <si>
    <t>SP3 Bis-OK1</t>
  </si>
  <si>
    <t>SP4-OK1</t>
  </si>
  <si>
    <t>Station de Pompage de Boumagueur</t>
  </si>
  <si>
    <t>Station de Pompage de Selga</t>
  </si>
  <si>
    <t>Station de Pompage de Djamaa</t>
  </si>
  <si>
    <t>SP2-OK1</t>
  </si>
  <si>
    <t>Selga</t>
  </si>
  <si>
    <t>SP1-ROB1</t>
  </si>
  <si>
    <t>Station de Pompage d'El Outaya</t>
  </si>
  <si>
    <t>SP1 Bis-OB1</t>
  </si>
  <si>
    <t>SP2-OB1</t>
  </si>
  <si>
    <t>SP3-OB1</t>
  </si>
  <si>
    <t>Station de Pompage de M'sila</t>
  </si>
  <si>
    <t>SP1-OG1</t>
  </si>
  <si>
    <t>Station de Pompage de Beni Mansour</t>
  </si>
  <si>
    <t>SP1-OT1</t>
  </si>
  <si>
    <t>SP2-OT1</t>
  </si>
  <si>
    <t>Station de Pompage d'In Amenas</t>
  </si>
  <si>
    <t>Station de Pompage du Deb-Deb</t>
  </si>
  <si>
    <t>OPS1-OH1</t>
  </si>
  <si>
    <t>OPS2-OH1</t>
  </si>
  <si>
    <t>OPS3-OH1</t>
  </si>
  <si>
    <t>Station de Pompage d'Ohanet</t>
  </si>
  <si>
    <t>Station de Pompage de Mederba</t>
  </si>
  <si>
    <t>Station de Pompage de Gassi Touil</t>
  </si>
  <si>
    <t>Station de Pompage d'El Borma</t>
  </si>
  <si>
    <t>Station de Pompage de Mesdar</t>
  </si>
  <si>
    <t>OPS1-OD1</t>
  </si>
  <si>
    <t>OPS1-OH2</t>
  </si>
  <si>
    <t>Station de Pompage de Hassi Berkine</t>
  </si>
  <si>
    <t>SP1-OH3/OH4</t>
  </si>
  <si>
    <t>Station de Pompage de Nezla</t>
  </si>
  <si>
    <t>SP2-OH3/OH4</t>
  </si>
  <si>
    <t>SP4-NZ1</t>
  </si>
  <si>
    <t>SP5-NZ1</t>
  </si>
  <si>
    <t>SP6-NZ1</t>
  </si>
  <si>
    <t>Station de Pompage de Medareg</t>
  </si>
  <si>
    <t>SP1-NK1</t>
  </si>
  <si>
    <t>SP3-NK1</t>
  </si>
  <si>
    <t>SP1-LZ1</t>
  </si>
  <si>
    <t>SP1-LZ2</t>
  </si>
  <si>
    <t>Station de Pompage de Rhoud Nouss</t>
  </si>
  <si>
    <t>SPRN-LR1/DLR1/ELR1</t>
  </si>
  <si>
    <t>SP1-LR1/DLR1/ELR1</t>
  </si>
  <si>
    <t>SP2-LR1/DLR1/ELR1</t>
  </si>
  <si>
    <t>Station de Compression de Laghouat</t>
  </si>
  <si>
    <t>Station de Compression de Medarreg</t>
  </si>
  <si>
    <t>Station de Compression de Tiaret</t>
  </si>
  <si>
    <t>Station de Compression de Relizane</t>
  </si>
  <si>
    <t>SC1-GZ0</t>
  </si>
  <si>
    <t>SC2-GZ0</t>
  </si>
  <si>
    <t>SC3-GZ0</t>
  </si>
  <si>
    <t>SC4-GZ0</t>
  </si>
  <si>
    <t>Station de Compression de Timzhert</t>
  </si>
  <si>
    <t>Station de Compression de M'seka</t>
  </si>
  <si>
    <t>Station de Compression de Djebel Nador</t>
  </si>
  <si>
    <t>Station de Compression de Kenenda</t>
  </si>
  <si>
    <t>SC1-GZ1/GZ2/GZ3</t>
  </si>
  <si>
    <t>SC2-GZ1/GZ2/GZ3</t>
  </si>
  <si>
    <t>SC3-GZ1/GZ2/GZ3</t>
  </si>
  <si>
    <t>SC4-GZ1/GZ2/GZ3</t>
  </si>
  <si>
    <t>SC5-GZ1/GZ2/GZ3</t>
  </si>
  <si>
    <t>Station de Compression de Sidi Cheikh</t>
  </si>
  <si>
    <t>SC3-GPDF/EGPDF</t>
  </si>
  <si>
    <t>SCA-GK1/GK2</t>
  </si>
  <si>
    <t>SCB-GK1/GK2</t>
  </si>
  <si>
    <t>SCC-GK1/GK2</t>
  </si>
  <si>
    <t>SCD-GK1/GK2</t>
  </si>
  <si>
    <t>SCE-GK1/GK2</t>
  </si>
  <si>
    <t>Station de Compression de Hassi Dellaa</t>
  </si>
  <si>
    <t>Station de Compression de Ras El Miaad</t>
  </si>
  <si>
    <t>Station de Compression de Chaiba</t>
  </si>
  <si>
    <t>Station de Compression de Sefiane</t>
  </si>
  <si>
    <t>Station de Compression de Mechtatine</t>
  </si>
  <si>
    <t>Station de Compression d'Ain Naga</t>
  </si>
  <si>
    <t>SC2-GO1/GO2/GO3</t>
  </si>
  <si>
    <t>Station de Compression de Moudjebara</t>
  </si>
  <si>
    <t>SC3-GG1</t>
  </si>
  <si>
    <t>SCTFT-GR1/GR2</t>
  </si>
  <si>
    <t>SC1-GR1/GR2</t>
  </si>
  <si>
    <t>SC2-GR1/GR2</t>
  </si>
  <si>
    <t>SC3-GR1/GR2</t>
  </si>
  <si>
    <t>SC4-GR1/GR2</t>
  </si>
  <si>
    <t>Station de Compression de TFT</t>
  </si>
  <si>
    <t>Station de Compression de Rhoude Nouss</t>
  </si>
  <si>
    <t>Station de Compression de Zina</t>
  </si>
  <si>
    <t>Station de Compression d'Ouargla</t>
  </si>
  <si>
    <t>Station de Compression de Hassi R'mel</t>
  </si>
  <si>
    <t>SCHR-GR1/GR2</t>
  </si>
  <si>
    <t>Terminal d'Exportation d'Oued Saf Saf</t>
  </si>
  <si>
    <t>SCHR-GR5/GR7</t>
  </si>
  <si>
    <t>SP1-OZ1/OZ2</t>
  </si>
  <si>
    <t>SP2-OZ1/OZ2</t>
  </si>
  <si>
    <t>SP3-OZ1/OZ2</t>
  </si>
  <si>
    <t>SP4-OZ1/OZ2</t>
  </si>
  <si>
    <t>SP5-OZ1/OZ2</t>
  </si>
  <si>
    <t>SP6-OZ1/OZ2</t>
  </si>
  <si>
    <t>Complexe Pétrochimique de Skikda</t>
  </si>
  <si>
    <t>RA1D</t>
  </si>
  <si>
    <t>RA1G</t>
  </si>
  <si>
    <t>RA1Z</t>
  </si>
  <si>
    <t>RA2K</t>
  </si>
  <si>
    <t>RHMD2</t>
  </si>
  <si>
    <t>RA1K</t>
  </si>
  <si>
    <t>STC GR5/GR7</t>
  </si>
  <si>
    <t>31.9667</t>
  </si>
  <si>
    <t>5.98333</t>
  </si>
  <si>
    <t>31.9500</t>
  </si>
  <si>
    <t>5.3333</t>
  </si>
  <si>
    <t>32.2222</t>
  </si>
  <si>
    <t>5.5833</t>
  </si>
  <si>
    <t>32.9449</t>
  </si>
  <si>
    <t>3.3342</t>
  </si>
  <si>
    <t>36.1403</t>
  </si>
  <si>
    <t>5.7108</t>
  </si>
  <si>
    <t>33.1084</t>
  </si>
  <si>
    <t>5.7681</t>
  </si>
  <si>
    <t>33.5333</t>
  </si>
  <si>
    <t>5.9833</t>
  </si>
  <si>
    <t>32.0265</t>
  </si>
  <si>
    <t>6.1224</t>
  </si>
  <si>
    <t>34.0522</t>
  </si>
  <si>
    <t>4.8001</t>
  </si>
  <si>
    <t>34.3731</t>
  </si>
  <si>
    <t>5.5470</t>
  </si>
  <si>
    <t>35.7058</t>
  </si>
  <si>
    <t>4.5498</t>
  </si>
  <si>
    <t>36.4354</t>
  </si>
  <si>
    <t>4.7833</t>
  </si>
  <si>
    <t>28.0500</t>
  </si>
  <si>
    <t>9.5500</t>
  </si>
  <si>
    <t>28.0000</t>
  </si>
  <si>
    <t>9.7333</t>
  </si>
  <si>
    <t>27.8656</t>
  </si>
  <si>
    <t>9.1524</t>
  </si>
  <si>
    <t>35.7800</t>
  </si>
  <si>
    <t>5.0200</t>
  </si>
  <si>
    <t>28.5333</t>
  </si>
  <si>
    <t>8.5667</t>
  </si>
  <si>
    <t>32.1931</t>
  </si>
  <si>
    <t>5.5639</t>
  </si>
  <si>
    <t>35.6178</t>
  </si>
  <si>
    <t>3.1657</t>
  </si>
  <si>
    <t>31.7833</t>
  </si>
  <si>
    <t>6.1667</t>
  </si>
  <si>
    <t>33.5777</t>
  </si>
  <si>
    <t>5.3765</t>
  </si>
  <si>
    <t>28.5513</t>
  </si>
  <si>
    <t>9.5626</t>
  </si>
  <si>
    <t>Haoud El Hamra</t>
  </si>
  <si>
    <t>M'sila</t>
  </si>
  <si>
    <t>Beni Mansour</t>
  </si>
  <si>
    <t>Mederba</t>
  </si>
  <si>
    <t>Nezla</t>
  </si>
  <si>
    <t>El Outaya</t>
  </si>
  <si>
    <t>Deb-Deb</t>
  </si>
  <si>
    <t>31.896238777833435, 5.922525611578441</t>
  </si>
  <si>
    <t>Terminal d'Exportation du DEB DEB</t>
  </si>
  <si>
    <t>TED</t>
  </si>
  <si>
    <t>SP2-LZ1</t>
  </si>
  <si>
    <t>Insert into T_20_09E (</t>
  </si>
  <si>
    <t>Insert into T_20_09E (E_00, E_01) values</t>
  </si>
  <si>
    <t>Terminal d'Exportation d'El Aricha</t>
  </si>
  <si>
    <t>TEA</t>
  </si>
  <si>
    <t>Terminal d'Exportation de Beni Saf</t>
  </si>
  <si>
    <t>TEB</t>
  </si>
  <si>
    <t>Terminal d'Arrivé Bordj Menail</t>
  </si>
  <si>
    <t>TABM</t>
  </si>
  <si>
    <t>Station de Collecte de Reggane</t>
  </si>
  <si>
    <t>SCLR</t>
  </si>
  <si>
    <t>Nominal
Diamiter</t>
  </si>
  <si>
    <t>Nominal
Thikness</t>
  </si>
  <si>
    <t>Nominal
Roughness</t>
  </si>
  <si>
    <t>Design
Max
Pressure</t>
  </si>
  <si>
    <t>Operating
Max
Pressure</t>
  </si>
  <si>
    <t>Design
Min
Pressure</t>
  </si>
  <si>
    <t>Operating
Min
Pressure</t>
  </si>
  <si>
    <t>F_14</t>
  </si>
  <si>
    <t>F_15</t>
  </si>
  <si>
    <t>F_16</t>
  </si>
  <si>
    <t>Vendor</t>
  </si>
  <si>
    <t>Nominal
Interior</t>
  </si>
  <si>
    <t>Nominal
Exterior</t>
  </si>
  <si>
    <t>Nominal
Material</t>
  </si>
  <si>
    <t>F_17</t>
  </si>
  <si>
    <t>F_18</t>
  </si>
  <si>
    <t>F_19</t>
  </si>
  <si>
    <t>F_20</t>
  </si>
  <si>
    <t>F_21</t>
  </si>
  <si>
    <t>F_22</t>
  </si>
  <si>
    <t>F_23</t>
  </si>
  <si>
    <t>Insert into T_03_03_01 (</t>
  </si>
  <si>
    <t>Insert into T_03_03_07 (</t>
  </si>
  <si>
    <t>placeName</t>
  </si>
  <si>
    <t>latitude</t>
  </si>
  <si>
    <t>longitude</t>
  </si>
  <si>
    <t>elevation</t>
  </si>
  <si>
    <t>Locality</t>
  </si>
  <si>
    <t>default</t>
  </si>
  <si>
    <t>Insert into T_03_03_02 (</t>
  </si>
  <si>
    <t>Insert into T_03_03_03 (</t>
  </si>
  <si>
    <t>X</t>
  </si>
  <si>
    <t>Hassi R’Mel</t>
  </si>
  <si>
    <t>Rhourde Nouss</t>
  </si>
  <si>
    <t>Tin Fouyé Tabankort (TFT)</t>
  </si>
  <si>
    <t>TFT area</t>
  </si>
  <si>
    <t>Timrhert / Tinrhert</t>
  </si>
  <si>
    <t>Near In Amenas</t>
  </si>
  <si>
    <t>Ourhoud</t>
  </si>
  <si>
    <t>Rhourde El Baguel</t>
  </si>
  <si>
    <t>R. El Baguel</t>
  </si>
  <si>
    <t>Oued Noumer</t>
  </si>
  <si>
    <t>Gassi Touil (Hassi Messaoud area)</t>
  </si>
  <si>
    <t>In Amenas / Tiguentourine</t>
  </si>
  <si>
    <t>In Salah (Southern Fields)</t>
  </si>
  <si>
    <t>Zarzaitine (oil)</t>
  </si>
  <si>
    <t>Hassi Berkine Complex</t>
  </si>
  <si>
    <t>HDLE / HDLS</t>
  </si>
  <si>
    <t xml:space="preserve">Hassi R’Mel </t>
  </si>
  <si>
    <t>Hassi R’Mel  Field</t>
  </si>
  <si>
    <t>Rhourde Nouss Field</t>
  </si>
  <si>
    <t>Alrar Field</t>
  </si>
  <si>
    <t>Tin Fouyé Tabankort (TFT) Field</t>
  </si>
  <si>
    <t>Timrhert / Tinrhert Field</t>
  </si>
  <si>
    <t>Ourhoud Field</t>
  </si>
  <si>
    <t>Hassi Messaoud Field</t>
  </si>
  <si>
    <t>Rhourde El Baguel Field</t>
  </si>
  <si>
    <t>Oued Noumer Field</t>
  </si>
  <si>
    <t>Gassi Touil (Hassi Messaoud area) Field</t>
  </si>
  <si>
    <t>Ohanet Field</t>
  </si>
  <si>
    <t>In Amenas / Tiguentourine Field</t>
  </si>
  <si>
    <t>In Salah (Southern Fields) Field</t>
  </si>
  <si>
    <t>Zarzaitine (oil) Field</t>
  </si>
  <si>
    <t>Hassi Berkine Complex Field</t>
  </si>
  <si>
    <t>HDLE / HDLS Field</t>
  </si>
  <si>
    <t>32.95</t>
  </si>
  <si>
    <t>3.17</t>
  </si>
  <si>
    <t>29.65</t>
  </si>
  <si>
    <t>6.45</t>
  </si>
  <si>
    <t>28.56</t>
  </si>
  <si>
    <t>9.65</t>
  </si>
  <si>
    <t>28.55</t>
  </si>
  <si>
    <t>7.22</t>
  </si>
  <si>
    <t>8.72</t>
  </si>
  <si>
    <t>In Amenas (Tiguentourine)</t>
  </si>
  <si>
    <t>27.85</t>
  </si>
  <si>
    <t>9.13</t>
  </si>
  <si>
    <t>In Salah (Krechba group)</t>
  </si>
  <si>
    <t>Timimoun basin</t>
  </si>
  <si>
    <t>28.24</t>
  </si>
  <si>
    <t>1.69</t>
  </si>
  <si>
    <t>Aïn T’sila</t>
  </si>
  <si>
    <t>Isarène area</t>
  </si>
  <si>
    <t>27.69</t>
  </si>
  <si>
    <t>8.01</t>
  </si>
  <si>
    <t>Near Hassi Messaoud</t>
  </si>
  <si>
    <t>30.52</t>
  </si>
  <si>
    <t>6.47</t>
  </si>
  <si>
    <t>31.61</t>
  </si>
  <si>
    <t>5.92</t>
  </si>
  <si>
    <t>Haoud Berkaoui</t>
  </si>
  <si>
    <t>5.75</t>
  </si>
  <si>
    <t>32.61</t>
  </si>
  <si>
    <t>Bir Berkine sector</t>
  </si>
  <si>
    <t>8.03</t>
  </si>
  <si>
    <t>Zarzaitine</t>
  </si>
  <si>
    <t>28.01</t>
  </si>
  <si>
    <t>9.67</t>
  </si>
  <si>
    <t>Zemlet el Arbi</t>
  </si>
  <si>
    <t>Field</t>
  </si>
  <si>
    <t>Krechba</t>
  </si>
  <si>
    <t>HMD</t>
  </si>
  <si>
    <t>HB</t>
  </si>
  <si>
    <t>ON</t>
  </si>
  <si>
    <t>OUR</t>
  </si>
  <si>
    <t>HBC</t>
  </si>
  <si>
    <t>ZRZ</t>
  </si>
  <si>
    <t>HDLE</t>
  </si>
  <si>
    <t>Tim</t>
  </si>
  <si>
    <t>GT</t>
  </si>
  <si>
    <t>AT</t>
  </si>
  <si>
    <t>TMM</t>
  </si>
  <si>
    <t>TGN</t>
  </si>
  <si>
    <t>OHN</t>
  </si>
  <si>
    <t>RN</t>
  </si>
  <si>
    <t>28.7</t>
  </si>
  <si>
    <t>28.2</t>
  </si>
  <si>
    <t>2.4</t>
  </si>
  <si>
    <t>31.4</t>
  </si>
  <si>
    <t>3.7</t>
  </si>
  <si>
    <t>31.5</t>
  </si>
  <si>
    <t>6.7</t>
  </si>
  <si>
    <t>6.3</t>
  </si>
  <si>
    <t>30.8</t>
  </si>
  <si>
    <t>9.4</t>
  </si>
  <si>
    <t>Insert into R_T030305_T030207 (F_01,F_02) values</t>
  </si>
  <si>
    <t>(124,1),</t>
  </si>
  <si>
    <t>(125,1),</t>
  </si>
  <si>
    <t>(126,1),</t>
  </si>
  <si>
    <t>(127,1),</t>
  </si>
  <si>
    <t>(128,1),</t>
  </si>
  <si>
    <t>(129,1),</t>
  </si>
  <si>
    <t>(130,1),</t>
  </si>
  <si>
    <t>(131,1),</t>
  </si>
  <si>
    <t>(132,1),</t>
  </si>
  <si>
    <t>(133,1),</t>
  </si>
  <si>
    <t>(136,1),</t>
  </si>
  <si>
    <t>(142,1),</t>
  </si>
  <si>
    <t>Data</t>
  </si>
  <si>
    <t>(134,2),</t>
  </si>
  <si>
    <t>(135,2),</t>
  </si>
  <si>
    <t>(137,2),</t>
  </si>
  <si>
    <t>(138,2),</t>
  </si>
  <si>
    <t>(139,2),</t>
  </si>
  <si>
    <t>(140,2),</t>
  </si>
  <si>
    <t>(141,2),</t>
  </si>
  <si>
    <t>(124,3),</t>
  </si>
  <si>
    <t>(125,3),</t>
  </si>
  <si>
    <t>(126,3),</t>
  </si>
  <si>
    <t>(127,3),</t>
  </si>
  <si>
    <t>(128,3),</t>
  </si>
  <si>
    <t>(129,3),</t>
  </si>
  <si>
    <t>(132,3),</t>
  </si>
  <si>
    <t>(133,2),</t>
  </si>
  <si>
    <t>Facility Name</t>
  </si>
  <si>
    <t>Installation Date</t>
  </si>
  <si>
    <t>Commission Date</t>
  </si>
  <si>
    <t>Place Name</t>
  </si>
  <si>
    <t>Elevation (m)</t>
  </si>
  <si>
    <t>Vendor / Operator</t>
  </si>
  <si>
    <t>Centre National de Dispatching Gaz (CNDG)</t>
  </si>
  <si>
    <t>Centre de Dispatching des Hydrocarbures Liquides (CDHL)</t>
  </si>
  <si>
    <t>Port d’Exportation des Hydrocarbures d’Arzew</t>
  </si>
  <si>
    <t>35.82</t>
  </si>
  <si>
    <t>-0.28</t>
  </si>
  <si>
    <t>Port d’Exportation des Hydrocarbures de Skikda</t>
  </si>
  <si>
    <t>36.89</t>
  </si>
  <si>
    <t>6.92</t>
  </si>
  <si>
    <t>Port d’Exportation des Hydrocarbures de Béjaïa</t>
  </si>
  <si>
    <t>36.75</t>
  </si>
  <si>
    <t>5.09</t>
  </si>
  <si>
    <t>Usine de Liquéfaction GNL d’Arzew (GL1Z, GL2Z, GL3Z)</t>
  </si>
  <si>
    <t>35.81</t>
  </si>
  <si>
    <t>-0.25</t>
  </si>
  <si>
    <t>Usine de Liquéfaction GNL de Skikda</t>
  </si>
  <si>
    <t>36.87</t>
  </si>
  <si>
    <t>6.97</t>
  </si>
  <si>
    <t>Terminal d’Exportation d’Oued Saf Saf</t>
  </si>
  <si>
    <t>35.30</t>
  </si>
  <si>
    <t>-1.62</t>
  </si>
  <si>
    <t>Béni Saf</t>
  </si>
  <si>
    <t>Terminal d’Exportation de Debdeb</t>
  </si>
  <si>
    <t>Debdeb</t>
  </si>
  <si>
    <t>27.95</t>
  </si>
  <si>
    <t>8.12</t>
  </si>
  <si>
    <t>Raffinerie d’Alger</t>
  </si>
  <si>
    <t>36.73</t>
  </si>
  <si>
    <t>3.10</t>
  </si>
  <si>
    <t>Raffinerie d’Arzew</t>
  </si>
  <si>
    <t>-0.26</t>
  </si>
  <si>
    <t>6.98</t>
  </si>
  <si>
    <t>Raffinerie d’Adrar</t>
  </si>
  <si>
    <t>27.87</t>
  </si>
  <si>
    <t>-0.29</t>
  </si>
  <si>
    <t>36.88</t>
  </si>
  <si>
    <t>Terminal d’Exportation d’El Aricha</t>
  </si>
  <si>
    <t>35.77</t>
  </si>
  <si>
    <t>-1.83</t>
  </si>
  <si>
    <t>Terminal d’Exportation de Béni Saf</t>
  </si>
  <si>
    <t>-1.63</t>
  </si>
  <si>
    <t>Terminal d’Arrivée Bordj Menaïel</t>
  </si>
  <si>
    <t>Bordj Menaïel</t>
  </si>
  <si>
    <t>36.74</t>
  </si>
  <si>
    <t>3.72</t>
  </si>
  <si>
    <t>1983-01-01</t>
  </si>
  <si>
    <t>1985-01-01</t>
  </si>
  <si>
    <t>1980-01-01</t>
  </si>
  <si>
    <t>1964-01-01</t>
  </si>
  <si>
    <t>1965-01-01</t>
  </si>
  <si>
    <t>1970-01-01</t>
  </si>
  <si>
    <t>2007-01-01</t>
  </si>
  <si>
    <t>Insert into T_03_03_04 (F_00,F_13) values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</si>
</sst>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00"/>
    <numFmt numFmtId="165" formatCode="[$-1300C]dd/mm/yyyy;@"/>
    <numFmt numFmtId="166" formatCode="_(* #,##0_);_(* \(#,##0\);_(* &quot;-&quot;??_);_(@_)"/>
    <numFmt numFmtId="167" formatCode="0.000"/>
    <numFmt numFmtId="168" formatCode="_(* #,##0.000_);_(* \(#,##0.000\);_(* &quot;-&quot;??_);_(@_)"/>
    <numFmt numFmtId="169" formatCode="yyyy\-mm\-dd;@"/>
  </numFmts>
  <fonts count="8" x14ac:knownFonts="1">
    <font>
      <sz val="11"/>
      <color theme="1"/>
      <name val="Arial Narrow"/>
      <family val="2"/>
    </font>
    <font>
      <sz val="11"/>
      <color theme="1"/>
      <name val="Arial Narrow"/>
      <family val="2"/>
    </font>
    <font>
      <sz val="12"/>
      <color theme="1"/>
      <name val="Arial Narrow"/>
      <family val="2"/>
    </font>
    <font>
      <b/>
      <sz val="12"/>
      <color theme="1"/>
      <name val="Arial Narrow"/>
      <family val="2"/>
    </font>
    <font>
      <sz val="11"/>
      <color theme="1"/>
      <name val="Calibri"/>
      <family val="2"/>
      <scheme val="minor"/>
    </font>
    <font>
      <b/>
      <sz val="11"/>
      <color theme="1"/>
      <name val="Arial Narrow"/>
      <family val="2"/>
    </font>
    <font>
      <sz val="8"/>
      <name val="Arial Narrow"/>
      <family val="2"/>
    </font>
    <font>
      <b/>
      <sz val="10"/>
      <color rgb="FF0F1115"/>
      <name val="Segoe UI"/>
      <family val="2"/>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0" fontId="4" fillId="0" borderId="0"/>
    <xf numFmtId="43" fontId="4" fillId="0" borderId="0" applyFont="0" applyFill="0" applyBorder="0" applyAlignment="0" applyProtection="0"/>
  </cellStyleXfs>
  <cellXfs count="64">
    <xf numFmtId="0" fontId="0" fillId="0" borderId="0" xfId="0"/>
    <xf numFmtId="16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0" borderId="0" xfId="2"/>
    <xf numFmtId="43" fontId="0" fillId="0" borderId="0" xfId="3" applyFont="1"/>
    <xf numFmtId="165" fontId="4" fillId="0" borderId="0" xfId="2" applyNumberFormat="1" applyAlignment="1">
      <alignment horizontal="center" vertical="center"/>
    </xf>
    <xf numFmtId="1" fontId="4" fillId="0" borderId="0" xfId="2" applyNumberFormat="1" applyAlignment="1">
      <alignment horizontal="center" vertical="center"/>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2" fillId="7" borderId="1" xfId="0" applyFont="1" applyFill="1" applyBorder="1" applyAlignment="1">
      <alignment horizontal="center" vertical="center"/>
    </xf>
    <xf numFmtId="1" fontId="2" fillId="0" borderId="1" xfId="0" applyNumberFormat="1" applyFont="1" applyBorder="1" applyAlignment="1">
      <alignment horizontal="center" vertical="center"/>
    </xf>
    <xf numFmtId="0" fontId="2" fillId="0" borderId="1" xfId="0" applyFont="1" applyFill="1" applyBorder="1" applyAlignment="1">
      <alignment horizontal="left" vertical="center"/>
    </xf>
    <xf numFmtId="0" fontId="0" fillId="0" borderId="1" xfId="0" applyFont="1" applyBorder="1" applyAlignment="1">
      <alignment horizontal="center" vertical="center"/>
    </xf>
    <xf numFmtId="0" fontId="0" fillId="0" borderId="1" xfId="0" applyFont="1" applyBorder="1"/>
    <xf numFmtId="0" fontId="0" fillId="0" borderId="1" xfId="0" applyFont="1" applyBorder="1" applyAlignment="1">
      <alignment horizontal="center"/>
    </xf>
    <xf numFmtId="0" fontId="0" fillId="0" borderId="1" xfId="0" applyFont="1" applyFill="1" applyBorder="1" applyAlignment="1">
      <alignment horizontal="center" vertical="center"/>
    </xf>
    <xf numFmtId="0" fontId="0" fillId="0" borderId="2" xfId="0" applyFont="1" applyBorder="1"/>
    <xf numFmtId="0" fontId="0" fillId="0" borderId="2" xfId="0" applyFont="1" applyBorder="1" applyAlignment="1">
      <alignment horizontal="center" vertical="center"/>
    </xf>
    <xf numFmtId="0" fontId="5" fillId="8" borderId="1" xfId="0" applyFont="1" applyFill="1" applyBorder="1" applyAlignment="1">
      <alignment horizontal="center" vertical="center"/>
    </xf>
    <xf numFmtId="0" fontId="0" fillId="0" borderId="1" xfId="0" applyFont="1" applyBorder="1" applyAlignment="1">
      <alignment horizontal="left" vertical="center"/>
    </xf>
    <xf numFmtId="0" fontId="0" fillId="0" borderId="1" xfId="0" applyFont="1" applyFill="1" applyBorder="1" applyAlignment="1">
      <alignment horizontal="left" vertical="center"/>
    </xf>
    <xf numFmtId="0" fontId="0" fillId="0" borderId="1" xfId="0" applyFont="1" applyBorder="1" applyAlignment="1">
      <alignment horizontal="left"/>
    </xf>
    <xf numFmtId="0" fontId="5" fillId="8" borderId="2" xfId="0" applyFont="1" applyFill="1" applyBorder="1" applyAlignment="1">
      <alignment horizontal="center" vertical="center"/>
    </xf>
    <xf numFmtId="0" fontId="0" fillId="0" borderId="2" xfId="0" applyFont="1" applyBorder="1" applyAlignment="1">
      <alignment horizontal="center"/>
    </xf>
    <xf numFmtId="166" fontId="2" fillId="0" borderId="1" xfId="1" applyNumberFormat="1" applyFont="1" applyBorder="1" applyAlignment="1">
      <alignment horizontal="center" vertical="center"/>
    </xf>
    <xf numFmtId="167" fontId="2" fillId="0" borderId="1" xfId="0" applyNumberFormat="1" applyFont="1" applyBorder="1" applyAlignment="1">
      <alignment horizontal="center" vertical="center"/>
    </xf>
    <xf numFmtId="0" fontId="2" fillId="0" borderId="1" xfId="0" applyFont="1" applyFill="1" applyBorder="1" applyAlignment="1">
      <alignment horizontal="center" vertical="center"/>
    </xf>
    <xf numFmtId="167" fontId="2" fillId="0" borderId="1" xfId="0" applyNumberFormat="1" applyFont="1" applyBorder="1" applyAlignment="1">
      <alignment horizontal="right" vertical="center"/>
    </xf>
    <xf numFmtId="2" fontId="2" fillId="0" borderId="1" xfId="0" applyNumberFormat="1" applyFont="1" applyBorder="1" applyAlignment="1">
      <alignment horizontal="right"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7" borderId="1" xfId="0" applyFont="1" applyFill="1" applyBorder="1" applyAlignment="1">
      <alignment horizontal="left" vertical="center"/>
    </xf>
    <xf numFmtId="0" fontId="3" fillId="6" borderId="0" xfId="0" applyFont="1" applyFill="1" applyBorder="1" applyAlignment="1">
      <alignment horizontal="center" vertical="center"/>
    </xf>
    <xf numFmtId="2" fontId="2" fillId="0" borderId="1" xfId="0" applyNumberFormat="1" applyFont="1" applyBorder="1" applyAlignment="1">
      <alignment horizontal="center" vertical="center"/>
    </xf>
    <xf numFmtId="0" fontId="0" fillId="0" borderId="0" xfId="0" applyAlignment="1">
      <alignment vertical="center"/>
    </xf>
    <xf numFmtId="0" fontId="7" fillId="0" borderId="0" xfId="0" applyFont="1" applyAlignment="1">
      <alignment vertical="center" wrapText="1"/>
    </xf>
    <xf numFmtId="0" fontId="2" fillId="0" borderId="1" xfId="0" applyFont="1" applyBorder="1" applyAlignment="1">
      <alignment horizontal="center" vertical="center" wrapText="1"/>
    </xf>
    <xf numFmtId="168" fontId="2" fillId="0" borderId="1" xfId="1" applyNumberFormat="1" applyFont="1" applyBorder="1" applyAlignment="1">
      <alignment horizontal="right" vertical="center"/>
    </xf>
    <xf numFmtId="49" fontId="2" fillId="0" borderId="1" xfId="1" applyNumberFormat="1" applyFont="1" applyBorder="1" applyAlignment="1">
      <alignment horizontal="center" vertical="center"/>
    </xf>
    <xf numFmtId="0" fontId="2" fillId="0" borderId="1" xfId="0" applyFont="1" applyBorder="1" applyAlignment="1">
      <alignment horizontal="left" vertical="center" wrapText="1"/>
    </xf>
    <xf numFmtId="169" fontId="2" fillId="0" borderId="1" xfId="0" applyNumberFormat="1" applyFont="1" applyBorder="1" applyAlignment="1">
      <alignment horizontal="center" vertical="center"/>
    </xf>
    <xf numFmtId="0" fontId="0" fillId="0" borderId="1" xfId="0" applyBorder="1" applyAlignment="1">
      <alignment horizontal="center" vertical="center"/>
    </xf>
    <xf numFmtId="14" fontId="0" fillId="0" borderId="0" xfId="0" applyNumberFormat="1"/>
    <xf numFmtId="1" fontId="2" fillId="0" borderId="1" xfId="0" applyNumberFormat="1" applyFont="1" applyBorder="1" applyAlignment="1">
      <alignment horizontal="right" vertical="center"/>
    </xf>
    <xf numFmtId="43" fontId="2" fillId="0" borderId="1" xfId="1" applyNumberFormat="1" applyFont="1" applyBorder="1" applyAlignment="1">
      <alignment horizontal="right" vertical="center"/>
    </xf>
    <xf numFmtId="166" fontId="2" fillId="0" borderId="1" xfId="1" applyNumberFormat="1" applyFont="1" applyBorder="1" applyAlignment="1">
      <alignment horizontal="right" vertical="center"/>
    </xf>
    <xf numFmtId="0" fontId="5" fillId="0" borderId="0" xfId="0" applyFont="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164" fontId="2" fillId="7" borderId="1" xfId="0" applyNumberFormat="1" applyFont="1" applyFill="1" applyBorder="1" applyAlignment="1">
      <alignment horizontal="center" vertical="center"/>
    </xf>
    <xf numFmtId="0" fontId="2" fillId="7" borderId="1" xfId="0" applyFont="1" applyFill="1" applyBorder="1" applyAlignment="1">
      <alignment horizontal="left" vertical="center" wrapText="1"/>
    </xf>
    <xf numFmtId="169" fontId="2" fillId="7" borderId="1" xfId="0" applyNumberFormat="1" applyFont="1" applyFill="1" applyBorder="1" applyAlignment="1">
      <alignment horizontal="center" vertical="center"/>
    </xf>
    <xf numFmtId="0" fontId="0" fillId="7" borderId="0" xfId="0" applyFill="1" applyAlignment="1">
      <alignment vertical="center" wrapText="1"/>
    </xf>
    <xf numFmtId="0" fontId="5" fillId="0" borderId="0" xfId="0" applyFont="1" applyFill="1" applyAlignment="1">
      <alignment vertical="center" wrapText="1"/>
    </xf>
    <xf numFmtId="2" fontId="0" fillId="0" borderId="0" xfId="0" applyNumberFormat="1" applyAlignment="1">
      <alignment vertical="center" wrapText="1"/>
    </xf>
    <xf numFmtId="2" fontId="0" fillId="0" borderId="0" xfId="0" applyNumberFormat="1"/>
  </cellXfs>
  <cellStyles count="4">
    <cellStyle name="Milliers" xfId="1" builtinId="3"/>
    <cellStyle name="Milliers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4"/>
  <sheetViews>
    <sheetView workbookViewId="0">
      <selection activeCell="G10" sqref="G10"/>
    </sheetView>
  </sheetViews>
  <sheetFormatPr baseColWidth="10" defaultRowHeight="16.5" x14ac:dyDescent="0.3"/>
  <cols>
    <col min="1" max="1" width="5.7109375" customWidth="1"/>
    <col min="2" max="4" width="25.7109375" customWidth="1"/>
    <col min="6" max="6" width="17.42578125" bestFit="1" customWidth="1"/>
  </cols>
  <sheetData>
    <row r="1" spans="1:7" ht="24.95" customHeight="1" x14ac:dyDescent="0.3">
      <c r="A1" s="9" t="s">
        <v>0</v>
      </c>
      <c r="B1" s="9" t="s">
        <v>203</v>
      </c>
      <c r="C1" s="9" t="s">
        <v>206</v>
      </c>
      <c r="D1" s="9" t="s">
        <v>214</v>
      </c>
    </row>
    <row r="2" spans="1:7" ht="24.95" customHeight="1" x14ac:dyDescent="0.3">
      <c r="A2" s="9" t="s">
        <v>204</v>
      </c>
      <c r="B2" s="9" t="s">
        <v>205</v>
      </c>
      <c r="C2" s="9" t="s">
        <v>207</v>
      </c>
      <c r="D2" s="9" t="s">
        <v>208</v>
      </c>
      <c r="F2" t="s">
        <v>241</v>
      </c>
      <c r="G2" t="str">
        <f>CONCATENATE(F2,A2,";",B2,";",C2,";",D2,") values")</f>
        <v>Insert into T_20_01 (F_00;F_01;F_02;F_03) values</v>
      </c>
    </row>
    <row r="3" spans="1:7" ht="24.95" customHeight="1" x14ac:dyDescent="0.3">
      <c r="A3" s="17">
        <v>1</v>
      </c>
      <c r="B3" s="2" t="s">
        <v>3</v>
      </c>
      <c r="C3" s="2" t="s">
        <v>21</v>
      </c>
      <c r="D3" s="3" t="s">
        <v>986</v>
      </c>
      <c r="G3" s="42" t="str">
        <f>CONCATENATE("(",A3,",'",B3,"','",C3,"','",D3,"'),")</f>
        <v>(1,'Nord','N','Zone nord du pays'),</v>
      </c>
    </row>
    <row r="4" spans="1:7" ht="24.95" customHeight="1" x14ac:dyDescent="0.3">
      <c r="A4" s="17">
        <v>2</v>
      </c>
      <c r="B4" s="2" t="s">
        <v>4</v>
      </c>
      <c r="C4" s="2" t="s">
        <v>985</v>
      </c>
      <c r="D4" s="3" t="s">
        <v>987</v>
      </c>
      <c r="G4" s="42" t="str">
        <f>CONCATENATE("(",A4,",'",B4,"','",C4,"','",D4,"'),")</f>
        <v>(2,'Sud','S','Zone sude du pays'),</v>
      </c>
    </row>
  </sheetData>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1"/>
  <sheetViews>
    <sheetView workbookViewId="0">
      <selection activeCell="F4" sqref="F4"/>
    </sheetView>
  </sheetViews>
  <sheetFormatPr baseColWidth="10" defaultRowHeight="16.5" x14ac:dyDescent="0.3"/>
  <cols>
    <col min="1" max="1" width="5.7109375" customWidth="1"/>
    <col min="2" max="2" width="50.7109375" customWidth="1"/>
    <col min="3" max="5" width="10.7109375" customWidth="1"/>
    <col min="7" max="7" width="17.42578125" bestFit="1" customWidth="1"/>
    <col min="8" max="8" width="32.5703125" bestFit="1" customWidth="1"/>
  </cols>
  <sheetData>
    <row r="1" spans="1:8" ht="24.95" customHeight="1" x14ac:dyDescent="0.3">
      <c r="A1" s="9" t="s">
        <v>0</v>
      </c>
      <c r="B1" s="9" t="s">
        <v>2</v>
      </c>
      <c r="C1" s="9" t="s">
        <v>206</v>
      </c>
      <c r="D1" s="9" t="s">
        <v>991</v>
      </c>
      <c r="E1" s="9" t="s">
        <v>69</v>
      </c>
    </row>
    <row r="2" spans="1:8" ht="24.95" customHeight="1" x14ac:dyDescent="0.3">
      <c r="A2" s="9" t="s">
        <v>204</v>
      </c>
      <c r="B2" s="9" t="s">
        <v>205</v>
      </c>
      <c r="C2" s="9" t="s">
        <v>207</v>
      </c>
      <c r="D2" s="9" t="s">
        <v>208</v>
      </c>
      <c r="E2" s="9" t="s">
        <v>213</v>
      </c>
      <c r="G2" t="s">
        <v>242</v>
      </c>
      <c r="H2" t="str">
        <f>CONCATENATE(G2,A2,",",B2,",",C2,",",E2,") values")</f>
        <v>Insert into T_20_02 (F_00,F_01,F_02,F_04) values</v>
      </c>
    </row>
    <row r="3" spans="1:8" ht="24.95" customHeight="1" x14ac:dyDescent="0.3">
      <c r="A3" s="1">
        <v>1</v>
      </c>
      <c r="B3" s="3" t="s">
        <v>996</v>
      </c>
      <c r="C3" s="2" t="s">
        <v>995</v>
      </c>
      <c r="D3" s="2" t="s">
        <v>86</v>
      </c>
      <c r="E3" s="2">
        <v>1</v>
      </c>
      <c r="H3" t="str">
        <f>CONCATENATE("(",A3,",'",B3,"','",C3,"','",D3,"',",E3,"),")</f>
        <v>(1,'Siége Centrale de l'Activité','TRC','Alger',1),</v>
      </c>
    </row>
    <row r="4" spans="1:8" ht="24.95" customHeight="1" x14ac:dyDescent="0.3">
      <c r="A4" s="1">
        <v>2</v>
      </c>
      <c r="B4" s="3" t="s">
        <v>14</v>
      </c>
      <c r="C4" s="2" t="s">
        <v>5</v>
      </c>
      <c r="D4" s="2" t="s">
        <v>992</v>
      </c>
      <c r="E4" s="2">
        <v>1</v>
      </c>
      <c r="H4" t="str">
        <f t="shared" ref="H4:H11" si="0">CONCATENATE("(",A4,",'",B4,"','",C4,"','",D4,"',",E4,"),")</f>
        <v>(2,'Region de Transport Ouest','RTO','Oran',1),</v>
      </c>
    </row>
    <row r="5" spans="1:8" ht="24.95" customHeight="1" x14ac:dyDescent="0.3">
      <c r="A5" s="1">
        <v>3</v>
      </c>
      <c r="B5" s="3" t="s">
        <v>993</v>
      </c>
      <c r="C5" s="2" t="s">
        <v>6</v>
      </c>
      <c r="D5" s="2" t="s">
        <v>997</v>
      </c>
      <c r="E5" s="2">
        <v>1</v>
      </c>
      <c r="H5" t="str">
        <f t="shared" si="0"/>
        <v>(3,'Region de Transport Centre','RTC','Bejaia',1),</v>
      </c>
    </row>
    <row r="6" spans="1:8" ht="24.95" customHeight="1" x14ac:dyDescent="0.3">
      <c r="A6" s="1">
        <v>4</v>
      </c>
      <c r="B6" s="3" t="s">
        <v>994</v>
      </c>
      <c r="C6" s="2" t="s">
        <v>7</v>
      </c>
      <c r="D6" s="2" t="s">
        <v>84</v>
      </c>
      <c r="E6" s="2">
        <v>1</v>
      </c>
      <c r="H6" t="str">
        <f t="shared" si="0"/>
        <v>(4,'Region de Transport Est','RTE','Skikda',1),</v>
      </c>
    </row>
    <row r="7" spans="1:8" ht="24.95" customHeight="1" x14ac:dyDescent="0.3">
      <c r="A7" s="1">
        <v>5</v>
      </c>
      <c r="B7" s="3" t="s">
        <v>15</v>
      </c>
      <c r="C7" s="2" t="s">
        <v>8</v>
      </c>
      <c r="D7" s="2" t="s">
        <v>998</v>
      </c>
      <c r="E7" s="2">
        <v>1</v>
      </c>
      <c r="H7" t="str">
        <f t="shared" si="0"/>
        <v>(5,'Pedro Duran Farel','GPDF','Tlemcen',1),</v>
      </c>
    </row>
    <row r="8" spans="1:8" ht="24.95" customHeight="1" x14ac:dyDescent="0.3">
      <c r="A8" s="1">
        <v>6</v>
      </c>
      <c r="B8" s="3" t="s">
        <v>16</v>
      </c>
      <c r="C8" s="2" t="s">
        <v>9</v>
      </c>
      <c r="D8" s="2" t="s">
        <v>999</v>
      </c>
      <c r="E8" s="2">
        <v>1</v>
      </c>
      <c r="H8" t="str">
        <f t="shared" si="0"/>
        <v>(6,'Enrico Mattei','GEM','Tebessa',1),</v>
      </c>
    </row>
    <row r="9" spans="1:8" ht="24.95" customHeight="1" x14ac:dyDescent="0.3">
      <c r="A9" s="1">
        <v>7</v>
      </c>
      <c r="B9" s="3" t="s">
        <v>988</v>
      </c>
      <c r="C9" s="2" t="s">
        <v>989</v>
      </c>
      <c r="D9" s="2" t="s">
        <v>1000</v>
      </c>
      <c r="E9" s="2">
        <v>2</v>
      </c>
      <c r="H9" t="str">
        <f t="shared" si="0"/>
        <v>(7,'Region Haoud El Hamra','HEH','Ouargla',2),</v>
      </c>
    </row>
    <row r="10" spans="1:8" ht="24.95" customHeight="1" x14ac:dyDescent="0.3">
      <c r="A10" s="1">
        <v>8</v>
      </c>
      <c r="B10" s="3" t="s">
        <v>202</v>
      </c>
      <c r="C10" s="2" t="s">
        <v>201</v>
      </c>
      <c r="D10" s="2" t="s">
        <v>1001</v>
      </c>
      <c r="E10" s="2">
        <v>2</v>
      </c>
      <c r="H10" t="str">
        <f t="shared" si="0"/>
        <v>(8,'Region Hassi R'Mel','HRM','Laghouat',2),</v>
      </c>
    </row>
    <row r="11" spans="1:8" ht="24.95" customHeight="1" x14ac:dyDescent="0.3">
      <c r="A11" s="1">
        <v>9</v>
      </c>
      <c r="B11" s="3" t="s">
        <v>990</v>
      </c>
      <c r="C11" s="2" t="s">
        <v>12</v>
      </c>
      <c r="D11" s="2" t="s">
        <v>1002</v>
      </c>
      <c r="E11" s="2">
        <v>2</v>
      </c>
      <c r="H11" t="str">
        <f t="shared" si="0"/>
        <v>(9,'Region de Transport Illizi','RTI','Illizi',2),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272"/>
  <sheetViews>
    <sheetView topLeftCell="A34" workbookViewId="0">
      <selection activeCell="G1" sqref="G1"/>
    </sheetView>
  </sheetViews>
  <sheetFormatPr baseColWidth="10" defaultRowHeight="16.5" x14ac:dyDescent="0.3"/>
  <cols>
    <col min="1" max="1" width="5.7109375" customWidth="1"/>
    <col min="2" max="2" width="50.7109375" customWidth="1"/>
    <col min="3" max="3" width="16.140625" bestFit="1" customWidth="1"/>
    <col min="4" max="7" width="10.7109375" customWidth="1"/>
    <col min="9" max="9" width="17.42578125" bestFit="1" customWidth="1"/>
  </cols>
  <sheetData>
    <row r="1" spans="1:10" ht="24.95" customHeight="1" x14ac:dyDescent="0.3">
      <c r="A1" s="9" t="s">
        <v>0</v>
      </c>
      <c r="B1" s="9" t="s">
        <v>203</v>
      </c>
      <c r="C1" s="9" t="s">
        <v>206</v>
      </c>
      <c r="D1" s="9" t="s">
        <v>212</v>
      </c>
      <c r="E1" s="9" t="s">
        <v>211</v>
      </c>
      <c r="F1" s="9" t="s">
        <v>1003</v>
      </c>
      <c r="G1" s="15" t="s">
        <v>209</v>
      </c>
    </row>
    <row r="2" spans="1:10" ht="24.95" customHeight="1" x14ac:dyDescent="0.3">
      <c r="A2" s="9" t="s">
        <v>204</v>
      </c>
      <c r="B2" s="9" t="s">
        <v>205</v>
      </c>
      <c r="C2" s="9" t="s">
        <v>207</v>
      </c>
      <c r="D2" s="9" t="s">
        <v>208</v>
      </c>
      <c r="E2" s="9" t="s">
        <v>213</v>
      </c>
      <c r="F2" s="9" t="s">
        <v>210</v>
      </c>
      <c r="G2" s="9" t="s">
        <v>230</v>
      </c>
      <c r="I2" t="s">
        <v>352</v>
      </c>
      <c r="J2" t="str">
        <f>CONCATENATE(I2,A2,",",B2,",",C2,",",D2,",",E2,",",F2,",",G2,") values")</f>
        <v>Insert into T_20_03 (F_00,F_01,F_02,F_03,F_04,F_05,F_10) values</v>
      </c>
    </row>
    <row r="3" spans="1:10" ht="24.95" customHeight="1" x14ac:dyDescent="0.3">
      <c r="A3" s="1">
        <v>1</v>
      </c>
      <c r="B3" s="3"/>
      <c r="C3" s="2"/>
      <c r="D3" s="2">
        <v>0</v>
      </c>
      <c r="E3" s="2">
        <v>0</v>
      </c>
      <c r="F3" s="2"/>
      <c r="G3" s="2">
        <v>1</v>
      </c>
      <c r="J3" t="str">
        <f>CONCATENATE("(",A3,",'",B3,"','",C3,"',",D3,",",E3,",",G3,",",G3,"),")</f>
        <v>(1,'','',0,0,1,1),</v>
      </c>
    </row>
    <row r="4" spans="1:10" ht="24.95" customHeight="1" x14ac:dyDescent="0.3">
      <c r="A4" s="1">
        <v>2</v>
      </c>
      <c r="B4" s="3"/>
      <c r="C4" s="2"/>
      <c r="D4" s="2">
        <v>0</v>
      </c>
      <c r="E4" s="2">
        <v>0</v>
      </c>
      <c r="F4" s="2"/>
      <c r="G4" s="2">
        <v>9</v>
      </c>
      <c r="J4" t="str">
        <f t="shared" ref="J4:J165" si="0">CONCATENATE("(",A4,",'",B4,"','",C4,"',",D4,",",E4,",",G4,",",G4,"),")</f>
        <v>(2,'','',0,0,9,9),</v>
      </c>
    </row>
    <row r="5" spans="1:10" ht="24.95" customHeight="1" x14ac:dyDescent="0.3">
      <c r="A5" s="1">
        <v>3</v>
      </c>
      <c r="B5" s="3"/>
      <c r="C5" s="2"/>
      <c r="D5" s="2">
        <v>0</v>
      </c>
      <c r="E5" s="2">
        <v>0</v>
      </c>
      <c r="F5" s="2"/>
      <c r="G5" s="2">
        <v>2</v>
      </c>
      <c r="J5" t="str">
        <f t="shared" si="0"/>
        <v>(3,'','',0,0,2,2),</v>
      </c>
    </row>
    <row r="6" spans="1:10" ht="24.95" customHeight="1" x14ac:dyDescent="0.3">
      <c r="A6" s="1">
        <v>4</v>
      </c>
      <c r="B6" s="3"/>
      <c r="C6" s="2"/>
      <c r="D6" s="2">
        <v>0</v>
      </c>
      <c r="E6" s="2">
        <v>0</v>
      </c>
      <c r="F6" s="2"/>
      <c r="G6" s="2">
        <v>3</v>
      </c>
      <c r="J6" t="str">
        <f t="shared" si="0"/>
        <v>(4,'','',0,0,3,3),</v>
      </c>
    </row>
    <row r="7" spans="1:10" ht="24.95" customHeight="1" x14ac:dyDescent="0.3">
      <c r="A7" s="1">
        <v>5</v>
      </c>
      <c r="B7" s="3"/>
      <c r="C7" s="2"/>
      <c r="D7" s="2">
        <v>0</v>
      </c>
      <c r="E7" s="2">
        <v>0</v>
      </c>
      <c r="F7" s="2"/>
      <c r="G7" s="2">
        <v>4</v>
      </c>
      <c r="J7" t="str">
        <f t="shared" si="0"/>
        <v>(5,'','',0,0,4,4),</v>
      </c>
    </row>
    <row r="8" spans="1:10" ht="24.95" customHeight="1" x14ac:dyDescent="0.3">
      <c r="A8" s="1">
        <v>6</v>
      </c>
      <c r="B8" s="3"/>
      <c r="C8" s="2"/>
      <c r="D8" s="2">
        <v>0</v>
      </c>
      <c r="E8" s="2">
        <v>0</v>
      </c>
      <c r="F8" s="2"/>
      <c r="G8" s="2">
        <v>3</v>
      </c>
      <c r="J8" t="str">
        <f t="shared" si="0"/>
        <v>(6,'','',0,0,3,3),</v>
      </c>
    </row>
    <row r="9" spans="1:10" ht="24.95" customHeight="1" x14ac:dyDescent="0.3">
      <c r="A9" s="1">
        <v>7</v>
      </c>
      <c r="B9" s="3"/>
      <c r="C9" s="2"/>
      <c r="D9" s="2">
        <v>0</v>
      </c>
      <c r="E9" s="2">
        <v>0</v>
      </c>
      <c r="F9" s="2"/>
      <c r="G9" s="2">
        <v>2</v>
      </c>
      <c r="J9" t="str">
        <f t="shared" si="0"/>
        <v>(7,'','',0,0,2,2),</v>
      </c>
    </row>
    <row r="10" spans="1:10" ht="24.95" customHeight="1" x14ac:dyDescent="0.3">
      <c r="A10" s="1">
        <v>8</v>
      </c>
      <c r="B10" s="3"/>
      <c r="C10" s="2"/>
      <c r="D10" s="2">
        <v>0</v>
      </c>
      <c r="E10" s="2">
        <v>0</v>
      </c>
      <c r="F10" s="2"/>
      <c r="G10" s="2">
        <v>2</v>
      </c>
      <c r="J10" t="str">
        <f t="shared" si="0"/>
        <v>(8,'','',0,0,2,2),</v>
      </c>
    </row>
    <row r="11" spans="1:10" ht="24.95" customHeight="1" x14ac:dyDescent="0.3">
      <c r="A11" s="1">
        <v>9</v>
      </c>
      <c r="B11" s="3"/>
      <c r="C11" s="2"/>
      <c r="D11" s="2">
        <v>0</v>
      </c>
      <c r="E11" s="2">
        <v>0</v>
      </c>
      <c r="F11" s="2"/>
      <c r="G11" s="2">
        <v>7</v>
      </c>
      <c r="J11" t="str">
        <f t="shared" si="0"/>
        <v>(9,'','',0,0,7,7),</v>
      </c>
    </row>
    <row r="12" spans="1:10" ht="24.95" customHeight="1" x14ac:dyDescent="0.3">
      <c r="A12" s="1">
        <v>10</v>
      </c>
      <c r="B12" s="3"/>
      <c r="C12" s="2"/>
      <c r="D12" s="2">
        <v>0</v>
      </c>
      <c r="E12" s="2">
        <v>0</v>
      </c>
      <c r="F12" s="2"/>
      <c r="G12" s="2">
        <v>4</v>
      </c>
      <c r="J12" t="str">
        <f t="shared" si="0"/>
        <v>(10,'','',0,0,4,4),</v>
      </c>
    </row>
    <row r="13" spans="1:10" ht="24.95" customHeight="1" x14ac:dyDescent="0.3">
      <c r="A13" s="1">
        <v>11</v>
      </c>
      <c r="B13" s="3"/>
      <c r="C13" s="2"/>
      <c r="D13" s="2">
        <v>0</v>
      </c>
      <c r="E13" s="2">
        <v>0</v>
      </c>
      <c r="F13" s="2"/>
      <c r="G13" s="2">
        <v>4</v>
      </c>
      <c r="J13" t="str">
        <f t="shared" si="0"/>
        <v>(11,'','',0,0,4,4),</v>
      </c>
    </row>
    <row r="14" spans="1:10" ht="24.95" customHeight="1" x14ac:dyDescent="0.3">
      <c r="A14" s="1">
        <v>12</v>
      </c>
      <c r="B14" s="3"/>
      <c r="C14" s="2"/>
      <c r="D14" s="2">
        <v>0</v>
      </c>
      <c r="E14" s="2">
        <v>0</v>
      </c>
      <c r="F14" s="2"/>
      <c r="G14" s="2">
        <v>7</v>
      </c>
      <c r="J14" t="str">
        <f t="shared" si="0"/>
        <v>(12,'','',0,0,7,7),</v>
      </c>
    </row>
    <row r="15" spans="1:10" ht="24.95" customHeight="1" x14ac:dyDescent="0.3">
      <c r="A15" s="1">
        <v>13</v>
      </c>
      <c r="B15" s="3"/>
      <c r="C15" s="2"/>
      <c r="D15" s="2">
        <v>0</v>
      </c>
      <c r="E15" s="2">
        <v>0</v>
      </c>
      <c r="F15" s="2"/>
      <c r="G15" s="2">
        <v>7</v>
      </c>
      <c r="J15" t="str">
        <f t="shared" si="0"/>
        <v>(13,'','',0,0,7,7),</v>
      </c>
    </row>
    <row r="16" spans="1:10" ht="24.95" customHeight="1" x14ac:dyDescent="0.3">
      <c r="A16" s="1">
        <v>14</v>
      </c>
      <c r="B16" s="3"/>
      <c r="C16" s="2"/>
      <c r="D16" s="2">
        <v>0</v>
      </c>
      <c r="E16" s="2">
        <v>0</v>
      </c>
      <c r="F16" s="2"/>
      <c r="G16" s="2">
        <v>7</v>
      </c>
      <c r="J16" t="str">
        <f t="shared" si="0"/>
        <v>(14,'','',0,0,7,7),</v>
      </c>
    </row>
    <row r="17" spans="1:10" ht="24.95" customHeight="1" x14ac:dyDescent="0.3">
      <c r="A17" s="1">
        <v>15</v>
      </c>
      <c r="B17" s="3"/>
      <c r="C17" s="2"/>
      <c r="D17" s="2">
        <v>0</v>
      </c>
      <c r="E17" s="2">
        <v>0</v>
      </c>
      <c r="F17" s="2"/>
      <c r="G17" s="2">
        <v>8</v>
      </c>
      <c r="J17" t="str">
        <f t="shared" si="0"/>
        <v>(15,'','',0,0,8,8),</v>
      </c>
    </row>
    <row r="18" spans="1:10" ht="24.95" customHeight="1" x14ac:dyDescent="0.3">
      <c r="A18" s="1">
        <v>16</v>
      </c>
      <c r="B18" s="3"/>
      <c r="C18" s="2"/>
      <c r="D18" s="2">
        <v>0</v>
      </c>
      <c r="E18" s="2">
        <v>0</v>
      </c>
      <c r="F18" s="2"/>
      <c r="G18" s="2">
        <v>9</v>
      </c>
      <c r="J18" t="str">
        <f t="shared" si="0"/>
        <v>(16,'','',0,0,9,9),</v>
      </c>
    </row>
    <row r="19" spans="1:10" ht="24.95" customHeight="1" x14ac:dyDescent="0.3">
      <c r="A19" s="1">
        <v>17</v>
      </c>
      <c r="B19" s="3"/>
      <c r="C19" s="2"/>
      <c r="D19" s="2">
        <v>0</v>
      </c>
      <c r="E19" s="2">
        <v>0</v>
      </c>
      <c r="F19" s="2"/>
      <c r="G19" s="2">
        <v>4</v>
      </c>
      <c r="J19" t="str">
        <f t="shared" si="0"/>
        <v>(17,'','',0,0,4,4),</v>
      </c>
    </row>
    <row r="20" spans="1:10" ht="24.95" customHeight="1" x14ac:dyDescent="0.3">
      <c r="A20" s="1">
        <v>18</v>
      </c>
      <c r="B20" s="3"/>
      <c r="C20" s="2"/>
      <c r="D20" s="2">
        <v>0</v>
      </c>
      <c r="E20" s="2">
        <v>0</v>
      </c>
      <c r="F20" s="2"/>
      <c r="G20" s="2">
        <v>4</v>
      </c>
      <c r="J20" t="str">
        <f t="shared" si="0"/>
        <v>(18,'','',0,0,4,4),</v>
      </c>
    </row>
    <row r="21" spans="1:10" ht="24.95" customHeight="1" x14ac:dyDescent="0.3">
      <c r="A21" s="1">
        <v>19</v>
      </c>
      <c r="B21" s="3"/>
      <c r="C21" s="2"/>
      <c r="D21" s="2">
        <v>0</v>
      </c>
      <c r="E21" s="2">
        <v>0</v>
      </c>
      <c r="F21" s="2"/>
      <c r="G21" s="2">
        <v>7</v>
      </c>
      <c r="J21" t="str">
        <f t="shared" si="0"/>
        <v>(19,'','',0,0,7,7),</v>
      </c>
    </row>
    <row r="22" spans="1:10" ht="24.95" customHeight="1" x14ac:dyDescent="0.3">
      <c r="A22" s="1">
        <v>20</v>
      </c>
      <c r="B22" s="3"/>
      <c r="C22" s="2"/>
      <c r="D22" s="2">
        <v>0</v>
      </c>
      <c r="E22" s="2">
        <v>0</v>
      </c>
      <c r="F22" s="2"/>
      <c r="G22" s="2">
        <v>7</v>
      </c>
      <c r="J22" t="str">
        <f t="shared" si="0"/>
        <v>(20,'','',0,0,7,7),</v>
      </c>
    </row>
    <row r="23" spans="1:10" ht="24.95" customHeight="1" x14ac:dyDescent="0.3">
      <c r="A23" s="1">
        <v>21</v>
      </c>
      <c r="B23" s="3"/>
      <c r="C23" s="2"/>
      <c r="D23" s="2">
        <v>0</v>
      </c>
      <c r="E23" s="2">
        <v>0</v>
      </c>
      <c r="F23" s="2"/>
      <c r="G23" s="2">
        <v>7</v>
      </c>
      <c r="J23" t="str">
        <f t="shared" si="0"/>
        <v>(21,'','',0,0,7,7),</v>
      </c>
    </row>
    <row r="24" spans="1:10" ht="24.95" customHeight="1" x14ac:dyDescent="0.3">
      <c r="A24" s="1">
        <v>22</v>
      </c>
      <c r="B24" s="3"/>
      <c r="C24" s="2"/>
      <c r="D24" s="2">
        <v>0</v>
      </c>
      <c r="E24" s="2">
        <v>0</v>
      </c>
      <c r="F24" s="2"/>
      <c r="G24" s="2">
        <v>2</v>
      </c>
      <c r="J24" t="str">
        <f t="shared" si="0"/>
        <v>(22,'','',0,0,2,2),</v>
      </c>
    </row>
    <row r="25" spans="1:10" ht="24.95" customHeight="1" x14ac:dyDescent="0.3">
      <c r="A25" s="1">
        <v>23</v>
      </c>
      <c r="B25" s="3"/>
      <c r="C25" s="2"/>
      <c r="D25" s="2">
        <v>0</v>
      </c>
      <c r="E25" s="2">
        <v>0</v>
      </c>
      <c r="F25" s="2"/>
      <c r="G25" s="2">
        <v>8</v>
      </c>
      <c r="J25" t="str">
        <f t="shared" si="0"/>
        <v>(23,'','',0,0,8,8),</v>
      </c>
    </row>
    <row r="26" spans="1:10" ht="24.95" customHeight="1" x14ac:dyDescent="0.3">
      <c r="A26" s="1">
        <v>24</v>
      </c>
      <c r="B26" s="3"/>
      <c r="C26" s="2"/>
      <c r="D26" s="2">
        <v>0</v>
      </c>
      <c r="E26" s="2">
        <v>0</v>
      </c>
      <c r="F26" s="2"/>
      <c r="G26" s="2">
        <v>8</v>
      </c>
      <c r="J26" t="str">
        <f t="shared" si="0"/>
        <v>(24,'','',0,0,8,8),</v>
      </c>
    </row>
    <row r="27" spans="1:10" ht="24.95" customHeight="1" x14ac:dyDescent="0.3">
      <c r="A27" s="1">
        <v>25</v>
      </c>
      <c r="B27" s="3"/>
      <c r="C27" s="2"/>
      <c r="D27" s="2">
        <v>0</v>
      </c>
      <c r="E27" s="2">
        <v>0</v>
      </c>
      <c r="F27" s="2"/>
      <c r="G27" s="2">
        <v>9</v>
      </c>
      <c r="J27" t="str">
        <f t="shared" si="0"/>
        <v>(25,'','',0,0,9,9),</v>
      </c>
    </row>
    <row r="28" spans="1:10" ht="24.95" customHeight="1" x14ac:dyDescent="0.3">
      <c r="A28" s="1">
        <v>26</v>
      </c>
      <c r="B28" s="3"/>
      <c r="C28" s="2"/>
      <c r="D28" s="2">
        <v>0</v>
      </c>
      <c r="E28" s="2">
        <v>0</v>
      </c>
      <c r="F28" s="2"/>
      <c r="G28" s="2">
        <v>7</v>
      </c>
      <c r="J28" t="str">
        <f t="shared" si="0"/>
        <v>(26,'','',0,0,7,7),</v>
      </c>
    </row>
    <row r="29" spans="1:10" ht="24.95" customHeight="1" x14ac:dyDescent="0.3">
      <c r="A29" s="1">
        <v>27</v>
      </c>
      <c r="B29" s="3"/>
      <c r="C29" s="2"/>
      <c r="D29" s="2">
        <v>0</v>
      </c>
      <c r="E29" s="2">
        <v>0</v>
      </c>
      <c r="F29" s="2"/>
      <c r="G29" s="2">
        <v>4</v>
      </c>
      <c r="J29" t="str">
        <f t="shared" si="0"/>
        <v>(27,'','',0,0,4,4),</v>
      </c>
    </row>
    <row r="30" spans="1:10" ht="24.95" customHeight="1" x14ac:dyDescent="0.3">
      <c r="A30" s="1">
        <v>28</v>
      </c>
      <c r="B30" s="3"/>
      <c r="C30" s="2"/>
      <c r="D30" s="2">
        <v>0</v>
      </c>
      <c r="E30" s="2">
        <v>0</v>
      </c>
      <c r="F30" s="2"/>
      <c r="G30" s="2">
        <v>4</v>
      </c>
    </row>
    <row r="31" spans="1:10" ht="24.95" customHeight="1" x14ac:dyDescent="0.3">
      <c r="A31" s="1"/>
      <c r="B31" s="3"/>
      <c r="C31" s="2"/>
      <c r="D31" s="2"/>
      <c r="E31" s="2"/>
      <c r="F31" s="2"/>
      <c r="G31" s="2"/>
    </row>
    <row r="32" spans="1:10" ht="24.95" customHeight="1" x14ac:dyDescent="0.3">
      <c r="A32" s="1"/>
      <c r="B32" s="3"/>
      <c r="C32" s="2"/>
      <c r="D32" s="2"/>
      <c r="E32" s="2"/>
      <c r="F32" s="2"/>
      <c r="G32" s="2"/>
    </row>
    <row r="33" spans="1:7" ht="24.95" customHeight="1" x14ac:dyDescent="0.3">
      <c r="A33" s="1"/>
      <c r="B33" s="3"/>
      <c r="C33" s="2"/>
      <c r="D33" s="2"/>
      <c r="E33" s="2"/>
      <c r="F33" s="2"/>
      <c r="G33" s="2"/>
    </row>
    <row r="34" spans="1:7" ht="24.95" customHeight="1" x14ac:dyDescent="0.3">
      <c r="A34" s="1"/>
      <c r="B34" s="3"/>
      <c r="C34" s="2"/>
      <c r="D34" s="2"/>
      <c r="E34" s="2"/>
      <c r="F34" s="2"/>
      <c r="G34" s="2"/>
    </row>
    <row r="35" spans="1:7" ht="24.95" customHeight="1" x14ac:dyDescent="0.3">
      <c r="A35" s="1"/>
      <c r="B35" s="3"/>
      <c r="C35" s="2"/>
      <c r="D35" s="2"/>
      <c r="E35" s="2"/>
      <c r="F35" s="2"/>
      <c r="G35" s="2"/>
    </row>
    <row r="36" spans="1:7" ht="24.95" customHeight="1" x14ac:dyDescent="0.3">
      <c r="A36" s="1"/>
      <c r="B36" s="3"/>
      <c r="C36" s="2"/>
      <c r="D36" s="2"/>
      <c r="E36" s="2"/>
      <c r="F36" s="2"/>
      <c r="G36" s="2"/>
    </row>
    <row r="37" spans="1:7" ht="24.95" customHeight="1" x14ac:dyDescent="0.3">
      <c r="A37" s="1"/>
      <c r="B37" s="3"/>
      <c r="C37" s="2"/>
      <c r="D37" s="2"/>
      <c r="E37" s="2"/>
      <c r="F37" s="2"/>
      <c r="G37" s="2"/>
    </row>
    <row r="38" spans="1:7" ht="24.95" customHeight="1" x14ac:dyDescent="0.3">
      <c r="A38" s="1"/>
      <c r="B38" s="3"/>
      <c r="C38" s="2"/>
      <c r="D38" s="2"/>
      <c r="E38" s="2"/>
      <c r="F38" s="2"/>
      <c r="G38" s="2"/>
    </row>
    <row r="39" spans="1:7" ht="24.95" customHeight="1" x14ac:dyDescent="0.3">
      <c r="A39" s="1"/>
      <c r="B39" s="3"/>
      <c r="C39" s="2"/>
      <c r="D39" s="2"/>
      <c r="E39" s="2"/>
      <c r="F39" s="2"/>
      <c r="G39" s="2"/>
    </row>
    <row r="40" spans="1:7" ht="24.95" customHeight="1" x14ac:dyDescent="0.3">
      <c r="A40" s="1"/>
      <c r="B40" s="3"/>
      <c r="C40" s="2"/>
      <c r="D40" s="2"/>
      <c r="E40" s="2"/>
      <c r="F40" s="2"/>
      <c r="G40" s="2"/>
    </row>
    <row r="41" spans="1:7" ht="24.95" customHeight="1" x14ac:dyDescent="0.3">
      <c r="A41" s="1"/>
      <c r="B41" s="3"/>
      <c r="C41" s="2"/>
      <c r="D41" s="2"/>
      <c r="E41" s="2"/>
      <c r="F41" s="2"/>
      <c r="G41" s="2"/>
    </row>
    <row r="42" spans="1:7" ht="24.95" customHeight="1" x14ac:dyDescent="0.3">
      <c r="A42" s="1"/>
      <c r="B42" s="3"/>
      <c r="C42" s="2"/>
      <c r="D42" s="2"/>
      <c r="E42" s="2"/>
      <c r="F42" s="2"/>
      <c r="G42" s="2"/>
    </row>
    <row r="43" spans="1:7" ht="24.95" customHeight="1" x14ac:dyDescent="0.3">
      <c r="A43" s="1"/>
      <c r="B43" s="3"/>
      <c r="C43" s="2"/>
      <c r="D43" s="2"/>
      <c r="E43" s="2"/>
      <c r="F43" s="2"/>
      <c r="G43" s="2"/>
    </row>
    <row r="44" spans="1:7" ht="24.95" customHeight="1" x14ac:dyDescent="0.3">
      <c r="A44" s="1"/>
      <c r="B44" s="3"/>
      <c r="C44" s="2"/>
      <c r="D44" s="2"/>
      <c r="E44" s="2"/>
      <c r="F44" s="2"/>
      <c r="G44" s="2"/>
    </row>
    <row r="45" spans="1:7" ht="24.95" customHeight="1" x14ac:dyDescent="0.3">
      <c r="A45" s="1"/>
      <c r="B45" s="3"/>
      <c r="C45" s="2"/>
      <c r="D45" s="2"/>
      <c r="E45" s="2"/>
      <c r="F45" s="2"/>
      <c r="G45" s="2"/>
    </row>
    <row r="46" spans="1:7" ht="24.95" customHeight="1" x14ac:dyDescent="0.3">
      <c r="A46" s="1"/>
      <c r="B46" s="3"/>
      <c r="C46" s="2"/>
      <c r="D46" s="2"/>
      <c r="E46" s="2"/>
      <c r="F46" s="2"/>
      <c r="G46" s="2"/>
    </row>
    <row r="47" spans="1:7" ht="24.95" customHeight="1" x14ac:dyDescent="0.3">
      <c r="A47" s="1"/>
      <c r="B47" s="3"/>
      <c r="C47" s="2"/>
      <c r="D47" s="2"/>
      <c r="E47" s="2"/>
      <c r="F47" s="2"/>
      <c r="G47" s="2"/>
    </row>
    <row r="48" spans="1:7" ht="24.95" customHeight="1" x14ac:dyDescent="0.3">
      <c r="A48" s="1"/>
      <c r="B48" s="3"/>
      <c r="C48" s="2"/>
      <c r="D48" s="2"/>
      <c r="E48" s="2"/>
      <c r="F48" s="2"/>
      <c r="G48" s="2"/>
    </row>
    <row r="49" spans="1:7" ht="24.95" customHeight="1" x14ac:dyDescent="0.3">
      <c r="A49" s="1"/>
      <c r="B49" s="3"/>
      <c r="C49" s="2"/>
      <c r="D49" s="2"/>
      <c r="E49" s="2"/>
      <c r="F49" s="2"/>
      <c r="G49" s="2"/>
    </row>
    <row r="50" spans="1:7" ht="24.95" customHeight="1" x14ac:dyDescent="0.3">
      <c r="A50" s="1"/>
      <c r="B50" s="3"/>
      <c r="C50" s="2"/>
      <c r="D50" s="2"/>
      <c r="E50" s="2"/>
      <c r="F50" s="2"/>
      <c r="G50" s="2"/>
    </row>
    <row r="51" spans="1:7" ht="24.95" customHeight="1" x14ac:dyDescent="0.3">
      <c r="A51" s="1"/>
      <c r="B51" s="3"/>
      <c r="C51" s="2"/>
      <c r="D51" s="2"/>
      <c r="E51" s="2"/>
      <c r="F51" s="2"/>
      <c r="G51" s="2"/>
    </row>
    <row r="52" spans="1:7" ht="24.95" customHeight="1" x14ac:dyDescent="0.3">
      <c r="A52" s="1"/>
      <c r="B52" s="3"/>
      <c r="C52" s="2"/>
      <c r="D52" s="2"/>
      <c r="E52" s="2"/>
      <c r="F52" s="2"/>
      <c r="G52" s="2"/>
    </row>
    <row r="53" spans="1:7" ht="24.95" customHeight="1" x14ac:dyDescent="0.3">
      <c r="A53" s="1"/>
      <c r="B53" s="3"/>
      <c r="C53" s="2"/>
      <c r="D53" s="2"/>
      <c r="E53" s="2"/>
      <c r="F53" s="2"/>
      <c r="G53" s="2"/>
    </row>
    <row r="54" spans="1:7" ht="24.95" customHeight="1" x14ac:dyDescent="0.3">
      <c r="A54" s="1"/>
      <c r="B54" s="3"/>
      <c r="C54" s="2"/>
      <c r="D54" s="2"/>
      <c r="E54" s="2"/>
      <c r="F54" s="2"/>
      <c r="G54" s="2"/>
    </row>
    <row r="55" spans="1:7" ht="24.95" customHeight="1" x14ac:dyDescent="0.3">
      <c r="A55" s="1"/>
      <c r="B55" s="3"/>
      <c r="C55" s="2"/>
      <c r="D55" s="2"/>
      <c r="E55" s="2"/>
      <c r="F55" s="2"/>
      <c r="G55" s="2"/>
    </row>
    <row r="56" spans="1:7" ht="24.95" customHeight="1" x14ac:dyDescent="0.3">
      <c r="A56" s="1"/>
      <c r="B56" s="3"/>
      <c r="C56" s="2"/>
      <c r="D56" s="2"/>
      <c r="E56" s="2"/>
      <c r="F56" s="2"/>
      <c r="G56" s="2"/>
    </row>
    <row r="57" spans="1:7" ht="24.95" customHeight="1" x14ac:dyDescent="0.3">
      <c r="A57" s="1"/>
      <c r="B57" s="3"/>
      <c r="C57" s="2"/>
      <c r="D57" s="2"/>
      <c r="E57" s="2"/>
      <c r="F57" s="2"/>
      <c r="G57" s="2"/>
    </row>
    <row r="58" spans="1:7" ht="24.95" customHeight="1" x14ac:dyDescent="0.3">
      <c r="A58" s="1"/>
      <c r="B58" s="3"/>
      <c r="C58" s="2"/>
      <c r="D58" s="2"/>
      <c r="E58" s="2"/>
      <c r="F58" s="2"/>
      <c r="G58" s="2"/>
    </row>
    <row r="59" spans="1:7" ht="24.95" customHeight="1" x14ac:dyDescent="0.3">
      <c r="A59" s="1"/>
      <c r="B59" s="3"/>
      <c r="C59" s="2"/>
      <c r="D59" s="2"/>
      <c r="E59" s="2"/>
      <c r="F59" s="2"/>
      <c r="G59" s="2"/>
    </row>
    <row r="60" spans="1:7" ht="24.95" customHeight="1" x14ac:dyDescent="0.3">
      <c r="A60" s="1"/>
      <c r="B60" s="3"/>
      <c r="C60" s="2"/>
      <c r="D60" s="2"/>
      <c r="E60" s="2"/>
      <c r="F60" s="2"/>
      <c r="G60" s="2"/>
    </row>
    <row r="61" spans="1:7" ht="24.95" customHeight="1" x14ac:dyDescent="0.3">
      <c r="A61" s="1"/>
      <c r="B61" s="3"/>
      <c r="C61" s="2"/>
      <c r="D61" s="2"/>
      <c r="E61" s="2"/>
      <c r="F61" s="2"/>
      <c r="G61" s="2"/>
    </row>
    <row r="62" spans="1:7" ht="24.95" customHeight="1" x14ac:dyDescent="0.3">
      <c r="A62" s="1"/>
      <c r="B62" s="3"/>
      <c r="C62" s="2"/>
      <c r="D62" s="2"/>
      <c r="E62" s="2"/>
      <c r="F62" s="2"/>
      <c r="G62" s="2"/>
    </row>
    <row r="63" spans="1:7" ht="24.95" customHeight="1" x14ac:dyDescent="0.3">
      <c r="A63" s="1"/>
      <c r="B63" s="3"/>
      <c r="C63" s="2"/>
      <c r="D63" s="2"/>
      <c r="E63" s="2"/>
      <c r="F63" s="2"/>
      <c r="G63" s="2"/>
    </row>
    <row r="64" spans="1:7" ht="24.95" customHeight="1" x14ac:dyDescent="0.3">
      <c r="A64" s="1"/>
      <c r="B64" s="3"/>
      <c r="C64" s="2"/>
      <c r="D64" s="2"/>
      <c r="E64" s="2"/>
      <c r="F64" s="2"/>
      <c r="G64" s="2"/>
    </row>
    <row r="65" spans="1:7" ht="24.95" customHeight="1" x14ac:dyDescent="0.3">
      <c r="A65" s="1"/>
      <c r="B65" s="3"/>
      <c r="C65" s="2"/>
      <c r="D65" s="2"/>
      <c r="E65" s="2"/>
      <c r="F65" s="2"/>
      <c r="G65" s="2"/>
    </row>
    <row r="66" spans="1:7" ht="24.95" customHeight="1" x14ac:dyDescent="0.3">
      <c r="A66" s="1"/>
      <c r="B66" s="3"/>
      <c r="C66" s="2"/>
      <c r="D66" s="2"/>
      <c r="E66" s="2"/>
      <c r="F66" s="2"/>
      <c r="G66" s="2"/>
    </row>
    <row r="67" spans="1:7" ht="24.95" customHeight="1" x14ac:dyDescent="0.3">
      <c r="A67" s="1"/>
      <c r="B67" s="3"/>
      <c r="C67" s="2"/>
      <c r="D67" s="2"/>
      <c r="E67" s="2"/>
      <c r="F67" s="2"/>
      <c r="G67" s="2"/>
    </row>
    <row r="68" spans="1:7" ht="24.95" customHeight="1" x14ac:dyDescent="0.3">
      <c r="A68" s="1"/>
      <c r="B68" s="3"/>
      <c r="C68" s="2"/>
      <c r="D68" s="2"/>
      <c r="E68" s="2"/>
      <c r="F68" s="2"/>
      <c r="G68" s="2"/>
    </row>
    <row r="69" spans="1:7" ht="24.95" customHeight="1" x14ac:dyDescent="0.3">
      <c r="A69" s="1"/>
      <c r="B69" s="3"/>
      <c r="C69" s="2"/>
      <c r="D69" s="2"/>
      <c r="E69" s="2"/>
      <c r="F69" s="2"/>
      <c r="G69" s="2"/>
    </row>
    <row r="70" spans="1:7" ht="24.95" customHeight="1" x14ac:dyDescent="0.3">
      <c r="A70" s="1"/>
      <c r="B70" s="3"/>
      <c r="C70" s="2"/>
      <c r="D70" s="2"/>
      <c r="E70" s="2"/>
      <c r="F70" s="2"/>
      <c r="G70" s="2"/>
    </row>
    <row r="71" spans="1:7" ht="24.95" customHeight="1" x14ac:dyDescent="0.3">
      <c r="A71" s="1"/>
      <c r="B71" s="3"/>
      <c r="C71" s="2"/>
      <c r="D71" s="2"/>
      <c r="E71" s="2"/>
      <c r="F71" s="2"/>
      <c r="G71" s="2"/>
    </row>
    <row r="72" spans="1:7" ht="24.95" customHeight="1" x14ac:dyDescent="0.3">
      <c r="A72" s="1"/>
      <c r="B72" s="3"/>
      <c r="C72" s="2"/>
      <c r="D72" s="2"/>
      <c r="E72" s="2"/>
      <c r="F72" s="2"/>
      <c r="G72" s="2"/>
    </row>
    <row r="73" spans="1:7" ht="24.95" customHeight="1" x14ac:dyDescent="0.3">
      <c r="A73" s="1"/>
      <c r="B73" s="3"/>
      <c r="C73" s="2"/>
      <c r="D73" s="2"/>
      <c r="E73" s="2"/>
      <c r="F73" s="2"/>
      <c r="G73" s="2"/>
    </row>
    <row r="74" spans="1:7" ht="24.95" customHeight="1" x14ac:dyDescent="0.3">
      <c r="A74" s="1"/>
      <c r="B74" s="3"/>
      <c r="C74" s="2"/>
      <c r="D74" s="2"/>
      <c r="E74" s="2"/>
      <c r="F74" s="2"/>
      <c r="G74" s="2"/>
    </row>
    <row r="75" spans="1:7" ht="24.95" customHeight="1" x14ac:dyDescent="0.3">
      <c r="A75" s="1"/>
      <c r="B75" s="3"/>
      <c r="C75" s="2"/>
      <c r="D75" s="2"/>
      <c r="E75" s="2"/>
      <c r="F75" s="2"/>
      <c r="G75" s="2"/>
    </row>
    <row r="76" spans="1:7" ht="24.95" customHeight="1" x14ac:dyDescent="0.3">
      <c r="A76" s="1"/>
      <c r="B76" s="3"/>
      <c r="C76" s="2"/>
      <c r="D76" s="2"/>
      <c r="E76" s="2"/>
      <c r="F76" s="2"/>
      <c r="G76" s="2"/>
    </row>
    <row r="77" spans="1:7" ht="24.95" customHeight="1" x14ac:dyDescent="0.3">
      <c r="A77" s="1"/>
      <c r="B77" s="3"/>
      <c r="C77" s="2"/>
      <c r="D77" s="2"/>
      <c r="E77" s="2"/>
      <c r="F77" s="2"/>
      <c r="G77" s="2"/>
    </row>
    <row r="78" spans="1:7" ht="24.95" customHeight="1" x14ac:dyDescent="0.3">
      <c r="A78" s="1"/>
      <c r="B78" s="3"/>
      <c r="C78" s="2"/>
      <c r="D78" s="2"/>
      <c r="E78" s="2"/>
      <c r="F78" s="2"/>
      <c r="G78" s="2"/>
    </row>
    <row r="79" spans="1:7" ht="24.95" customHeight="1" x14ac:dyDescent="0.3">
      <c r="A79" s="1"/>
      <c r="B79" s="3"/>
      <c r="C79" s="2"/>
      <c r="D79" s="2"/>
      <c r="E79" s="2"/>
      <c r="F79" s="2"/>
      <c r="G79" s="2"/>
    </row>
    <row r="80" spans="1:7" ht="24.95" customHeight="1" x14ac:dyDescent="0.3">
      <c r="A80" s="1"/>
      <c r="B80" s="3"/>
      <c r="C80" s="2"/>
      <c r="D80" s="2"/>
      <c r="E80" s="2"/>
      <c r="F80" s="2"/>
      <c r="G80" s="2"/>
    </row>
    <row r="81" spans="1:7" ht="24.95" customHeight="1" x14ac:dyDescent="0.3">
      <c r="A81" s="1"/>
      <c r="B81" s="3"/>
      <c r="C81" s="2"/>
      <c r="D81" s="2"/>
      <c r="E81" s="2"/>
      <c r="F81" s="2"/>
      <c r="G81" s="2"/>
    </row>
    <row r="82" spans="1:7" ht="24.95" customHeight="1" x14ac:dyDescent="0.3">
      <c r="A82" s="1"/>
      <c r="B82" s="3"/>
      <c r="C82" s="2"/>
      <c r="D82" s="2"/>
      <c r="E82" s="2"/>
      <c r="F82" s="2"/>
      <c r="G82" s="2"/>
    </row>
    <row r="83" spans="1:7" ht="24.95" customHeight="1" x14ac:dyDescent="0.3">
      <c r="A83" s="1"/>
      <c r="B83" s="3"/>
      <c r="C83" s="2"/>
      <c r="D83" s="2"/>
      <c r="E83" s="2"/>
      <c r="F83" s="2"/>
      <c r="G83" s="2"/>
    </row>
    <row r="84" spans="1:7" ht="24.95" customHeight="1" x14ac:dyDescent="0.3">
      <c r="A84" s="1"/>
      <c r="B84" s="3"/>
      <c r="C84" s="2"/>
      <c r="D84" s="2"/>
      <c r="E84" s="2"/>
      <c r="F84" s="2"/>
      <c r="G84" s="2"/>
    </row>
    <row r="85" spans="1:7" ht="24.95" customHeight="1" x14ac:dyDescent="0.3">
      <c r="A85" s="1"/>
      <c r="B85" s="3"/>
      <c r="C85" s="2"/>
      <c r="D85" s="2"/>
      <c r="E85" s="2"/>
      <c r="F85" s="2"/>
      <c r="G85" s="2"/>
    </row>
    <row r="86" spans="1:7" ht="24.95" customHeight="1" x14ac:dyDescent="0.3">
      <c r="A86" s="1"/>
      <c r="B86" s="3"/>
      <c r="C86" s="2"/>
      <c r="D86" s="2"/>
      <c r="E86" s="2"/>
      <c r="F86" s="2"/>
      <c r="G86" s="2"/>
    </row>
    <row r="87" spans="1:7" ht="24.95" customHeight="1" x14ac:dyDescent="0.3">
      <c r="A87" s="1"/>
      <c r="B87" s="3"/>
      <c r="C87" s="2"/>
      <c r="D87" s="2"/>
      <c r="E87" s="2"/>
      <c r="F87" s="2"/>
      <c r="G87" s="2"/>
    </row>
    <row r="88" spans="1:7" ht="24.95" customHeight="1" x14ac:dyDescent="0.3">
      <c r="A88" s="1"/>
      <c r="B88" s="3"/>
      <c r="C88" s="2"/>
      <c r="D88" s="2"/>
      <c r="E88" s="2"/>
      <c r="F88" s="2"/>
      <c r="G88" s="2"/>
    </row>
    <row r="89" spans="1:7" ht="24.95" customHeight="1" x14ac:dyDescent="0.3">
      <c r="A89" s="1"/>
      <c r="B89" s="3"/>
      <c r="C89" s="2"/>
      <c r="D89" s="2"/>
      <c r="E89" s="2"/>
      <c r="F89" s="2"/>
      <c r="G89" s="2"/>
    </row>
    <row r="90" spans="1:7" ht="24.95" customHeight="1" x14ac:dyDescent="0.3">
      <c r="A90" s="1"/>
      <c r="B90" s="3"/>
      <c r="C90" s="2"/>
      <c r="D90" s="2"/>
      <c r="E90" s="2"/>
      <c r="F90" s="2"/>
      <c r="G90" s="2"/>
    </row>
    <row r="91" spans="1:7" ht="24.95" customHeight="1" x14ac:dyDescent="0.3">
      <c r="A91" s="1"/>
      <c r="B91" s="3"/>
      <c r="C91" s="2"/>
      <c r="D91" s="2"/>
      <c r="E91" s="2"/>
      <c r="F91" s="2"/>
      <c r="G91" s="2"/>
    </row>
    <row r="92" spans="1:7" ht="24.95" customHeight="1" x14ac:dyDescent="0.3">
      <c r="A92" s="1"/>
      <c r="B92" s="3"/>
      <c r="C92" s="2"/>
      <c r="D92" s="2"/>
      <c r="E92" s="2"/>
      <c r="F92" s="2"/>
      <c r="G92" s="2"/>
    </row>
    <row r="93" spans="1:7" ht="24.95" customHeight="1" x14ac:dyDescent="0.3">
      <c r="A93" s="1"/>
      <c r="B93" s="3"/>
      <c r="C93" s="2"/>
      <c r="D93" s="2"/>
      <c r="E93" s="2"/>
      <c r="F93" s="2"/>
      <c r="G93" s="2"/>
    </row>
    <row r="94" spans="1:7" ht="24.95" customHeight="1" x14ac:dyDescent="0.3">
      <c r="A94" s="1"/>
      <c r="B94" s="3"/>
      <c r="C94" s="2"/>
      <c r="D94" s="2"/>
      <c r="E94" s="2"/>
      <c r="F94" s="2"/>
      <c r="G94" s="2"/>
    </row>
    <row r="95" spans="1:7" ht="24.95" customHeight="1" x14ac:dyDescent="0.3">
      <c r="A95" s="1"/>
      <c r="B95" s="3"/>
      <c r="C95" s="2"/>
      <c r="D95" s="2"/>
      <c r="E95" s="2"/>
      <c r="F95" s="2"/>
      <c r="G95" s="2"/>
    </row>
    <row r="96" spans="1:7" ht="24.95" customHeight="1" x14ac:dyDescent="0.3">
      <c r="A96" s="1"/>
      <c r="B96" s="3"/>
      <c r="C96" s="2"/>
      <c r="D96" s="2"/>
      <c r="E96" s="2"/>
      <c r="F96" s="2"/>
      <c r="G96" s="2"/>
    </row>
    <row r="97" spans="1:7" ht="24.95" customHeight="1" x14ac:dyDescent="0.3">
      <c r="A97" s="1"/>
      <c r="B97" s="3"/>
      <c r="C97" s="2"/>
      <c r="D97" s="2"/>
      <c r="E97" s="2"/>
      <c r="F97" s="2"/>
      <c r="G97" s="2"/>
    </row>
    <row r="98" spans="1:7" ht="24.95" customHeight="1" x14ac:dyDescent="0.3">
      <c r="A98" s="1"/>
      <c r="B98" s="3"/>
      <c r="C98" s="2"/>
      <c r="D98" s="2"/>
      <c r="E98" s="2"/>
      <c r="F98" s="2"/>
      <c r="G98" s="2"/>
    </row>
    <row r="99" spans="1:7" ht="24.95" customHeight="1" x14ac:dyDescent="0.3">
      <c r="A99" s="1"/>
      <c r="B99" s="3"/>
      <c r="C99" s="2"/>
      <c r="D99" s="2"/>
      <c r="E99" s="2"/>
      <c r="F99" s="2"/>
      <c r="G99" s="2"/>
    </row>
    <row r="100" spans="1:7" ht="24.95" customHeight="1" x14ac:dyDescent="0.3">
      <c r="A100" s="1"/>
      <c r="B100" s="3"/>
      <c r="C100" s="2"/>
      <c r="D100" s="2"/>
      <c r="E100" s="2"/>
      <c r="F100" s="2"/>
      <c r="G100" s="2"/>
    </row>
    <row r="101" spans="1:7" ht="24.95" customHeight="1" x14ac:dyDescent="0.3">
      <c r="A101" s="1"/>
      <c r="B101" s="3"/>
      <c r="C101" s="2"/>
      <c r="D101" s="2"/>
      <c r="E101" s="2"/>
      <c r="F101" s="2"/>
      <c r="G101" s="2"/>
    </row>
    <row r="102" spans="1:7" ht="24.95" customHeight="1" x14ac:dyDescent="0.3">
      <c r="A102" s="1"/>
      <c r="B102" s="3"/>
      <c r="C102" s="2"/>
      <c r="D102" s="2"/>
      <c r="E102" s="2"/>
      <c r="F102" s="2"/>
      <c r="G102" s="2"/>
    </row>
    <row r="103" spans="1:7" ht="24.95" customHeight="1" x14ac:dyDescent="0.3">
      <c r="A103" s="1"/>
      <c r="B103" s="3"/>
      <c r="C103" s="2"/>
      <c r="D103" s="2"/>
      <c r="E103" s="2"/>
      <c r="F103" s="2"/>
      <c r="G103" s="2"/>
    </row>
    <row r="104" spans="1:7" ht="24.95" customHeight="1" x14ac:dyDescent="0.3">
      <c r="A104" s="1"/>
      <c r="B104" s="3"/>
      <c r="C104" s="2"/>
      <c r="D104" s="2"/>
      <c r="E104" s="2"/>
      <c r="F104" s="2"/>
      <c r="G104" s="2"/>
    </row>
    <row r="105" spans="1:7" ht="24.95" customHeight="1" x14ac:dyDescent="0.3">
      <c r="A105" s="1"/>
      <c r="B105" s="3"/>
      <c r="C105" s="2"/>
      <c r="D105" s="2"/>
      <c r="E105" s="2"/>
      <c r="F105" s="2"/>
      <c r="G105" s="2"/>
    </row>
    <row r="106" spans="1:7" ht="24.95" customHeight="1" x14ac:dyDescent="0.3">
      <c r="A106" s="1"/>
      <c r="B106" s="3"/>
      <c r="C106" s="2"/>
      <c r="D106" s="2"/>
      <c r="E106" s="2"/>
      <c r="F106" s="2"/>
      <c r="G106" s="2"/>
    </row>
    <row r="107" spans="1:7" ht="24.95" customHeight="1" x14ac:dyDescent="0.3">
      <c r="A107" s="1"/>
      <c r="B107" s="3"/>
      <c r="C107" s="2"/>
      <c r="D107" s="2"/>
      <c r="E107" s="2"/>
      <c r="F107" s="2"/>
      <c r="G107" s="2"/>
    </row>
    <row r="108" spans="1:7" ht="24.95" customHeight="1" x14ac:dyDescent="0.3">
      <c r="A108" s="1"/>
      <c r="B108" s="3"/>
      <c r="C108" s="2"/>
      <c r="D108" s="2"/>
      <c r="E108" s="2"/>
      <c r="F108" s="2"/>
      <c r="G108" s="2"/>
    </row>
    <row r="109" spans="1:7" ht="24.95" customHeight="1" x14ac:dyDescent="0.3">
      <c r="A109" s="1"/>
      <c r="B109" s="3"/>
      <c r="C109" s="2"/>
      <c r="D109" s="2"/>
      <c r="E109" s="2"/>
      <c r="F109" s="2"/>
      <c r="G109" s="2"/>
    </row>
    <row r="110" spans="1:7" ht="24.95" customHeight="1" x14ac:dyDescent="0.3">
      <c r="A110" s="1"/>
      <c r="B110" s="3"/>
      <c r="C110" s="2"/>
      <c r="D110" s="2"/>
      <c r="E110" s="2"/>
      <c r="F110" s="2"/>
      <c r="G110" s="2"/>
    </row>
    <row r="111" spans="1:7" ht="24.95" customHeight="1" x14ac:dyDescent="0.3">
      <c r="A111" s="1"/>
      <c r="B111" s="3"/>
      <c r="C111" s="2"/>
      <c r="D111" s="2"/>
      <c r="E111" s="2"/>
      <c r="F111" s="2"/>
      <c r="G111" s="2"/>
    </row>
    <row r="112" spans="1:7" ht="24.95" customHeight="1" x14ac:dyDescent="0.3">
      <c r="A112" s="1"/>
      <c r="B112" s="3"/>
      <c r="C112" s="2"/>
      <c r="D112" s="2"/>
      <c r="E112" s="2"/>
      <c r="F112" s="2"/>
      <c r="G112" s="2"/>
    </row>
    <row r="113" spans="1:7" ht="24.95" customHeight="1" x14ac:dyDescent="0.3">
      <c r="A113" s="1"/>
      <c r="B113" s="3"/>
      <c r="C113" s="2"/>
      <c r="D113" s="2"/>
      <c r="E113" s="2"/>
      <c r="F113" s="2"/>
      <c r="G113" s="2"/>
    </row>
    <row r="114" spans="1:7" ht="24.95" customHeight="1" x14ac:dyDescent="0.3">
      <c r="A114" s="1"/>
      <c r="B114" s="3"/>
      <c r="C114" s="2"/>
      <c r="D114" s="2"/>
      <c r="E114" s="2"/>
      <c r="F114" s="2"/>
      <c r="G114" s="2"/>
    </row>
    <row r="115" spans="1:7" ht="24.95" customHeight="1" x14ac:dyDescent="0.3">
      <c r="A115" s="1"/>
      <c r="B115" s="3"/>
      <c r="C115" s="2"/>
      <c r="D115" s="2"/>
      <c r="E115" s="2"/>
      <c r="F115" s="2"/>
      <c r="G115" s="2"/>
    </row>
    <row r="116" spans="1:7" ht="24.95" customHeight="1" x14ac:dyDescent="0.3">
      <c r="A116" s="1"/>
      <c r="B116" s="3"/>
      <c r="C116" s="2"/>
      <c r="D116" s="2"/>
      <c r="E116" s="2"/>
      <c r="F116" s="2"/>
      <c r="G116" s="2"/>
    </row>
    <row r="117" spans="1:7" ht="24.95" customHeight="1" x14ac:dyDescent="0.3">
      <c r="A117" s="1"/>
      <c r="B117" s="3"/>
      <c r="C117" s="2"/>
      <c r="D117" s="2"/>
      <c r="E117" s="2"/>
      <c r="F117" s="2"/>
      <c r="G117" s="2"/>
    </row>
    <row r="118" spans="1:7" ht="24.95" customHeight="1" x14ac:dyDescent="0.3">
      <c r="A118" s="1"/>
      <c r="B118" s="3"/>
      <c r="C118" s="2"/>
      <c r="D118" s="2"/>
      <c r="E118" s="2"/>
      <c r="F118" s="2"/>
      <c r="G118" s="2"/>
    </row>
    <row r="119" spans="1:7" ht="24.95" customHeight="1" x14ac:dyDescent="0.3">
      <c r="A119" s="1"/>
      <c r="B119" s="3"/>
      <c r="C119" s="2"/>
      <c r="D119" s="2"/>
      <c r="E119" s="2"/>
      <c r="F119" s="2"/>
      <c r="G119" s="2"/>
    </row>
    <row r="120" spans="1:7" ht="24.95" customHeight="1" x14ac:dyDescent="0.3">
      <c r="A120" s="1"/>
      <c r="B120" s="3"/>
      <c r="C120" s="2"/>
      <c r="D120" s="2"/>
      <c r="E120" s="2"/>
      <c r="F120" s="2"/>
      <c r="G120" s="2"/>
    </row>
    <row r="121" spans="1:7" ht="24.95" customHeight="1" x14ac:dyDescent="0.3">
      <c r="A121" s="1"/>
      <c r="B121" s="3"/>
      <c r="C121" s="2"/>
      <c r="D121" s="2"/>
      <c r="E121" s="2"/>
      <c r="F121" s="2"/>
      <c r="G121" s="2"/>
    </row>
    <row r="122" spans="1:7" ht="24.95" customHeight="1" x14ac:dyDescent="0.3">
      <c r="A122" s="1"/>
      <c r="B122" s="3"/>
      <c r="C122" s="2"/>
      <c r="D122" s="2"/>
      <c r="E122" s="2"/>
      <c r="F122" s="2"/>
      <c r="G122" s="2"/>
    </row>
    <row r="123" spans="1:7" ht="24.95" customHeight="1" x14ac:dyDescent="0.3">
      <c r="A123" s="1"/>
      <c r="B123" s="3"/>
      <c r="C123" s="2"/>
      <c r="D123" s="2"/>
      <c r="E123" s="2"/>
      <c r="F123" s="2"/>
      <c r="G123" s="2"/>
    </row>
    <row r="124" spans="1:7" ht="24.95" customHeight="1" x14ac:dyDescent="0.3">
      <c r="A124" s="1"/>
      <c r="B124" s="3"/>
      <c r="C124" s="2"/>
      <c r="D124" s="2"/>
      <c r="E124" s="2"/>
      <c r="F124" s="2"/>
      <c r="G124" s="2"/>
    </row>
    <row r="125" spans="1:7" ht="24.95" customHeight="1" x14ac:dyDescent="0.3">
      <c r="A125" s="1"/>
      <c r="B125" s="3"/>
      <c r="C125" s="2"/>
      <c r="D125" s="2"/>
      <c r="E125" s="2"/>
      <c r="F125" s="2"/>
      <c r="G125" s="2"/>
    </row>
    <row r="126" spans="1:7" ht="24.95" customHeight="1" x14ac:dyDescent="0.3">
      <c r="A126" s="1"/>
      <c r="B126" s="3"/>
      <c r="C126" s="2"/>
      <c r="D126" s="2"/>
      <c r="E126" s="2"/>
      <c r="F126" s="2"/>
      <c r="G126" s="2"/>
    </row>
    <row r="127" spans="1:7" ht="24.95" customHeight="1" x14ac:dyDescent="0.3">
      <c r="A127" s="1"/>
      <c r="B127" s="3"/>
      <c r="C127" s="2"/>
      <c r="D127" s="2"/>
      <c r="E127" s="2"/>
      <c r="F127" s="2"/>
      <c r="G127" s="2"/>
    </row>
    <row r="128" spans="1:7" ht="24.95" customHeight="1" x14ac:dyDescent="0.3">
      <c r="A128" s="1"/>
      <c r="B128" s="3"/>
      <c r="C128" s="2"/>
      <c r="D128" s="2"/>
      <c r="E128" s="2"/>
      <c r="F128" s="2"/>
      <c r="G128" s="2"/>
    </row>
    <row r="129" spans="1:7" ht="24.95" customHeight="1" x14ac:dyDescent="0.3">
      <c r="A129" s="1"/>
      <c r="B129" s="3"/>
      <c r="C129" s="2"/>
      <c r="D129" s="2"/>
      <c r="E129" s="2"/>
      <c r="F129" s="2"/>
      <c r="G129" s="2"/>
    </row>
    <row r="130" spans="1:7" ht="24.95" customHeight="1" x14ac:dyDescent="0.3">
      <c r="A130" s="1"/>
      <c r="B130" s="3"/>
      <c r="C130" s="2"/>
      <c r="D130" s="2"/>
      <c r="E130" s="2"/>
      <c r="F130" s="2"/>
      <c r="G130" s="2"/>
    </row>
    <row r="131" spans="1:7" ht="24.95" customHeight="1" x14ac:dyDescent="0.3">
      <c r="A131" s="1"/>
      <c r="B131" s="3"/>
      <c r="C131" s="2"/>
      <c r="D131" s="2"/>
      <c r="E131" s="2"/>
      <c r="F131" s="2"/>
      <c r="G131" s="2"/>
    </row>
    <row r="132" spans="1:7" ht="24.95" customHeight="1" x14ac:dyDescent="0.3">
      <c r="A132" s="1"/>
      <c r="B132" s="3"/>
      <c r="C132" s="2"/>
      <c r="D132" s="2"/>
      <c r="E132" s="2"/>
      <c r="F132" s="2"/>
      <c r="G132" s="2"/>
    </row>
    <row r="133" spans="1:7" ht="24.95" customHeight="1" x14ac:dyDescent="0.3">
      <c r="A133" s="1"/>
      <c r="B133" s="3"/>
      <c r="C133" s="2"/>
      <c r="D133" s="2"/>
      <c r="E133" s="2"/>
      <c r="F133" s="2"/>
      <c r="G133" s="2"/>
    </row>
    <row r="134" spans="1:7" ht="24.95" customHeight="1" x14ac:dyDescent="0.3">
      <c r="A134" s="1"/>
      <c r="B134" s="3"/>
      <c r="C134" s="2"/>
      <c r="D134" s="2"/>
      <c r="E134" s="2"/>
      <c r="F134" s="2"/>
      <c r="G134" s="2"/>
    </row>
    <row r="135" spans="1:7" ht="24.95" customHeight="1" x14ac:dyDescent="0.3">
      <c r="A135" s="1"/>
      <c r="B135" s="3"/>
      <c r="C135" s="2"/>
      <c r="D135" s="2"/>
      <c r="E135" s="2"/>
      <c r="F135" s="2"/>
      <c r="G135" s="2"/>
    </row>
    <row r="136" spans="1:7" ht="24.95" customHeight="1" x14ac:dyDescent="0.3">
      <c r="A136" s="1"/>
      <c r="B136" s="3"/>
      <c r="C136" s="2"/>
      <c r="D136" s="2"/>
      <c r="E136" s="2"/>
      <c r="F136" s="2"/>
      <c r="G136" s="2"/>
    </row>
    <row r="137" spans="1:7" ht="24.95" customHeight="1" x14ac:dyDescent="0.3">
      <c r="A137" s="1"/>
      <c r="B137" s="3"/>
      <c r="C137" s="2"/>
      <c r="D137" s="2"/>
      <c r="E137" s="2"/>
      <c r="F137" s="2"/>
      <c r="G137" s="2"/>
    </row>
    <row r="138" spans="1:7" ht="24.95" customHeight="1" x14ac:dyDescent="0.3">
      <c r="A138" s="1"/>
      <c r="B138" s="3"/>
      <c r="C138" s="2"/>
      <c r="D138" s="2"/>
      <c r="E138" s="2"/>
      <c r="F138" s="2"/>
      <c r="G138" s="2"/>
    </row>
    <row r="139" spans="1:7" ht="24.95" customHeight="1" x14ac:dyDescent="0.3">
      <c r="A139" s="1"/>
      <c r="B139" s="3"/>
      <c r="C139" s="2"/>
      <c r="D139" s="2"/>
      <c r="E139" s="2"/>
      <c r="F139" s="2"/>
      <c r="G139" s="2"/>
    </row>
    <row r="140" spans="1:7" ht="24.95" customHeight="1" x14ac:dyDescent="0.3">
      <c r="A140" s="1"/>
      <c r="B140" s="3"/>
      <c r="C140" s="2"/>
      <c r="D140" s="2"/>
      <c r="E140" s="2"/>
      <c r="F140" s="2"/>
      <c r="G140" s="2"/>
    </row>
    <row r="141" spans="1:7" ht="24.95" customHeight="1" x14ac:dyDescent="0.3">
      <c r="A141" s="1"/>
      <c r="B141" s="3"/>
      <c r="C141" s="2"/>
      <c r="D141" s="2"/>
      <c r="E141" s="2"/>
      <c r="F141" s="2"/>
      <c r="G141" s="2"/>
    </row>
    <row r="142" spans="1:7" ht="24.95" customHeight="1" x14ac:dyDescent="0.3">
      <c r="A142" s="1"/>
      <c r="B142" s="3"/>
      <c r="C142" s="2"/>
      <c r="D142" s="2"/>
      <c r="E142" s="2"/>
      <c r="F142" s="2"/>
      <c r="G142" s="2"/>
    </row>
    <row r="143" spans="1:7" ht="24.95" customHeight="1" x14ac:dyDescent="0.3">
      <c r="A143" s="1"/>
      <c r="B143" s="3"/>
      <c r="C143" s="2"/>
      <c r="D143" s="2"/>
      <c r="E143" s="2"/>
      <c r="F143" s="2"/>
      <c r="G143" s="2"/>
    </row>
    <row r="144" spans="1:7" ht="24.95" customHeight="1" x14ac:dyDescent="0.3">
      <c r="A144" s="1"/>
      <c r="B144" s="3"/>
      <c r="C144" s="2"/>
      <c r="D144" s="2"/>
      <c r="E144" s="2"/>
      <c r="F144" s="2"/>
      <c r="G144" s="2"/>
    </row>
    <row r="145" spans="1:7" ht="24.95" customHeight="1" x14ac:dyDescent="0.3">
      <c r="A145" s="1"/>
      <c r="B145" s="3"/>
      <c r="C145" s="2"/>
      <c r="D145" s="2"/>
      <c r="E145" s="2"/>
      <c r="F145" s="2"/>
      <c r="G145" s="2"/>
    </row>
    <row r="146" spans="1:7" ht="24.95" customHeight="1" x14ac:dyDescent="0.3">
      <c r="A146" s="1"/>
      <c r="B146" s="3"/>
      <c r="C146" s="2"/>
      <c r="D146" s="2"/>
      <c r="E146" s="2"/>
      <c r="F146" s="2"/>
      <c r="G146" s="2"/>
    </row>
    <row r="147" spans="1:7" ht="24.95" customHeight="1" x14ac:dyDescent="0.3">
      <c r="A147" s="1"/>
      <c r="B147" s="3"/>
      <c r="C147" s="2"/>
      <c r="D147" s="2"/>
      <c r="E147" s="2"/>
      <c r="F147" s="2"/>
      <c r="G147" s="2"/>
    </row>
    <row r="148" spans="1:7" ht="24.95" customHeight="1" x14ac:dyDescent="0.3">
      <c r="A148" s="1"/>
      <c r="B148" s="3"/>
      <c r="C148" s="2"/>
      <c r="D148" s="2"/>
      <c r="E148" s="2"/>
      <c r="F148" s="2"/>
      <c r="G148" s="2"/>
    </row>
    <row r="149" spans="1:7" ht="24.95" customHeight="1" x14ac:dyDescent="0.3">
      <c r="A149" s="1"/>
      <c r="B149" s="3"/>
      <c r="C149" s="2"/>
      <c r="D149" s="2"/>
      <c r="E149" s="2"/>
      <c r="F149" s="2"/>
      <c r="G149" s="2"/>
    </row>
    <row r="150" spans="1:7" ht="24.95" customHeight="1" x14ac:dyDescent="0.3">
      <c r="A150" s="1"/>
      <c r="B150" s="3"/>
      <c r="C150" s="2"/>
      <c r="D150" s="2"/>
      <c r="E150" s="2"/>
      <c r="F150" s="2"/>
      <c r="G150" s="2"/>
    </row>
    <row r="151" spans="1:7" ht="24.95" customHeight="1" x14ac:dyDescent="0.3">
      <c r="A151" s="1"/>
      <c r="B151" s="3"/>
      <c r="C151" s="2"/>
      <c r="D151" s="2"/>
      <c r="E151" s="2"/>
      <c r="F151" s="2"/>
      <c r="G151" s="2"/>
    </row>
    <row r="152" spans="1:7" ht="24.95" customHeight="1" x14ac:dyDescent="0.3">
      <c r="A152" s="1"/>
      <c r="B152" s="3"/>
      <c r="C152" s="2"/>
      <c r="D152" s="2"/>
      <c r="E152" s="2"/>
      <c r="F152" s="2"/>
      <c r="G152" s="2"/>
    </row>
    <row r="153" spans="1:7" ht="24.95" customHeight="1" x14ac:dyDescent="0.3">
      <c r="A153" s="1"/>
      <c r="B153" s="3"/>
      <c r="C153" s="2"/>
      <c r="D153" s="2"/>
      <c r="E153" s="2"/>
      <c r="F153" s="2"/>
      <c r="G153" s="2"/>
    </row>
    <row r="154" spans="1:7" ht="24.95" customHeight="1" x14ac:dyDescent="0.3">
      <c r="A154" s="1"/>
      <c r="B154" s="3"/>
      <c r="C154" s="2"/>
      <c r="D154" s="2"/>
      <c r="E154" s="2"/>
      <c r="F154" s="2"/>
      <c r="G154" s="2"/>
    </row>
    <row r="155" spans="1:7" ht="24.95" customHeight="1" x14ac:dyDescent="0.3">
      <c r="A155" s="1"/>
      <c r="B155" s="3"/>
      <c r="C155" s="2"/>
      <c r="D155" s="2"/>
      <c r="E155" s="2"/>
      <c r="F155" s="2"/>
      <c r="G155" s="2"/>
    </row>
    <row r="156" spans="1:7" ht="24.95" customHeight="1" x14ac:dyDescent="0.3">
      <c r="A156" s="1"/>
      <c r="B156" s="3"/>
      <c r="C156" s="2"/>
      <c r="D156" s="2"/>
      <c r="E156" s="2"/>
      <c r="F156" s="2"/>
      <c r="G156" s="2"/>
    </row>
    <row r="157" spans="1:7" ht="24.95" customHeight="1" x14ac:dyDescent="0.3">
      <c r="A157" s="1"/>
      <c r="B157" s="3"/>
      <c r="C157" s="2"/>
      <c r="D157" s="2"/>
      <c r="E157" s="2"/>
      <c r="F157" s="2"/>
      <c r="G157" s="2"/>
    </row>
    <row r="158" spans="1:7" ht="24.95" customHeight="1" x14ac:dyDescent="0.3">
      <c r="A158" s="1"/>
      <c r="B158" s="3"/>
      <c r="C158" s="2"/>
      <c r="D158" s="2"/>
      <c r="E158" s="2"/>
      <c r="F158" s="2"/>
      <c r="G158" s="2"/>
    </row>
    <row r="159" spans="1:7" ht="24.95" customHeight="1" x14ac:dyDescent="0.3">
      <c r="A159" s="1"/>
      <c r="B159" s="3"/>
      <c r="C159" s="2"/>
      <c r="D159" s="2"/>
      <c r="E159" s="2"/>
      <c r="F159" s="2"/>
      <c r="G159" s="2"/>
    </row>
    <row r="160" spans="1:7" ht="24.95" customHeight="1" x14ac:dyDescent="0.3">
      <c r="A160" s="1"/>
      <c r="B160" s="3"/>
      <c r="C160" s="2"/>
      <c r="D160" s="2"/>
      <c r="E160" s="2"/>
      <c r="F160" s="2"/>
      <c r="G160" s="2"/>
    </row>
    <row r="161" spans="1:10" ht="24.95" customHeight="1" x14ac:dyDescent="0.3">
      <c r="A161" s="1"/>
      <c r="B161" s="3"/>
      <c r="C161" s="2"/>
      <c r="D161" s="2"/>
      <c r="E161" s="2"/>
      <c r="F161" s="2"/>
      <c r="G161" s="2"/>
    </row>
    <row r="162" spans="1:10" ht="24.95" customHeight="1" x14ac:dyDescent="0.3">
      <c r="A162" s="1"/>
      <c r="B162" s="3"/>
      <c r="C162" s="2"/>
      <c r="D162" s="2"/>
      <c r="E162" s="2"/>
      <c r="F162" s="2"/>
      <c r="G162" s="2"/>
    </row>
    <row r="163" spans="1:10" ht="24.95" customHeight="1" x14ac:dyDescent="0.3">
      <c r="A163" s="1"/>
      <c r="B163" s="3"/>
      <c r="C163" s="2"/>
      <c r="D163" s="2"/>
      <c r="E163" s="2"/>
      <c r="F163" s="2"/>
      <c r="G163" s="2"/>
    </row>
    <row r="164" spans="1:10" ht="24.95" customHeight="1" x14ac:dyDescent="0.3">
      <c r="A164" s="1"/>
      <c r="B164" s="3"/>
      <c r="C164" s="2"/>
      <c r="D164" s="2"/>
      <c r="E164" s="2"/>
      <c r="F164" s="2"/>
      <c r="G164" s="2"/>
    </row>
    <row r="165" spans="1:10" ht="24.95" customHeight="1" x14ac:dyDescent="0.3">
      <c r="A165" s="1"/>
      <c r="B165" s="3"/>
      <c r="C165" s="2"/>
      <c r="D165" s="2"/>
      <c r="E165" s="2"/>
      <c r="F165" s="2"/>
      <c r="G165" s="2"/>
      <c r="J165" t="str">
        <f t="shared" si="0"/>
        <v>(,'','',,,,),</v>
      </c>
    </row>
    <row r="215" spans="12:12" x14ac:dyDescent="0.3">
      <c r="L215" t="s">
        <v>1157</v>
      </c>
    </row>
    <row r="216" spans="12:12" x14ac:dyDescent="0.3">
      <c r="L216" t="s">
        <v>1158</v>
      </c>
    </row>
    <row r="217" spans="12:12" x14ac:dyDescent="0.3">
      <c r="L217" t="s">
        <v>1001</v>
      </c>
    </row>
    <row r="218" spans="12:12" x14ac:dyDescent="0.3">
      <c r="L218" t="s">
        <v>1159</v>
      </c>
    </row>
    <row r="219" spans="12:12" x14ac:dyDescent="0.3">
      <c r="L219" t="s">
        <v>1160</v>
      </c>
    </row>
    <row r="220" spans="12:12" x14ac:dyDescent="0.3">
      <c r="L220" t="s">
        <v>1161</v>
      </c>
    </row>
    <row r="221" spans="12:12" x14ac:dyDescent="0.3">
      <c r="L221" t="s">
        <v>1162</v>
      </c>
    </row>
    <row r="222" spans="12:12" x14ac:dyDescent="0.3">
      <c r="L222" t="s">
        <v>1163</v>
      </c>
    </row>
    <row r="223" spans="12:12" x14ac:dyDescent="0.3">
      <c r="L223" t="s">
        <v>1164</v>
      </c>
    </row>
    <row r="224" spans="12:12" x14ac:dyDescent="0.3">
      <c r="L224" t="s">
        <v>1165</v>
      </c>
    </row>
    <row r="225" spans="12:12" x14ac:dyDescent="0.3">
      <c r="L225" t="s">
        <v>1166</v>
      </c>
    </row>
    <row r="226" spans="12:12" x14ac:dyDescent="0.3">
      <c r="L226" t="s">
        <v>1167</v>
      </c>
    </row>
    <row r="227" spans="12:12" x14ac:dyDescent="0.3">
      <c r="L227" t="s">
        <v>998</v>
      </c>
    </row>
    <row r="228" spans="12:12" x14ac:dyDescent="0.3">
      <c r="L228" t="s">
        <v>1168</v>
      </c>
    </row>
    <row r="229" spans="12:12" x14ac:dyDescent="0.3">
      <c r="L229" t="s">
        <v>1169</v>
      </c>
    </row>
    <row r="230" spans="12:12" x14ac:dyDescent="0.3">
      <c r="L230" t="s">
        <v>86</v>
      </c>
    </row>
    <row r="231" spans="12:12" x14ac:dyDescent="0.3">
      <c r="L231" t="s">
        <v>1170</v>
      </c>
    </row>
    <row r="232" spans="12:12" x14ac:dyDescent="0.3">
      <c r="L232" t="s">
        <v>1171</v>
      </c>
    </row>
    <row r="233" spans="12:12" x14ac:dyDescent="0.3">
      <c r="L233" t="s">
        <v>1172</v>
      </c>
    </row>
    <row r="234" spans="12:12" x14ac:dyDescent="0.3">
      <c r="L234" t="s">
        <v>1173</v>
      </c>
    </row>
    <row r="235" spans="12:12" x14ac:dyDescent="0.3">
      <c r="L235" t="s">
        <v>84</v>
      </c>
    </row>
    <row r="236" spans="12:12" x14ac:dyDescent="0.3">
      <c r="L236" t="s">
        <v>1174</v>
      </c>
    </row>
    <row r="237" spans="12:12" x14ac:dyDescent="0.3">
      <c r="L237" t="s">
        <v>1175</v>
      </c>
    </row>
    <row r="238" spans="12:12" x14ac:dyDescent="0.3">
      <c r="L238" t="s">
        <v>1176</v>
      </c>
    </row>
    <row r="239" spans="12:12" x14ac:dyDescent="0.3">
      <c r="L239" t="s">
        <v>1177</v>
      </c>
    </row>
    <row r="240" spans="12:12" x14ac:dyDescent="0.3">
      <c r="L240" t="s">
        <v>1178</v>
      </c>
    </row>
    <row r="241" spans="12:12" x14ac:dyDescent="0.3">
      <c r="L241" t="s">
        <v>1179</v>
      </c>
    </row>
    <row r="242" spans="12:12" x14ac:dyDescent="0.3">
      <c r="L242" t="s">
        <v>1180</v>
      </c>
    </row>
    <row r="243" spans="12:12" x14ac:dyDescent="0.3">
      <c r="L243" t="s">
        <v>1181</v>
      </c>
    </row>
    <row r="244" spans="12:12" x14ac:dyDescent="0.3">
      <c r="L244" t="s">
        <v>1000</v>
      </c>
    </row>
    <row r="245" spans="12:12" x14ac:dyDescent="0.3">
      <c r="L245" t="s">
        <v>992</v>
      </c>
    </row>
    <row r="246" spans="12:12" x14ac:dyDescent="0.3">
      <c r="L246" t="s">
        <v>1182</v>
      </c>
    </row>
    <row r="247" spans="12:12" x14ac:dyDescent="0.3">
      <c r="L247" t="s">
        <v>1002</v>
      </c>
    </row>
    <row r="248" spans="12:12" x14ac:dyDescent="0.3">
      <c r="L248" t="s">
        <v>1183</v>
      </c>
    </row>
    <row r="249" spans="12:12" x14ac:dyDescent="0.3">
      <c r="L249" t="s">
        <v>1184</v>
      </c>
    </row>
    <row r="250" spans="12:12" x14ac:dyDescent="0.3">
      <c r="L250" t="s">
        <v>1185</v>
      </c>
    </row>
    <row r="251" spans="12:12" x14ac:dyDescent="0.3">
      <c r="L251" t="s">
        <v>1186</v>
      </c>
    </row>
    <row r="252" spans="12:12" x14ac:dyDescent="0.3">
      <c r="L252" t="s">
        <v>1187</v>
      </c>
    </row>
    <row r="253" spans="12:12" x14ac:dyDescent="0.3">
      <c r="L253" t="s">
        <v>1188</v>
      </c>
    </row>
    <row r="254" spans="12:12" x14ac:dyDescent="0.3">
      <c r="L254" t="s">
        <v>1189</v>
      </c>
    </row>
    <row r="255" spans="12:12" x14ac:dyDescent="0.3">
      <c r="L255" t="s">
        <v>1190</v>
      </c>
    </row>
    <row r="256" spans="12:12" x14ac:dyDescent="0.3">
      <c r="L256" t="s">
        <v>1191</v>
      </c>
    </row>
    <row r="257" spans="12:12" x14ac:dyDescent="0.3">
      <c r="L257" t="s">
        <v>1192</v>
      </c>
    </row>
    <row r="258" spans="12:12" x14ac:dyDescent="0.3">
      <c r="L258" t="s">
        <v>1193</v>
      </c>
    </row>
    <row r="259" spans="12:12" x14ac:dyDescent="0.3">
      <c r="L259" t="s">
        <v>1194</v>
      </c>
    </row>
    <row r="260" spans="12:12" x14ac:dyDescent="0.3">
      <c r="L260" t="s">
        <v>1195</v>
      </c>
    </row>
    <row r="261" spans="12:12" x14ac:dyDescent="0.3">
      <c r="L261" t="s">
        <v>1196</v>
      </c>
    </row>
    <row r="262" spans="12:12" x14ac:dyDescent="0.3">
      <c r="L262" t="s">
        <v>1197</v>
      </c>
    </row>
    <row r="263" spans="12:12" x14ac:dyDescent="0.3">
      <c r="L263" t="s">
        <v>1198</v>
      </c>
    </row>
    <row r="264" spans="12:12" x14ac:dyDescent="0.3">
      <c r="L264" t="s">
        <v>1199</v>
      </c>
    </row>
    <row r="265" spans="12:12" x14ac:dyDescent="0.3">
      <c r="L265" t="s">
        <v>1200</v>
      </c>
    </row>
    <row r="266" spans="12:12" x14ac:dyDescent="0.3">
      <c r="L266" t="s">
        <v>1201</v>
      </c>
    </row>
    <row r="267" spans="12:12" x14ac:dyDescent="0.3">
      <c r="L267" t="s">
        <v>289</v>
      </c>
    </row>
    <row r="268" spans="12:12" x14ac:dyDescent="0.3">
      <c r="L268" t="s">
        <v>1202</v>
      </c>
    </row>
    <row r="269" spans="12:12" x14ac:dyDescent="0.3">
      <c r="L269" t="s">
        <v>1203</v>
      </c>
    </row>
    <row r="270" spans="12:12" x14ac:dyDescent="0.3">
      <c r="L270" t="s">
        <v>1204</v>
      </c>
    </row>
    <row r="271" spans="12:12" x14ac:dyDescent="0.3">
      <c r="L271" t="s">
        <v>1205</v>
      </c>
    </row>
    <row r="272" spans="12:12" x14ac:dyDescent="0.3">
      <c r="L272" t="s">
        <v>1206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4"/>
  <sheetViews>
    <sheetView workbookViewId="0">
      <selection activeCell="D16" sqref="D16"/>
    </sheetView>
  </sheetViews>
  <sheetFormatPr baseColWidth="10" defaultRowHeight="16.5" x14ac:dyDescent="0.3"/>
  <cols>
    <col min="1" max="1" width="34.140625" bestFit="1" customWidth="1"/>
    <col min="2" max="3" width="7.42578125" bestFit="1" customWidth="1"/>
    <col min="4" max="4" width="11.140625" customWidth="1"/>
  </cols>
  <sheetData>
    <row r="3" spans="1:4" x14ac:dyDescent="0.3">
      <c r="A3" t="s">
        <v>1425</v>
      </c>
      <c r="B3" t="s">
        <v>1381</v>
      </c>
      <c r="C3" t="s">
        <v>1382</v>
      </c>
      <c r="D3">
        <v>185</v>
      </c>
    </row>
    <row r="4" spans="1:4" x14ac:dyDescent="0.3">
      <c r="A4" t="s">
        <v>1000</v>
      </c>
      <c r="B4" t="s">
        <v>1383</v>
      </c>
      <c r="C4" t="s">
        <v>1384</v>
      </c>
      <c r="D4">
        <v>143</v>
      </c>
    </row>
    <row r="5" spans="1:4" x14ac:dyDescent="0.3">
      <c r="A5" t="s">
        <v>1265</v>
      </c>
      <c r="B5" t="s">
        <v>1385</v>
      </c>
      <c r="C5" t="s">
        <v>1386</v>
      </c>
      <c r="D5">
        <v>220</v>
      </c>
    </row>
    <row r="6" spans="1:4" x14ac:dyDescent="0.3">
      <c r="A6" t="s">
        <v>94</v>
      </c>
      <c r="B6" t="s">
        <v>1387</v>
      </c>
      <c r="C6" t="s">
        <v>1388</v>
      </c>
      <c r="D6">
        <v>774</v>
      </c>
    </row>
    <row r="7" spans="1:4" x14ac:dyDescent="0.3">
      <c r="A7" t="s">
        <v>1266</v>
      </c>
      <c r="B7" t="s">
        <v>1389</v>
      </c>
      <c r="C7" t="s">
        <v>1390</v>
      </c>
      <c r="D7">
        <v>960</v>
      </c>
    </row>
    <row r="8" spans="1:4" x14ac:dyDescent="0.3">
      <c r="A8" t="s">
        <v>1267</v>
      </c>
      <c r="B8" t="s">
        <v>1391</v>
      </c>
      <c r="C8" t="s">
        <v>1392</v>
      </c>
    </row>
    <row r="9" spans="1:4" x14ac:dyDescent="0.3">
      <c r="A9" t="s">
        <v>1208</v>
      </c>
      <c r="B9" t="s">
        <v>1393</v>
      </c>
      <c r="C9" t="s">
        <v>1394</v>
      </c>
    </row>
    <row r="10" spans="1:4" x14ac:dyDescent="0.3">
      <c r="A10" t="s">
        <v>1282</v>
      </c>
      <c r="B10" t="s">
        <v>1395</v>
      </c>
      <c r="C10" t="s">
        <v>1396</v>
      </c>
    </row>
    <row r="11" spans="1:4" x14ac:dyDescent="0.3">
      <c r="A11" t="s">
        <v>1210</v>
      </c>
      <c r="B11" t="s">
        <v>1397</v>
      </c>
      <c r="C11" t="s">
        <v>1398</v>
      </c>
    </row>
    <row r="12" spans="1:4" x14ac:dyDescent="0.3">
      <c r="A12" t="s">
        <v>1430</v>
      </c>
      <c r="B12" t="s">
        <v>1399</v>
      </c>
      <c r="C12" t="s">
        <v>1400</v>
      </c>
      <c r="D12">
        <v>161</v>
      </c>
    </row>
    <row r="13" spans="1:4" x14ac:dyDescent="0.3">
      <c r="A13" t="s">
        <v>1426</v>
      </c>
      <c r="B13" t="s">
        <v>1401</v>
      </c>
      <c r="C13" t="s">
        <v>1402</v>
      </c>
    </row>
    <row r="14" spans="1:4" x14ac:dyDescent="0.3">
      <c r="A14" t="s">
        <v>1427</v>
      </c>
      <c r="B14" t="s">
        <v>1403</v>
      </c>
      <c r="C14" t="s">
        <v>1404</v>
      </c>
    </row>
    <row r="15" spans="1:4" x14ac:dyDescent="0.3">
      <c r="A15" t="s">
        <v>92</v>
      </c>
      <c r="B15" t="s">
        <v>1405</v>
      </c>
      <c r="C15" t="s">
        <v>1406</v>
      </c>
      <c r="D15">
        <v>560</v>
      </c>
    </row>
    <row r="16" spans="1:4" x14ac:dyDescent="0.3">
      <c r="A16" t="s">
        <v>1431</v>
      </c>
      <c r="B16" t="s">
        <v>1407</v>
      </c>
      <c r="C16" t="s">
        <v>1408</v>
      </c>
    </row>
    <row r="17" spans="1:3" x14ac:dyDescent="0.3">
      <c r="A17" t="s">
        <v>103</v>
      </c>
      <c r="B17" t="s">
        <v>1409</v>
      </c>
      <c r="C17" t="s">
        <v>1410</v>
      </c>
    </row>
    <row r="18" spans="1:3" x14ac:dyDescent="0.3">
      <c r="A18" t="s">
        <v>1428</v>
      </c>
      <c r="B18" t="s">
        <v>1411</v>
      </c>
      <c r="C18" t="s">
        <v>1412</v>
      </c>
    </row>
    <row r="19" spans="1:3" x14ac:dyDescent="0.3">
      <c r="A19" t="s">
        <v>101</v>
      </c>
      <c r="B19" t="s">
        <v>1413</v>
      </c>
      <c r="C19" t="s">
        <v>1414</v>
      </c>
    </row>
    <row r="20" spans="1:3" x14ac:dyDescent="0.3">
      <c r="A20" t="s">
        <v>91</v>
      </c>
      <c r="B20" t="s">
        <v>1415</v>
      </c>
      <c r="C20" t="s">
        <v>1416</v>
      </c>
    </row>
    <row r="21" spans="1:3" x14ac:dyDescent="0.3">
      <c r="A21" t="s">
        <v>88</v>
      </c>
      <c r="B21" t="s">
        <v>1417</v>
      </c>
      <c r="C21" t="s">
        <v>1418</v>
      </c>
    </row>
    <row r="22" spans="1:3" x14ac:dyDescent="0.3">
      <c r="A22" t="s">
        <v>89</v>
      </c>
      <c r="B22" t="s">
        <v>1419</v>
      </c>
      <c r="C22" t="s">
        <v>1420</v>
      </c>
    </row>
    <row r="23" spans="1:3" x14ac:dyDescent="0.3">
      <c r="A23" t="s">
        <v>1429</v>
      </c>
      <c r="B23" t="s">
        <v>1421</v>
      </c>
      <c r="C23" t="s">
        <v>1422</v>
      </c>
    </row>
    <row r="24" spans="1:3" x14ac:dyDescent="0.3">
      <c r="A24" t="s">
        <v>129</v>
      </c>
      <c r="B24" t="s">
        <v>1423</v>
      </c>
      <c r="C24" t="s">
        <v>1424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6"/>
  <sheetViews>
    <sheetView workbookViewId="0">
      <selection activeCell="K2" sqref="K2:K6"/>
    </sheetView>
  </sheetViews>
  <sheetFormatPr baseColWidth="10" defaultRowHeight="16.5" x14ac:dyDescent="0.3"/>
  <cols>
    <col min="1" max="1" width="5.7109375" customWidth="1"/>
    <col min="2" max="2" width="30.7109375" customWidth="1"/>
    <col min="3" max="5" width="10.7109375" customWidth="1"/>
    <col min="6" max="6" width="11.140625" bestFit="1" customWidth="1"/>
    <col min="7" max="7" width="13.85546875" bestFit="1" customWidth="1"/>
    <col min="8" max="8" width="12.42578125" bestFit="1" customWidth="1"/>
    <col min="9" max="9" width="50.7109375" customWidth="1"/>
    <col min="10" max="10" width="17.42578125" bestFit="1" customWidth="1"/>
  </cols>
  <sheetData>
    <row r="1" spans="1:11" ht="24.95" customHeight="1" x14ac:dyDescent="0.3">
      <c r="A1" s="9" t="s">
        <v>0</v>
      </c>
      <c r="B1" s="9" t="s">
        <v>203</v>
      </c>
      <c r="C1" s="9" t="s">
        <v>206</v>
      </c>
      <c r="D1" s="9" t="s">
        <v>236</v>
      </c>
      <c r="E1" s="9" t="s">
        <v>235</v>
      </c>
      <c r="F1" s="9" t="s">
        <v>234</v>
      </c>
      <c r="G1" s="9" t="s">
        <v>232</v>
      </c>
      <c r="H1" s="9" t="s">
        <v>233</v>
      </c>
      <c r="I1" s="9" t="s">
        <v>214</v>
      </c>
    </row>
    <row r="2" spans="1:11" ht="24.95" customHeight="1" x14ac:dyDescent="0.3">
      <c r="A2" s="9" t="s">
        <v>204</v>
      </c>
      <c r="B2" s="9" t="s">
        <v>205</v>
      </c>
      <c r="C2" s="9" t="s">
        <v>207</v>
      </c>
      <c r="D2" s="9" t="s">
        <v>208</v>
      </c>
      <c r="E2" s="9" t="s">
        <v>213</v>
      </c>
      <c r="F2" s="9" t="s">
        <v>210</v>
      </c>
      <c r="G2" s="9" t="s">
        <v>226</v>
      </c>
      <c r="H2" s="9" t="s">
        <v>227</v>
      </c>
      <c r="I2" s="9" t="s">
        <v>228</v>
      </c>
      <c r="J2" t="s">
        <v>245</v>
      </c>
      <c r="K2" t="str">
        <f>CONCATENATE(J2,A2,",",B2,",",C2,",",D2,",",E2,",",F2,",",G2,",",H2,",",I2,") values")</f>
        <v>Insert into T_20_04 (F_00,F_01,F_02,F_03,F_04,F_05,F_06,F_07,F_08) values</v>
      </c>
    </row>
    <row r="3" spans="1:11" ht="24.95" customHeight="1" x14ac:dyDescent="0.3">
      <c r="A3" s="1">
        <v>1</v>
      </c>
      <c r="B3" s="3" t="s">
        <v>43</v>
      </c>
      <c r="C3" s="2" t="s">
        <v>19</v>
      </c>
      <c r="D3" s="2">
        <v>0</v>
      </c>
      <c r="E3" s="2">
        <v>0</v>
      </c>
      <c r="F3" s="2">
        <v>0</v>
      </c>
      <c r="G3" s="2">
        <v>0</v>
      </c>
      <c r="H3" s="2" t="s">
        <v>243</v>
      </c>
      <c r="I3" s="2" t="s">
        <v>43</v>
      </c>
      <c r="K3" t="str">
        <f>CONCATENATE("(",A3,",'",B3,"',",C3,",",D3,",",E3,",",F3,",",G3,",",H3,",'",I3,"'),")</f>
        <v>(1,'Gaz naturel',G,0,0,0,0,b'1','Gaz naturel'),</v>
      </c>
    </row>
    <row r="4" spans="1:11" ht="24.95" customHeight="1" x14ac:dyDescent="0.3">
      <c r="A4" s="1">
        <v>2</v>
      </c>
      <c r="B4" s="3" t="s">
        <v>17</v>
      </c>
      <c r="C4" s="2" t="s">
        <v>20</v>
      </c>
      <c r="D4" s="2">
        <v>0</v>
      </c>
      <c r="E4" s="2">
        <v>0</v>
      </c>
      <c r="F4" s="2">
        <v>0</v>
      </c>
      <c r="G4" s="2">
        <v>0</v>
      </c>
      <c r="H4" s="2" t="s">
        <v>243</v>
      </c>
      <c r="I4" s="2" t="s">
        <v>17</v>
      </c>
      <c r="K4" t="str">
        <f t="shared" ref="K4:K6" si="0">CONCATENATE("(",A4,",'",B4,"',",C4,",",D4,",",E4,",",F4,",",G4,",",H4,",'",I4,"'),")</f>
        <v>(2,'Pétrole brut',O,0,0,0,0,b'1','Pétrole brut'),</v>
      </c>
    </row>
    <row r="5" spans="1:11" ht="24.95" customHeight="1" x14ac:dyDescent="0.3">
      <c r="A5" s="1">
        <v>3</v>
      </c>
      <c r="B5" s="3" t="s">
        <v>18</v>
      </c>
      <c r="C5" s="2" t="s">
        <v>21</v>
      </c>
      <c r="D5" s="2">
        <v>0</v>
      </c>
      <c r="E5" s="2">
        <v>0</v>
      </c>
      <c r="F5" s="2">
        <v>0</v>
      </c>
      <c r="G5" s="2">
        <v>0</v>
      </c>
      <c r="H5" s="2" t="s">
        <v>243</v>
      </c>
      <c r="I5" s="2" t="s">
        <v>18</v>
      </c>
      <c r="K5" t="str">
        <f t="shared" si="0"/>
        <v>(3,'Condensat',N,0,0,0,0,b'1','Condensat'),</v>
      </c>
    </row>
    <row r="6" spans="1:11" ht="24.95" customHeight="1" x14ac:dyDescent="0.3">
      <c r="A6" s="1">
        <v>4</v>
      </c>
      <c r="B6" s="3" t="s">
        <v>44</v>
      </c>
      <c r="C6" s="2" t="s">
        <v>22</v>
      </c>
      <c r="D6" s="2">
        <v>0</v>
      </c>
      <c r="E6" s="2">
        <v>0</v>
      </c>
      <c r="F6" s="2">
        <v>0</v>
      </c>
      <c r="G6" s="2">
        <v>0</v>
      </c>
      <c r="H6" s="2" t="s">
        <v>243</v>
      </c>
      <c r="I6" s="2" t="s">
        <v>44</v>
      </c>
      <c r="K6" t="str">
        <f t="shared" si="0"/>
        <v>(4,'Gaz de Pétrole Liquéfié (GPL)',L,0,0,0,0,b'1','Gaz de Pétrole Liquéfié (GPL)'),</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33"/>
  <sheetViews>
    <sheetView workbookViewId="0">
      <selection activeCell="F2" sqref="F2:F15"/>
    </sheetView>
  </sheetViews>
  <sheetFormatPr baseColWidth="10" defaultRowHeight="16.5" x14ac:dyDescent="0.3"/>
  <cols>
    <col min="1" max="1" width="5.7109375" customWidth="1"/>
    <col min="2" max="2" width="37.42578125" bestFit="1" customWidth="1"/>
    <col min="3" max="3" width="10.7109375" customWidth="1"/>
    <col min="4" max="4" width="50.7109375" customWidth="1"/>
    <col min="5" max="5" width="17.42578125" bestFit="1" customWidth="1"/>
  </cols>
  <sheetData>
    <row r="1" spans="1:6" ht="24.95" customHeight="1" x14ac:dyDescent="0.3">
      <c r="A1" s="9" t="s">
        <v>0</v>
      </c>
      <c r="B1" s="9" t="s">
        <v>203</v>
      </c>
      <c r="C1" s="9" t="s">
        <v>206</v>
      </c>
      <c r="D1" s="9" t="s">
        <v>214</v>
      </c>
    </row>
    <row r="2" spans="1:6" ht="24.95" customHeight="1" x14ac:dyDescent="0.3">
      <c r="A2" s="9" t="s">
        <v>204</v>
      </c>
      <c r="B2" s="9" t="s">
        <v>205</v>
      </c>
      <c r="C2" s="9" t="s">
        <v>207</v>
      </c>
      <c r="D2" s="9" t="s">
        <v>208</v>
      </c>
      <c r="E2" t="s">
        <v>246</v>
      </c>
      <c r="F2" t="str">
        <f>CONCATENATE(E2,A2,",",B2,",",C2,",",D2,") values")</f>
        <v>Insert into T_20_05 (F_00,F_01,F_02,F_03) values</v>
      </c>
    </row>
    <row r="3" spans="1:6" ht="24.95" customHeight="1" x14ac:dyDescent="0.3">
      <c r="A3" s="1">
        <v>1</v>
      </c>
      <c r="B3" s="3" t="s">
        <v>1005</v>
      </c>
      <c r="C3" s="2" t="s">
        <v>1004</v>
      </c>
      <c r="D3" s="2" t="s">
        <v>1005</v>
      </c>
      <c r="F3" t="str">
        <f>CONCATENATE("(",A3,",'",B3,"','",C3,"','",D3,"'),")</f>
        <v>(1,'Conduites basse pression','A25','Conduites basse pression'),</v>
      </c>
    </row>
    <row r="4" spans="1:6" ht="24.95" customHeight="1" x14ac:dyDescent="0.3">
      <c r="A4" s="1">
        <v>2</v>
      </c>
      <c r="B4" s="3" t="s">
        <v>1007</v>
      </c>
      <c r="C4" s="2" t="s">
        <v>1006</v>
      </c>
      <c r="D4" s="2" t="s">
        <v>1007</v>
      </c>
      <c r="F4" t="str">
        <f t="shared" ref="F4:F15" si="0">CONCATENATE("(",A4,",'",B4,"','",C4,"','",D4,"'),")</f>
        <v>(2,'Conduites générales','A','Conduites générales'),</v>
      </c>
    </row>
    <row r="5" spans="1:6" ht="24.95" customHeight="1" x14ac:dyDescent="0.3">
      <c r="A5" s="1">
        <v>3</v>
      </c>
      <c r="B5" s="3" t="s">
        <v>1009</v>
      </c>
      <c r="C5" s="2" t="s">
        <v>1008</v>
      </c>
      <c r="D5" s="2" t="s">
        <v>1009</v>
      </c>
      <c r="F5" t="str">
        <f t="shared" si="0"/>
        <v>(3,'Conduites standard pour hydrocarbures','B','Conduites standard pour hydrocarbures'),</v>
      </c>
    </row>
    <row r="6" spans="1:6" ht="24.95" customHeight="1" x14ac:dyDescent="0.3">
      <c r="A6" s="1">
        <v>4</v>
      </c>
      <c r="B6" s="3" t="s">
        <v>1011</v>
      </c>
      <c r="C6" s="2" t="s">
        <v>1010</v>
      </c>
      <c r="D6" s="2" t="s">
        <v>1011</v>
      </c>
      <c r="F6" t="str">
        <f t="shared" si="0"/>
        <v>(4,'Pipelines moyenne pression','X42','Pipelines moyenne pression'),</v>
      </c>
    </row>
    <row r="7" spans="1:6" ht="24.95" customHeight="1" x14ac:dyDescent="0.3">
      <c r="A7" s="1">
        <v>5</v>
      </c>
      <c r="B7" s="3" t="s">
        <v>1011</v>
      </c>
      <c r="C7" s="2" t="s">
        <v>1012</v>
      </c>
      <c r="D7" s="2" t="s">
        <v>1011</v>
      </c>
      <c r="F7" t="str">
        <f t="shared" si="0"/>
        <v>(5,'Pipelines moyenne pression','X46','Pipelines moyenne pression'),</v>
      </c>
    </row>
    <row r="8" spans="1:6" ht="24.95" customHeight="1" x14ac:dyDescent="0.3">
      <c r="A8" s="1">
        <v>6</v>
      </c>
      <c r="B8" s="3" t="s">
        <v>1011</v>
      </c>
      <c r="C8" s="2" t="s">
        <v>979</v>
      </c>
      <c r="D8" s="2" t="s">
        <v>1011</v>
      </c>
      <c r="F8" t="str">
        <f t="shared" si="0"/>
        <v>(6,'Pipelines moyenne pression','X52','Pipelines moyenne pression'),</v>
      </c>
    </row>
    <row r="9" spans="1:6" ht="24.95" customHeight="1" x14ac:dyDescent="0.3">
      <c r="A9" s="1">
        <v>7</v>
      </c>
      <c r="B9" s="3" t="s">
        <v>1014</v>
      </c>
      <c r="C9" s="2" t="s">
        <v>1013</v>
      </c>
      <c r="D9" s="2" t="s">
        <v>1014</v>
      </c>
      <c r="F9" t="str">
        <f t="shared" si="0"/>
        <v>(7,'Pipelines haute pression','X56','Pipelines haute pression'),</v>
      </c>
    </row>
    <row r="10" spans="1:6" ht="24.95" customHeight="1" x14ac:dyDescent="0.3">
      <c r="A10" s="1">
        <v>8</v>
      </c>
      <c r="B10" s="3" t="s">
        <v>1014</v>
      </c>
      <c r="C10" s="2" t="s">
        <v>980</v>
      </c>
      <c r="D10" s="2" t="s">
        <v>1014</v>
      </c>
      <c r="F10" t="str">
        <f t="shared" si="0"/>
        <v>(8,'Pipelines haute pression','X60','Pipelines haute pression'),</v>
      </c>
    </row>
    <row r="11" spans="1:6" ht="24.95" customHeight="1" x14ac:dyDescent="0.3">
      <c r="A11" s="1">
        <v>9</v>
      </c>
      <c r="B11" s="3" t="s">
        <v>1016</v>
      </c>
      <c r="C11" s="2" t="s">
        <v>1015</v>
      </c>
      <c r="D11" s="2" t="s">
        <v>1016</v>
      </c>
      <c r="F11" t="str">
        <f t="shared" si="0"/>
        <v>(9,'Pipelines offshore et haute pression','X65','Pipelines offshore et haute pression'),</v>
      </c>
    </row>
    <row r="12" spans="1:6" ht="24.95" customHeight="1" x14ac:dyDescent="0.3">
      <c r="A12" s="1">
        <v>10</v>
      </c>
      <c r="B12" s="3" t="s">
        <v>1018</v>
      </c>
      <c r="C12" s="2" t="s">
        <v>1017</v>
      </c>
      <c r="D12" s="2" t="s">
        <v>1018</v>
      </c>
      <c r="F12" t="str">
        <f t="shared" si="0"/>
        <v>(10,'Pipelines haute performance','X70','Pipelines haute performance'),</v>
      </c>
    </row>
    <row r="13" spans="1:6" ht="24.95" customHeight="1" x14ac:dyDescent="0.3">
      <c r="A13" s="1">
        <v>11</v>
      </c>
      <c r="B13" s="3" t="s">
        <v>1020</v>
      </c>
      <c r="C13" s="2" t="s">
        <v>1019</v>
      </c>
      <c r="D13" s="2" t="s">
        <v>1020</v>
      </c>
      <c r="F13" t="str">
        <f t="shared" si="0"/>
        <v>(11,'Pipelines très haute performance','X80','Pipelines très haute performance'),</v>
      </c>
    </row>
    <row r="14" spans="1:6" ht="24.95" customHeight="1" x14ac:dyDescent="0.3">
      <c r="A14" s="1">
        <v>12</v>
      </c>
      <c r="B14" s="3" t="s">
        <v>1022</v>
      </c>
      <c r="C14" s="2" t="s">
        <v>1021</v>
      </c>
      <c r="D14" s="2" t="s">
        <v>1022</v>
      </c>
      <c r="F14" t="str">
        <f t="shared" si="0"/>
        <v>(12,'Applications spéciales (rare)','X100','Applications spéciales (rare)'),</v>
      </c>
    </row>
    <row r="15" spans="1:6" ht="24.95" customHeight="1" x14ac:dyDescent="0.3">
      <c r="A15" s="1">
        <v>13</v>
      </c>
      <c r="B15" s="3" t="s">
        <v>1022</v>
      </c>
      <c r="C15" s="2" t="s">
        <v>1023</v>
      </c>
      <c r="D15" s="2" t="s">
        <v>1022</v>
      </c>
      <c r="F15" t="str">
        <f t="shared" si="0"/>
        <v>(13,'Applications spéciales (rare)','X120','Applications spéciales (rare)'),</v>
      </c>
    </row>
    <row r="21" spans="6:9" ht="14.1" x14ac:dyDescent="0.3">
      <c r="F21" t="s">
        <v>1004</v>
      </c>
      <c r="G21">
        <v>25</v>
      </c>
      <c r="H21">
        <v>172</v>
      </c>
      <c r="I21" t="s">
        <v>1005</v>
      </c>
    </row>
    <row r="22" spans="6:9" x14ac:dyDescent="0.3">
      <c r="F22" t="s">
        <v>1006</v>
      </c>
      <c r="G22">
        <v>30</v>
      </c>
      <c r="H22">
        <v>207</v>
      </c>
      <c r="I22" t="s">
        <v>1007</v>
      </c>
    </row>
    <row r="23" spans="6:9" ht="14.1" x14ac:dyDescent="0.3">
      <c r="F23" t="s">
        <v>1008</v>
      </c>
      <c r="G23">
        <v>35</v>
      </c>
      <c r="H23">
        <v>241</v>
      </c>
      <c r="I23" t="s">
        <v>1009</v>
      </c>
    </row>
    <row r="24" spans="6:9" ht="14.1" x14ac:dyDescent="0.3">
      <c r="F24" t="s">
        <v>1010</v>
      </c>
      <c r="G24">
        <v>42</v>
      </c>
      <c r="H24">
        <v>290</v>
      </c>
      <c r="I24" t="s">
        <v>1011</v>
      </c>
    </row>
    <row r="25" spans="6:9" ht="14.1" x14ac:dyDescent="0.3">
      <c r="F25" t="s">
        <v>1012</v>
      </c>
      <c r="G25">
        <v>46</v>
      </c>
      <c r="H25">
        <v>317</v>
      </c>
      <c r="I25" t="s">
        <v>1011</v>
      </c>
    </row>
    <row r="26" spans="6:9" ht="14.1" x14ac:dyDescent="0.3">
      <c r="F26" t="s">
        <v>979</v>
      </c>
      <c r="G26">
        <v>52</v>
      </c>
      <c r="H26">
        <v>359</v>
      </c>
      <c r="I26" t="s">
        <v>1011</v>
      </c>
    </row>
    <row r="27" spans="6:9" ht="14.1" x14ac:dyDescent="0.3">
      <c r="F27" t="s">
        <v>1013</v>
      </c>
      <c r="G27">
        <v>56</v>
      </c>
      <c r="H27">
        <v>386</v>
      </c>
      <c r="I27" t="s">
        <v>1014</v>
      </c>
    </row>
    <row r="28" spans="6:9" ht="14.1" x14ac:dyDescent="0.3">
      <c r="F28" t="s">
        <v>980</v>
      </c>
      <c r="G28">
        <v>60</v>
      </c>
      <c r="H28">
        <v>414</v>
      </c>
      <c r="I28" t="s">
        <v>1014</v>
      </c>
    </row>
    <row r="29" spans="6:9" ht="14.1" x14ac:dyDescent="0.3">
      <c r="F29" t="s">
        <v>1015</v>
      </c>
      <c r="G29">
        <v>65</v>
      </c>
      <c r="H29">
        <v>448</v>
      </c>
      <c r="I29" t="s">
        <v>1016</v>
      </c>
    </row>
    <row r="30" spans="6:9" ht="14.1" x14ac:dyDescent="0.3">
      <c r="F30" t="s">
        <v>1017</v>
      </c>
      <c r="G30">
        <v>70</v>
      </c>
      <c r="H30">
        <v>483</v>
      </c>
      <c r="I30" t="s">
        <v>1018</v>
      </c>
    </row>
    <row r="31" spans="6:9" x14ac:dyDescent="0.3">
      <c r="F31" t="s">
        <v>1019</v>
      </c>
      <c r="G31">
        <v>80</v>
      </c>
      <c r="H31">
        <v>552</v>
      </c>
      <c r="I31" t="s">
        <v>1020</v>
      </c>
    </row>
    <row r="32" spans="6:9" x14ac:dyDescent="0.3">
      <c r="F32" t="s">
        <v>1021</v>
      </c>
      <c r="G32">
        <v>100</v>
      </c>
      <c r="H32">
        <v>690</v>
      </c>
      <c r="I32" t="s">
        <v>1022</v>
      </c>
    </row>
    <row r="33" spans="6:9" x14ac:dyDescent="0.3">
      <c r="F33" t="s">
        <v>1023</v>
      </c>
      <c r="G33">
        <v>120</v>
      </c>
      <c r="H33">
        <v>827</v>
      </c>
      <c r="I33" t="s">
        <v>1022</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10"/>
  <sheetViews>
    <sheetView workbookViewId="0">
      <selection activeCell="E2" sqref="E2:E10"/>
    </sheetView>
  </sheetViews>
  <sheetFormatPr baseColWidth="10" defaultRowHeight="16.5" x14ac:dyDescent="0.3"/>
  <cols>
    <col min="1" max="1" width="5.7109375" customWidth="1"/>
    <col min="2" max="2" width="37.42578125" bestFit="1" customWidth="1"/>
    <col min="3" max="3" width="50.7109375" customWidth="1"/>
    <col min="4" max="4" width="17.42578125" bestFit="1" customWidth="1"/>
    <col min="5" max="5" width="73.140625" bestFit="1" customWidth="1"/>
    <col min="6" max="6" width="40" bestFit="1" customWidth="1"/>
  </cols>
  <sheetData>
    <row r="1" spans="1:5" ht="24.95" customHeight="1" x14ac:dyDescent="0.3">
      <c r="A1" s="9" t="s">
        <v>0</v>
      </c>
      <c r="B1" s="9" t="s">
        <v>203</v>
      </c>
      <c r="C1" s="9" t="s">
        <v>214</v>
      </c>
    </row>
    <row r="2" spans="1:5" ht="24.95" customHeight="1" x14ac:dyDescent="0.3">
      <c r="A2" s="9" t="s">
        <v>204</v>
      </c>
      <c r="B2" s="9" t="s">
        <v>205</v>
      </c>
      <c r="C2" s="9" t="s">
        <v>207</v>
      </c>
      <c r="D2" t="s">
        <v>1040</v>
      </c>
      <c r="E2" t="str">
        <f>CONCATENATE(D2,A2,",",B2,",",C2,") values")</f>
        <v>Insert into T_20_06 (F_00,F_01,F_02) values</v>
      </c>
    </row>
    <row r="3" spans="1:5" ht="24.95" customHeight="1" x14ac:dyDescent="0.3">
      <c r="A3" s="1">
        <v>1</v>
      </c>
      <c r="B3" s="3" t="s">
        <v>1039</v>
      </c>
      <c r="C3" s="2" t="s">
        <v>1024</v>
      </c>
      <c r="E3" t="str">
        <f>CONCATENATE("(",A3,",'",B3,"','",C3,"'),")</f>
        <v>(1,'En Service','Opérations normales'),</v>
      </c>
    </row>
    <row r="4" spans="1:5" ht="24.95" customHeight="1" x14ac:dyDescent="0.3">
      <c r="A4" s="1">
        <v>2</v>
      </c>
      <c r="B4" s="3" t="s">
        <v>1038</v>
      </c>
      <c r="C4" s="2" t="s">
        <v>1025</v>
      </c>
      <c r="E4" t="str">
        <f t="shared" ref="E4:E10" si="0">CONCATENATE("(",A4,",'",B4,"','",C4,"'),")</f>
        <v>(2,'À l'Arrêt','Conditions du marché, flexibilité opérationnelle'),</v>
      </c>
    </row>
    <row r="5" spans="1:5" ht="24.95" customHeight="1" x14ac:dyDescent="0.3">
      <c r="A5" s="1">
        <v>3</v>
      </c>
      <c r="B5" s="3" t="s">
        <v>1037</v>
      </c>
      <c r="C5" s="2" t="s">
        <v>1026</v>
      </c>
      <c r="E5" t="str">
        <f t="shared" si="0"/>
        <v>(3,'Arrêté','Maintenance planifiée ou incident imprévu'),</v>
      </c>
    </row>
    <row r="6" spans="1:5" ht="24.95" customHeight="1" x14ac:dyDescent="0.3">
      <c r="A6" s="1">
        <v>4</v>
      </c>
      <c r="B6" s="3" t="s">
        <v>1027</v>
      </c>
      <c r="C6" s="2" t="s">
        <v>1028</v>
      </c>
      <c r="E6" t="str">
        <f t="shared" si="0"/>
        <v>(4,'En Maintenance','Réparations programmées, inspections'),</v>
      </c>
    </row>
    <row r="7" spans="1:5" ht="24.95" customHeight="1" x14ac:dyDescent="0.3">
      <c r="A7" s="1">
        <v>5</v>
      </c>
      <c r="B7" s="3" t="s">
        <v>1035</v>
      </c>
      <c r="C7" s="2" t="s">
        <v>1029</v>
      </c>
      <c r="E7" t="str">
        <f t="shared" si="0"/>
        <v>(5,'En Test','Pré-mise en service, vérifications post-réparation'),</v>
      </c>
    </row>
    <row r="8" spans="1:5" ht="24.95" customHeight="1" x14ac:dyDescent="0.3">
      <c r="A8" s="1">
        <v>6</v>
      </c>
      <c r="B8" s="3" t="s">
        <v>1030</v>
      </c>
      <c r="C8" s="2" t="s">
        <v>1031</v>
      </c>
      <c r="E8" t="str">
        <f t="shared" si="0"/>
        <v>(6,'Capacité Réduite','Panne d'équipement, contraintes opérationnelles'),</v>
      </c>
    </row>
    <row r="9" spans="1:5" ht="24.95" customHeight="1" x14ac:dyDescent="0.3">
      <c r="A9" s="1">
        <v>7</v>
      </c>
      <c r="B9" s="3" t="s">
        <v>1032</v>
      </c>
      <c r="C9" s="2" t="s">
        <v>1033</v>
      </c>
      <c r="E9" t="str">
        <f t="shared" si="0"/>
        <v>(7,'Urgence / Incident','Fuite, rupture, incident de sécurité'),</v>
      </c>
    </row>
    <row r="10" spans="1:5" ht="24.95" customHeight="1" x14ac:dyDescent="0.3">
      <c r="A10" s="1">
        <v>8</v>
      </c>
      <c r="B10" s="3" t="s">
        <v>1036</v>
      </c>
      <c r="C10" s="2" t="s">
        <v>1034</v>
      </c>
      <c r="E10" t="str">
        <f t="shared" si="0"/>
        <v>(8,'Mis Hors Service','Fin de vie opérationnelle'),</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7"/>
  <sheetViews>
    <sheetView workbookViewId="0">
      <selection activeCell="B3" sqref="B3"/>
    </sheetView>
  </sheetViews>
  <sheetFormatPr baseColWidth="10" defaultRowHeight="16.5" x14ac:dyDescent="0.3"/>
  <cols>
    <col min="1" max="1" width="5.7109375" customWidth="1"/>
    <col min="2" max="2" width="40.7109375" customWidth="1"/>
    <col min="3" max="3" width="10.42578125" customWidth="1"/>
    <col min="4" max="4" width="80.7109375" customWidth="1"/>
    <col min="6" max="6" width="17.42578125" bestFit="1" customWidth="1"/>
  </cols>
  <sheetData>
    <row r="1" spans="1:7" ht="24.95" customHeight="1" x14ac:dyDescent="0.3">
      <c r="A1" s="9" t="s">
        <v>0</v>
      </c>
      <c r="B1" s="9" t="s">
        <v>203</v>
      </c>
      <c r="C1" s="9" t="s">
        <v>206</v>
      </c>
      <c r="D1" s="9" t="s">
        <v>214</v>
      </c>
    </row>
    <row r="2" spans="1:7" ht="24.95" customHeight="1" x14ac:dyDescent="0.3">
      <c r="A2" s="9" t="s">
        <v>204</v>
      </c>
      <c r="B2" s="9" t="s">
        <v>205</v>
      </c>
      <c r="C2" s="9" t="s">
        <v>207</v>
      </c>
      <c r="D2" s="9" t="s">
        <v>208</v>
      </c>
      <c r="F2" t="s">
        <v>250</v>
      </c>
      <c r="G2" t="str">
        <f>CONCATENATE(F2,",",A2,",",B2,",",C2,",",D2,") values")</f>
        <v>Insert into T_20_07 (,F_00,F_01,F_02,F_03) values</v>
      </c>
    </row>
    <row r="3" spans="1:7" ht="24.95" customHeight="1" x14ac:dyDescent="0.3">
      <c r="A3" s="1">
        <v>1</v>
      </c>
      <c r="B3" s="18" t="s">
        <v>1049</v>
      </c>
      <c r="C3" s="18" t="s">
        <v>1068</v>
      </c>
      <c r="D3" s="44" t="s">
        <v>1054</v>
      </c>
      <c r="G3" t="str">
        <f>CONCATENATE("(",A3,",'",B3,"','",C3,"','",D3,"'),")</f>
        <v>(1,'Station de Collecte','SCL','Collecter les hydrocarbures (brut, gaz, eau) provenant de multiples puits dans un champ et les acheminer vers une installation centrale de traitement'),</v>
      </c>
    </row>
    <row r="4" spans="1:7" ht="24.95" customHeight="1" x14ac:dyDescent="0.3">
      <c r="A4" s="1">
        <v>2</v>
      </c>
      <c r="B4" s="18" t="s">
        <v>1048</v>
      </c>
      <c r="C4" s="18" t="s">
        <v>1069</v>
      </c>
      <c r="D4" s="44" t="s">
        <v>1055</v>
      </c>
      <c r="G4" t="str">
        <f t="shared" ref="G4:G21" si="0">CONCATENATE("(",A4,",'",B4,"','",C4,"','",D4,"'),")</f>
        <v>(2,'Usine de Traitement','UT','éparer et purifier les hydrocarbures pour répondre aux spécifications des pipelines ou de la vente'),</v>
      </c>
    </row>
    <row r="5" spans="1:7" ht="24.95" customHeight="1" x14ac:dyDescent="0.3">
      <c r="A5" s="1">
        <v>3</v>
      </c>
      <c r="B5" s="18" t="s">
        <v>1045</v>
      </c>
      <c r="C5" s="18" t="s">
        <v>1070</v>
      </c>
      <c r="D5" s="44" t="s">
        <v>1056</v>
      </c>
      <c r="G5" t="str">
        <f t="shared" si="0"/>
        <v>(3,'Station de Compression','SC','Comprimer le gaz pour compenser la perte de charge due aux frottements, maintenir le débit et la pression sur de longues distances'),</v>
      </c>
    </row>
    <row r="6" spans="1:7" ht="24.95" customHeight="1" x14ac:dyDescent="0.3">
      <c r="A6" s="1">
        <v>4</v>
      </c>
      <c r="B6" s="18" t="s">
        <v>1046</v>
      </c>
      <c r="C6" s="18" t="s">
        <v>1071</v>
      </c>
      <c r="D6" s="44" t="s">
        <v>1057</v>
      </c>
      <c r="G6" t="str">
        <f t="shared" si="0"/>
        <v>(4,'Station de Pompage','SP','Fournir l'énergie hydraulique nécessaire pour faire circuler le pétrole ou les produits raffinés dans le pipeline'),</v>
      </c>
    </row>
    <row r="7" spans="1:7" ht="24.95" customHeight="1" x14ac:dyDescent="0.3">
      <c r="A7" s="1">
        <v>5</v>
      </c>
      <c r="B7" s="18" t="s">
        <v>1047</v>
      </c>
      <c r="C7" s="18" t="s">
        <v>1072</v>
      </c>
      <c r="D7" s="44" t="s">
        <v>1062</v>
      </c>
      <c r="G7" t="str">
        <f t="shared" si="0"/>
        <v>(5,'Station de Détente','SD','réduire la pression du gaz acheminé dans un pipeline haute pression pour l'adapter à la pression requise par le réseau de distribution en aval ou par un client industriel'),</v>
      </c>
    </row>
    <row r="8" spans="1:7" ht="24.95" customHeight="1" x14ac:dyDescent="0.3">
      <c r="A8" s="1">
        <v>6</v>
      </c>
      <c r="B8" s="18" t="s">
        <v>1050</v>
      </c>
      <c r="C8" s="18" t="s">
        <v>1076</v>
      </c>
      <c r="D8" s="44" t="s">
        <v>1063</v>
      </c>
      <c r="G8" t="str">
        <f t="shared" si="0"/>
        <v>(6,'Bac de Stockage','BAC','Stocker stratégiquement les hydrocarbures pour Gérer les écarts entre la production continue et la demande variable'),</v>
      </c>
    </row>
    <row r="9" spans="1:7" ht="24.95" customHeight="1" x14ac:dyDescent="0.3">
      <c r="A9" s="1">
        <v>7</v>
      </c>
      <c r="B9" s="18" t="s">
        <v>1041</v>
      </c>
      <c r="C9" s="18" t="s">
        <v>1073</v>
      </c>
      <c r="D9" s="44" t="s">
        <v>1059</v>
      </c>
      <c r="G9" t="str">
        <f t="shared" si="0"/>
        <v>(7,'Poste de Sectionnement','PS','Isoler une section du pipeline pour la maintenance, les inspections ou en cas d'urgence. C'est une fonction opérationnelle qui permet de diviser le pipeline en tronçons plus courts et indépendants'),</v>
      </c>
    </row>
    <row r="10" spans="1:7" ht="24.95" customHeight="1" x14ac:dyDescent="0.3">
      <c r="A10" s="1">
        <v>8</v>
      </c>
      <c r="B10" s="18" t="s">
        <v>1042</v>
      </c>
      <c r="C10" s="18" t="s">
        <v>1077</v>
      </c>
      <c r="D10" s="44" t="s">
        <v>1060</v>
      </c>
      <c r="G10" t="str">
        <f t="shared" si="0"/>
        <v>(8,'Poste de Coupure','PC','Arrêter brutalement l'écoulement du produit en cas d'incident détecté (fuite importante, rupture, incendie). C'est une fonction de sécurité pure'),</v>
      </c>
    </row>
    <row r="11" spans="1:7" ht="24.95" customHeight="1" x14ac:dyDescent="0.3">
      <c r="A11" s="1">
        <v>9</v>
      </c>
      <c r="B11" s="18" t="s">
        <v>1043</v>
      </c>
      <c r="C11" s="18" t="s">
        <v>1074</v>
      </c>
      <c r="D11" s="44" t="s">
        <v>1061</v>
      </c>
      <c r="G11" t="str">
        <f t="shared" si="0"/>
        <v>(9,'Poste de Prélèvement','PP','Prélever (livrer) une partie du produit transporté pour l'aiguiller vers un client ou un autre réseau. C'est une fonction commerciale et de gestion de flux'),</v>
      </c>
    </row>
    <row r="12" spans="1:7" ht="24.95" customHeight="1" x14ac:dyDescent="0.3">
      <c r="A12" s="1">
        <v>10</v>
      </c>
      <c r="B12" s="18" t="s">
        <v>244</v>
      </c>
      <c r="C12" s="18" t="s">
        <v>1078</v>
      </c>
      <c r="D12" s="44" t="s">
        <v>1058</v>
      </c>
      <c r="G12" t="str">
        <f t="shared" si="0"/>
        <v>(10,'Raffinerie','RAF','la destination finale primaire de nombreux oléoducs. Elles transforment le pétrole brut en produits finis (essence, diesel, carburéacteur) qui seront à leur tour transportés vers des centres de distribution'),</v>
      </c>
    </row>
    <row r="13" spans="1:7" ht="24.95" customHeight="1" x14ac:dyDescent="0.3">
      <c r="A13" s="1">
        <v>11</v>
      </c>
      <c r="B13" s="18" t="s">
        <v>1044</v>
      </c>
      <c r="C13" s="18" t="s">
        <v>1079</v>
      </c>
      <c r="D13" s="44" t="s">
        <v>1064</v>
      </c>
      <c r="G13" t="str">
        <f t="shared" si="0"/>
        <v>(11,'Usine de Pétrochimique','UP','Transformer le gaz naturel et le pétrole en produits à plus haute valeur ajoutée que les matières premières brutes. Elles produisent des matières premières pour l'industrie plastique, chimique, agricole'),</v>
      </c>
    </row>
    <row r="14" spans="1:7" ht="24.95" customHeight="1" x14ac:dyDescent="0.3">
      <c r="A14" s="1">
        <v>12</v>
      </c>
      <c r="B14" s="18" t="s">
        <v>1051</v>
      </c>
      <c r="C14" s="18" t="s">
        <v>1080</v>
      </c>
      <c r="D14" s="44" t="s">
        <v>1065</v>
      </c>
      <c r="G14" t="str">
        <f t="shared" si="0"/>
        <v>(12,'Usine de Liquéfaction de Gaz Naturel','UGNL','Refroidir le gaz naturel à -162°C pour le transformer en Gaz Naturel Liquéfié (GNL), réduisant son volume de 600 fois. Cela permet de le transporter par navires méthaniers vers des marchés internationaux non reliés par gazoducs'),</v>
      </c>
    </row>
    <row r="15" spans="1:7" ht="24.95" customHeight="1" x14ac:dyDescent="0.3">
      <c r="A15" s="1">
        <v>13</v>
      </c>
      <c r="B15" s="3" t="s">
        <v>1207</v>
      </c>
      <c r="C15" s="3" t="s">
        <v>1075</v>
      </c>
      <c r="D15" s="44" t="s">
        <v>1066</v>
      </c>
      <c r="G15" t="str">
        <f t="shared" si="0"/>
        <v>(13,'Usine de séparation des GPL','UGPL','Séparer et liquéfier les gaz (propane et butane) naturellement présents dans le gaz naturel ou le pétrole brut. Le GPL est stocké et transporté sous pression pour être utilisé comme carburant (bouteilles de gaz, carburant automobile) ou comme combustible'),</v>
      </c>
    </row>
    <row r="16" spans="1:7" ht="24.95" customHeight="1" x14ac:dyDescent="0.3">
      <c r="A16" s="1">
        <v>14</v>
      </c>
      <c r="B16" s="3" t="s">
        <v>1083</v>
      </c>
      <c r="C16" s="3" t="s">
        <v>1084</v>
      </c>
      <c r="D16" s="44" t="s">
        <v>1082</v>
      </c>
      <c r="G16" t="str">
        <f t="shared" si="0"/>
        <v>(14,'Usine de Condensat ','UCDN','Eliminer les composants les plus légers et les contaminants pour le rendre sûr pour le transport et le stockage, et pour répondre aux spécifications commerciales.'),</v>
      </c>
    </row>
    <row r="17" spans="1:8" ht="24.95" customHeight="1" x14ac:dyDescent="0.3">
      <c r="A17" s="1">
        <v>15</v>
      </c>
      <c r="B17" s="3" t="s">
        <v>1053</v>
      </c>
      <c r="C17" s="3" t="s">
        <v>1081</v>
      </c>
      <c r="D17" s="44" t="s">
        <v>1067</v>
      </c>
      <c r="G17" t="str">
        <f t="shared" si="0"/>
        <v>(15,'Port d'exportation','PEXP','Points de sortie maritime pour l'exportation des hydrocarbures et produits dérivés. Ils sont équipés de terminaux spécialisés, de quais en eau profonde, de bras de chargement et de vastes zones de stockage'),</v>
      </c>
    </row>
    <row r="18" spans="1:8" ht="24.95" customHeight="1" x14ac:dyDescent="0.3">
      <c r="A18" s="1">
        <v>16</v>
      </c>
      <c r="B18" s="3" t="s">
        <v>1149</v>
      </c>
      <c r="C18" s="3" t="s">
        <v>1150</v>
      </c>
      <c r="D18" s="44" t="s">
        <v>1151</v>
      </c>
      <c r="G18" t="str">
        <f t="shared" si="0"/>
        <v>(16,'Terminal d'exportation','TEXP','Points de sortie terrestre pour l'exportation des hydrocarbures et produits dérivés'),</v>
      </c>
    </row>
    <row r="19" spans="1:8" ht="24.95" customHeight="1" x14ac:dyDescent="0.3">
      <c r="A19" s="1">
        <v>17</v>
      </c>
      <c r="B19" s="3" t="s">
        <v>1136</v>
      </c>
      <c r="C19" s="3" t="s">
        <v>1138</v>
      </c>
      <c r="D19" s="44" t="s">
        <v>1136</v>
      </c>
      <c r="G19" t="str">
        <f t="shared" si="0"/>
        <v>(17,'Poste de Chargement à Quai','PCQ','Poste de Chargement à Quai'),</v>
      </c>
    </row>
    <row r="20" spans="1:8" ht="24.95" customHeight="1" x14ac:dyDescent="0.3">
      <c r="A20" s="1">
        <v>18</v>
      </c>
      <c r="B20" s="3" t="s">
        <v>1135</v>
      </c>
      <c r="C20" s="3" t="s">
        <v>1137</v>
      </c>
      <c r="D20" s="44" t="s">
        <v>1135</v>
      </c>
      <c r="G20" t="str">
        <f t="shared" si="0"/>
        <v>(18,'Poste de Chargement en Mere','PCM','Poste de Chargement en Mere'),</v>
      </c>
    </row>
    <row r="21" spans="1:8" ht="24.95" customHeight="1" x14ac:dyDescent="0.3">
      <c r="A21" s="1">
        <v>19</v>
      </c>
      <c r="B21" s="3" t="s">
        <v>1131</v>
      </c>
      <c r="C21" s="3" t="s">
        <v>1132</v>
      </c>
      <c r="D21" s="44" t="s">
        <v>1133</v>
      </c>
      <c r="G21" t="str">
        <f t="shared" si="0"/>
        <v>(19,'Centre de Dispatiching','CD','Centre de Dispatching et gestion des flux des hydrcabures trasnportés'),</v>
      </c>
    </row>
    <row r="24" spans="1:8" ht="14.1" x14ac:dyDescent="0.3">
      <c r="G24" t="s">
        <v>1049</v>
      </c>
    </row>
    <row r="25" spans="1:8" ht="14.1" x14ac:dyDescent="0.3">
      <c r="G25" t="s">
        <v>1048</v>
      </c>
    </row>
    <row r="26" spans="1:8" x14ac:dyDescent="0.3">
      <c r="G26" t="s">
        <v>1045</v>
      </c>
      <c r="H26" s="43"/>
    </row>
    <row r="27" spans="1:8" x14ac:dyDescent="0.3">
      <c r="G27" t="s">
        <v>1046</v>
      </c>
    </row>
    <row r="28" spans="1:8" x14ac:dyDescent="0.3">
      <c r="G28" t="s">
        <v>1047</v>
      </c>
    </row>
    <row r="29" spans="1:8" x14ac:dyDescent="0.3">
      <c r="G29" t="s">
        <v>1050</v>
      </c>
    </row>
    <row r="30" spans="1:8" x14ac:dyDescent="0.3">
      <c r="G30" t="s">
        <v>1041</v>
      </c>
    </row>
    <row r="31" spans="1:8" x14ac:dyDescent="0.3">
      <c r="G31" t="s">
        <v>1042</v>
      </c>
    </row>
    <row r="32" spans="1:8" x14ac:dyDescent="0.3">
      <c r="G32" t="s">
        <v>1043</v>
      </c>
    </row>
    <row r="33" spans="7:7" x14ac:dyDescent="0.3">
      <c r="G33" t="s">
        <v>244</v>
      </c>
    </row>
    <row r="34" spans="7:7" x14ac:dyDescent="0.3">
      <c r="G34" t="s">
        <v>1044</v>
      </c>
    </row>
    <row r="35" spans="7:7" x14ac:dyDescent="0.3">
      <c r="G35" t="s">
        <v>1051</v>
      </c>
    </row>
    <row r="36" spans="7:7" x14ac:dyDescent="0.3">
      <c r="G36" t="s">
        <v>1052</v>
      </c>
    </row>
    <row r="37" spans="7:7" x14ac:dyDescent="0.3">
      <c r="G37" t="s">
        <v>1053</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9"/>
  <sheetViews>
    <sheetView topLeftCell="B1" workbookViewId="0">
      <selection activeCell="F2" sqref="F2:G3"/>
    </sheetView>
  </sheetViews>
  <sheetFormatPr baseColWidth="10" defaultRowHeight="16.5" x14ac:dyDescent="0.3"/>
  <cols>
    <col min="1" max="1" width="5.7109375" customWidth="1"/>
    <col min="2" max="3" width="40.7109375" customWidth="1"/>
    <col min="4" max="4" width="80.7109375" customWidth="1"/>
    <col min="8" max="8" width="123.7109375" bestFit="1" customWidth="1"/>
  </cols>
  <sheetData>
    <row r="1" spans="1:7" ht="24.95" customHeight="1" x14ac:dyDescent="0.3">
      <c r="A1" s="9" t="s">
        <v>0</v>
      </c>
      <c r="B1" s="9" t="s">
        <v>203</v>
      </c>
      <c r="C1" s="9" t="s">
        <v>206</v>
      </c>
      <c r="D1" s="9" t="s">
        <v>214</v>
      </c>
    </row>
    <row r="2" spans="1:7" ht="24.95" customHeight="1" x14ac:dyDescent="0.3">
      <c r="A2" s="9" t="s">
        <v>204</v>
      </c>
      <c r="B2" s="9" t="s">
        <v>205</v>
      </c>
      <c r="C2" s="9" t="s">
        <v>207</v>
      </c>
      <c r="D2" s="9" t="s">
        <v>208</v>
      </c>
      <c r="F2" t="s">
        <v>1117</v>
      </c>
      <c r="G2" t="str">
        <f>CONCATENATE(F2,",",A2,",",B2,",",D2,") values")</f>
        <v>Insert into T_20_08 (,F_00,F_01,F_03) values</v>
      </c>
    </row>
    <row r="3" spans="1:7" ht="24.95" customHeight="1" x14ac:dyDescent="0.3">
      <c r="A3" s="1">
        <v>1</v>
      </c>
      <c r="B3" s="3" t="s">
        <v>1085</v>
      </c>
      <c r="C3" s="3" t="s">
        <v>1107</v>
      </c>
      <c r="D3" s="44" t="s">
        <v>1091</v>
      </c>
      <c r="G3" t="str">
        <f>CONCATENATE("(",A3,",'",B3,"','",C3,"','",D3,"'),")</f>
        <v>(1,'TURBINE','T','Machine qui convertit l'énergie cinétique et/ou thermique d'un fluide (vapeur, gaz, eau) en énergie mécanique (rotation d'un arbre).'),</v>
      </c>
    </row>
    <row r="4" spans="1:7" ht="24.95" customHeight="1" x14ac:dyDescent="0.3">
      <c r="A4" s="1">
        <v>2</v>
      </c>
      <c r="B4" s="3" t="s">
        <v>1089</v>
      </c>
      <c r="C4" s="3" t="s">
        <v>1108</v>
      </c>
      <c r="D4" s="44" t="s">
        <v>1092</v>
      </c>
      <c r="G4" t="str">
        <f t="shared" ref="G4:G13" si="0">CONCATENATE("(",A4,",'",B4,"','",C4,"','",D4,"'),")</f>
        <v>(2,'MOTEUR','M','Machine qui convertit une énergie (généralement thermique) en énergie mécanique. Le terme est souvent utilisé pour les moteurs à combustion interne.'),</v>
      </c>
    </row>
    <row r="5" spans="1:7" ht="24.95" customHeight="1" x14ac:dyDescent="0.3">
      <c r="A5" s="1">
        <v>3</v>
      </c>
      <c r="B5" s="3" t="s">
        <v>1093</v>
      </c>
      <c r="C5" s="3" t="s">
        <v>1111</v>
      </c>
      <c r="D5" s="44" t="s">
        <v>1094</v>
      </c>
      <c r="G5" t="str">
        <f t="shared" si="0"/>
        <v>(3,'MOTEUR ÉLECTRIQUE','EM','Machine qui convertit l'énergie électrique en énergie mécanique de rotation.'),</v>
      </c>
    </row>
    <row r="6" spans="1:7" ht="24.95" customHeight="1" x14ac:dyDescent="0.3">
      <c r="A6" s="1">
        <v>4</v>
      </c>
      <c r="B6" s="3" t="s">
        <v>1086</v>
      </c>
      <c r="C6" s="3" t="s">
        <v>1109</v>
      </c>
      <c r="D6" s="44" t="s">
        <v>1095</v>
      </c>
      <c r="G6" t="str">
        <f t="shared" si="0"/>
        <v>(4,'POMPE','P','Machine qui utilise l'énergie mécanique pour augmenter la pression d'un liquide et le faire circuler dans une conduite.'),</v>
      </c>
    </row>
    <row r="7" spans="1:7" ht="24.95" customHeight="1" x14ac:dyDescent="0.3">
      <c r="A7" s="1">
        <v>5</v>
      </c>
      <c r="B7" s="3" t="s">
        <v>1096</v>
      </c>
      <c r="C7" s="3" t="s">
        <v>1110</v>
      </c>
      <c r="D7" s="44" t="s">
        <v>1097</v>
      </c>
      <c r="G7" t="str">
        <f t="shared" si="0"/>
        <v>(5,'COMPRESSEUR','C','Machine qui utilise l'énergie mécanique pour augmenter la pression d'un gaz en réduisant son volume.'),</v>
      </c>
    </row>
    <row r="8" spans="1:7" ht="24.95" customHeight="1" x14ac:dyDescent="0.3">
      <c r="A8" s="1">
        <v>6</v>
      </c>
      <c r="B8" s="3" t="s">
        <v>1087</v>
      </c>
      <c r="C8" s="3" t="s">
        <v>1112</v>
      </c>
      <c r="D8" s="44" t="s">
        <v>1098</v>
      </c>
      <c r="G8" t="str">
        <f t="shared" si="0"/>
        <v>(6,'TURBO-POMPE','TP','Une pompe centrifuge (qui utilise une roue à aubes tournante pour accélérer le fluide) entraînée par une turbine.'),</v>
      </c>
    </row>
    <row r="9" spans="1:7" ht="24.95" customHeight="1" x14ac:dyDescent="0.3">
      <c r="A9" s="1">
        <v>7</v>
      </c>
      <c r="B9" s="3" t="s">
        <v>1090</v>
      </c>
      <c r="C9" s="3" t="s">
        <v>1113</v>
      </c>
      <c r="D9" s="44" t="s">
        <v>1099</v>
      </c>
      <c r="G9" t="str">
        <f t="shared" si="0"/>
        <v>(7,'TURBO-COMPRESSEUR','TC','Un compresseur centrifuge (axial ou radial) entraîné par une turbine à gaz ou à vapeur.'),</v>
      </c>
    </row>
    <row r="10" spans="1:7" ht="24.95" customHeight="1" x14ac:dyDescent="0.3">
      <c r="A10" s="1">
        <v>8</v>
      </c>
      <c r="B10" s="3" t="s">
        <v>1100</v>
      </c>
      <c r="C10" s="3" t="s">
        <v>1114</v>
      </c>
      <c r="D10" s="44" t="s">
        <v>1101</v>
      </c>
      <c r="G10" t="str">
        <f t="shared" si="0"/>
        <v>(8,'ÉLECTRO-POMPE','EP','Une pompe tout type (centrifuge, à piston) entraînée par un moteur électrique.'),</v>
      </c>
    </row>
    <row r="11" spans="1:7" ht="24.95" customHeight="1" x14ac:dyDescent="0.3">
      <c r="A11" s="1">
        <v>9</v>
      </c>
      <c r="B11" s="3" t="s">
        <v>1102</v>
      </c>
      <c r="C11" s="3" t="s">
        <v>1008</v>
      </c>
      <c r="D11" s="44" t="s">
        <v>1103</v>
      </c>
      <c r="G11" t="str">
        <f t="shared" si="0"/>
        <v>(9,'BOOSTER','B','Terme général désignant un équipement qui "booste" (augmente) une pression ou un signal.'),</v>
      </c>
    </row>
    <row r="12" spans="1:7" ht="24.95" customHeight="1" x14ac:dyDescent="0.3">
      <c r="A12" s="1">
        <v>10</v>
      </c>
      <c r="B12" s="3" t="s">
        <v>1088</v>
      </c>
      <c r="C12" s="3" t="s">
        <v>1115</v>
      </c>
      <c r="D12" s="44" t="s">
        <v>1104</v>
      </c>
      <c r="G12" t="str">
        <f t="shared" si="0"/>
        <v>(10,'TURBO-ALTERNATEUR','TA','Ensemble composé d'une turbine (source d'énergie) couplée directement à un alternateur (générateur de courant électrique).'),</v>
      </c>
    </row>
    <row r="13" spans="1:7" ht="24.95" customHeight="1" x14ac:dyDescent="0.3">
      <c r="A13" s="1">
        <v>11</v>
      </c>
      <c r="B13" s="3" t="s">
        <v>1105</v>
      </c>
      <c r="C13" s="3" t="s">
        <v>1116</v>
      </c>
      <c r="D13" s="44" t="s">
        <v>1106</v>
      </c>
      <c r="G13" t="str">
        <f t="shared" si="0"/>
        <v>(11,'GROUPE ÉLECTROGÈNE','GE','Ensemble autonome composé d'un moteur (généralement diesel) couplé à un alternateur pour produire de l'électricité.'),</v>
      </c>
    </row>
    <row r="14" spans="1:7" ht="24.95" customHeight="1" x14ac:dyDescent="0.3">
      <c r="A14" s="1">
        <v>9</v>
      </c>
      <c r="B14" s="3"/>
      <c r="C14" s="3"/>
      <c r="D14" s="2"/>
    </row>
    <row r="15" spans="1:7" ht="24.95" customHeight="1" x14ac:dyDescent="0.3">
      <c r="A15" s="1">
        <v>8</v>
      </c>
      <c r="B15" s="3"/>
      <c r="C15" s="3"/>
      <c r="D15" s="2"/>
    </row>
    <row r="16" spans="1:7" ht="24.95" customHeight="1" x14ac:dyDescent="0.3">
      <c r="A16" s="1">
        <v>9</v>
      </c>
      <c r="B16" s="3"/>
      <c r="C16" s="3"/>
      <c r="D16" s="2"/>
    </row>
    <row r="19" spans="7:8" x14ac:dyDescent="0.3">
      <c r="G19" t="s">
        <v>1085</v>
      </c>
      <c r="H19" t="s">
        <v>1091</v>
      </c>
    </row>
    <row r="20" spans="7:8" x14ac:dyDescent="0.3">
      <c r="G20" t="s">
        <v>1089</v>
      </c>
      <c r="H20" t="s">
        <v>1092</v>
      </c>
    </row>
    <row r="21" spans="7:8" x14ac:dyDescent="0.3">
      <c r="G21" t="s">
        <v>1093</v>
      </c>
      <c r="H21" t="s">
        <v>1094</v>
      </c>
    </row>
    <row r="22" spans="7:8" x14ac:dyDescent="0.3">
      <c r="G22" t="s">
        <v>1086</v>
      </c>
      <c r="H22" t="s">
        <v>1095</v>
      </c>
    </row>
    <row r="23" spans="7:8" x14ac:dyDescent="0.3">
      <c r="G23" t="s">
        <v>1096</v>
      </c>
      <c r="H23" t="s">
        <v>1097</v>
      </c>
    </row>
    <row r="24" spans="7:8" x14ac:dyDescent="0.3">
      <c r="G24" t="s">
        <v>1087</v>
      </c>
      <c r="H24" t="s">
        <v>1098</v>
      </c>
    </row>
    <row r="25" spans="7:8" x14ac:dyDescent="0.3">
      <c r="G25" t="s">
        <v>1090</v>
      </c>
      <c r="H25" t="s">
        <v>1099</v>
      </c>
    </row>
    <row r="26" spans="7:8" x14ac:dyDescent="0.3">
      <c r="G26" t="s">
        <v>1100</v>
      </c>
      <c r="H26" t="s">
        <v>1101</v>
      </c>
    </row>
    <row r="27" spans="7:8" x14ac:dyDescent="0.3">
      <c r="G27" t="s">
        <v>1102</v>
      </c>
      <c r="H27" t="s">
        <v>1103</v>
      </c>
    </row>
    <row r="28" spans="7:8" x14ac:dyDescent="0.3">
      <c r="G28" t="s">
        <v>1088</v>
      </c>
      <c r="H28" t="s">
        <v>1104</v>
      </c>
    </row>
    <row r="29" spans="7:8" x14ac:dyDescent="0.3">
      <c r="G29" t="s">
        <v>1105</v>
      </c>
      <c r="H29" t="s">
        <v>1106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13"/>
  <sheetViews>
    <sheetView workbookViewId="0">
      <selection activeCell="F2" sqref="F2:F6"/>
    </sheetView>
  </sheetViews>
  <sheetFormatPr baseColWidth="10" defaultRowHeight="16.5" x14ac:dyDescent="0.3"/>
  <cols>
    <col min="1" max="1" width="5.7109375" customWidth="1"/>
    <col min="2" max="2" width="40.7109375" customWidth="1"/>
    <col min="3" max="3" width="80.7109375" customWidth="1"/>
    <col min="5" max="5" width="17.42578125" bestFit="1" customWidth="1"/>
    <col min="6" max="6" width="39.42578125" bestFit="1" customWidth="1"/>
  </cols>
  <sheetData>
    <row r="1" spans="1:6" ht="24.95" customHeight="1" x14ac:dyDescent="0.3">
      <c r="A1" s="9" t="s">
        <v>0</v>
      </c>
      <c r="B1" s="9" t="s">
        <v>203</v>
      </c>
      <c r="C1" s="9" t="s">
        <v>214</v>
      </c>
    </row>
    <row r="2" spans="1:6" ht="24.95" customHeight="1" x14ac:dyDescent="0.3">
      <c r="A2" s="9" t="s">
        <v>204</v>
      </c>
      <c r="B2" s="9" t="s">
        <v>205</v>
      </c>
      <c r="C2" s="9" t="s">
        <v>207</v>
      </c>
      <c r="E2" t="s">
        <v>250</v>
      </c>
      <c r="F2" t="str">
        <f>CONCATENATE(E2,",",A2,",",B2,",",C2,") values")</f>
        <v>Insert into T_20_07 (,F_00,F_01,F_02) values</v>
      </c>
    </row>
    <row r="3" spans="1:6" ht="24.95" customHeight="1" x14ac:dyDescent="0.3">
      <c r="A3" s="1">
        <v>1</v>
      </c>
      <c r="B3" s="3" t="s">
        <v>247</v>
      </c>
      <c r="C3" s="2" t="s">
        <v>247</v>
      </c>
      <c r="F3" t="str">
        <f>CONCATENATE("(",A3,",'",B3,"','",C3,"'),")</f>
        <v>(1,'ACTIVE','ACTIVE'),</v>
      </c>
    </row>
    <row r="4" spans="1:6" ht="24.95" customHeight="1" x14ac:dyDescent="0.3">
      <c r="A4" s="1">
        <v>2</v>
      </c>
      <c r="B4" s="3" t="s">
        <v>248</v>
      </c>
      <c r="C4" s="2" t="s">
        <v>248</v>
      </c>
      <c r="F4" t="str">
        <f t="shared" ref="F4:F6" si="0">CONCATENATE("(",A4,",'",B4,"','",C4,"'),")</f>
        <v>(2,'MAINTENANCE','MAINTENANCE'),</v>
      </c>
    </row>
    <row r="5" spans="1:6" ht="24.95" customHeight="1" x14ac:dyDescent="0.3">
      <c r="A5" s="1">
        <v>3</v>
      </c>
      <c r="B5" s="3" t="s">
        <v>249</v>
      </c>
      <c r="C5" s="2" t="s">
        <v>249</v>
      </c>
      <c r="F5" t="str">
        <f t="shared" si="0"/>
        <v>(3,'DECOMMISSIONED','DECOMMISSIONED'),</v>
      </c>
    </row>
    <row r="6" spans="1:6" ht="24.95" customHeight="1" x14ac:dyDescent="0.3">
      <c r="A6" s="1">
        <v>4</v>
      </c>
      <c r="B6" s="3" t="s">
        <v>253</v>
      </c>
      <c r="C6" s="2" t="s">
        <v>251</v>
      </c>
      <c r="F6" t="str">
        <f t="shared" si="0"/>
        <v>(4,'FAILED','PANNE'),</v>
      </c>
    </row>
    <row r="7" spans="1:6" ht="24.95" customHeight="1" x14ac:dyDescent="0.3">
      <c r="A7" s="1">
        <v>5</v>
      </c>
      <c r="B7" s="3"/>
      <c r="C7" s="2"/>
    </row>
    <row r="8" spans="1:6" ht="24.95" customHeight="1" x14ac:dyDescent="0.3">
      <c r="A8" s="1">
        <v>6</v>
      </c>
      <c r="B8" s="3"/>
      <c r="C8" s="2"/>
    </row>
    <row r="9" spans="1:6" ht="24.95" customHeight="1" x14ac:dyDescent="0.3">
      <c r="A9" s="1">
        <v>7</v>
      </c>
      <c r="B9" s="3"/>
      <c r="C9" s="2"/>
    </row>
    <row r="10" spans="1:6" ht="24.95" customHeight="1" x14ac:dyDescent="0.3">
      <c r="A10" s="1">
        <v>8</v>
      </c>
      <c r="B10" s="3"/>
      <c r="C10" s="2"/>
    </row>
    <row r="11" spans="1:6" ht="24.95" customHeight="1" x14ac:dyDescent="0.3">
      <c r="A11" s="1">
        <v>9</v>
      </c>
      <c r="B11" s="3"/>
      <c r="C11" s="2"/>
    </row>
    <row r="12" spans="1:6" ht="24.95" customHeight="1" x14ac:dyDescent="0.3">
      <c r="A12" s="1">
        <v>8</v>
      </c>
      <c r="B12" s="3"/>
      <c r="C12" s="2"/>
    </row>
    <row r="13" spans="1:6" ht="24.95" customHeight="1" x14ac:dyDescent="0.3">
      <c r="A13" s="1">
        <v>9</v>
      </c>
      <c r="B13" s="3"/>
      <c r="C13" s="2"/>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0000"/>
  </sheetPr>
  <dimension ref="A1:T177"/>
  <sheetViews>
    <sheetView workbookViewId="0">
      <pane ySplit="2" topLeftCell="A3" activePane="bottomLeft" state="frozen"/>
      <selection activeCell="A2" sqref="A2"/>
      <selection pane="bottomLeft" activeCell="J79" sqref="J79:J81"/>
    </sheetView>
  </sheetViews>
  <sheetFormatPr baseColWidth="10" defaultRowHeight="16.5" x14ac:dyDescent="0.3"/>
  <cols>
    <col min="1" max="1" width="5.7109375" customWidth="1"/>
    <col min="2" max="2" width="34.42578125" bestFit="1" customWidth="1"/>
    <col min="3" max="3" width="40.7109375" customWidth="1"/>
    <col min="4" max="6" width="13.5703125" customWidth="1"/>
    <col min="7" max="7" width="12.5703125" customWidth="1"/>
    <col min="8" max="8" width="13.5703125" customWidth="1"/>
    <col min="10" max="10" width="99.5703125" bestFit="1" customWidth="1"/>
  </cols>
  <sheetData>
    <row r="1" spans="1:10" ht="30" customHeight="1" x14ac:dyDescent="0.3">
      <c r="A1" s="9" t="s">
        <v>0</v>
      </c>
      <c r="B1" s="9" t="s">
        <v>206</v>
      </c>
      <c r="C1" s="9" t="s">
        <v>203</v>
      </c>
      <c r="D1" s="14" t="s">
        <v>1121</v>
      </c>
      <c r="E1" s="14" t="s">
        <v>1122</v>
      </c>
      <c r="F1" s="14" t="s">
        <v>1123</v>
      </c>
      <c r="G1" s="14" t="s">
        <v>1124</v>
      </c>
      <c r="H1" s="14" t="s">
        <v>284</v>
      </c>
    </row>
    <row r="2" spans="1:10" ht="24.95" customHeight="1" x14ac:dyDescent="0.3">
      <c r="A2" s="9" t="s">
        <v>204</v>
      </c>
      <c r="B2" s="9" t="s">
        <v>205</v>
      </c>
      <c r="C2" s="9" t="s">
        <v>207</v>
      </c>
      <c r="D2" s="9" t="s">
        <v>208</v>
      </c>
      <c r="E2" s="9" t="s">
        <v>213</v>
      </c>
      <c r="F2" s="9" t="s">
        <v>210</v>
      </c>
      <c r="G2" s="9" t="s">
        <v>226</v>
      </c>
      <c r="H2" s="9" t="s">
        <v>226</v>
      </c>
      <c r="I2" t="s">
        <v>1467</v>
      </c>
      <c r="J2" t="str">
        <f>CONCATENATE(I2,A2,",",B2,",",C2,",",D2,",",E2,",",F2,",",G2,") values")</f>
        <v>Insert into T_03_03_01 (F_00,F_01,F_02,F_03,F_04,F_05,F_06) values</v>
      </c>
    </row>
    <row r="3" spans="1:10" ht="24.95" hidden="1" customHeight="1" x14ac:dyDescent="0.3">
      <c r="A3" s="1">
        <v>1</v>
      </c>
      <c r="B3" s="2" t="s">
        <v>11</v>
      </c>
      <c r="C3" s="47" t="s">
        <v>1148</v>
      </c>
      <c r="D3" s="48" t="s">
        <v>1650</v>
      </c>
      <c r="E3" s="48" t="s">
        <v>1651</v>
      </c>
      <c r="F3" s="48"/>
      <c r="G3" s="2">
        <v>1</v>
      </c>
      <c r="H3" s="2" t="s">
        <v>224</v>
      </c>
      <c r="J3" t="str">
        <f>CONCATENATE("(",A3,",'",B3,"','",C3,"','",TEXT(D3,"yyyy-mm-dd"),"','",TEXT(E3,"yyyy-mm-dd"),"','",TEXT(F3,"yyyy-mm-dd"),"',",G3,"),")</f>
        <v>(1,'CNDG','Centre National de Dispatching Gaz','1983-01-01','1985-01-01','1900-01-00',1),</v>
      </c>
    </row>
    <row r="4" spans="1:10" ht="24.95" hidden="1" customHeight="1" x14ac:dyDescent="0.3">
      <c r="A4" s="1">
        <v>2</v>
      </c>
      <c r="B4" s="2" t="s">
        <v>10</v>
      </c>
      <c r="C4" s="47" t="s">
        <v>1134</v>
      </c>
      <c r="D4" s="48" t="s">
        <v>1652</v>
      </c>
      <c r="E4" s="48" t="s">
        <v>1217</v>
      </c>
      <c r="F4" s="48"/>
      <c r="G4" s="2">
        <v>1</v>
      </c>
      <c r="H4" s="2" t="s">
        <v>224</v>
      </c>
      <c r="J4" t="str">
        <f t="shared" ref="J4:J67" si="0">CONCATENATE("(",A4,",'",B4,"','",C4,"','",TEXT(D4,"yyyy-mm-dd"),"','",TEXT(E4,"yyyy-mm-dd"),"','",TEXT(F4,"yyyy-mm-dd"),"',",G4,"),")</f>
        <v>(2,'CDHL','Centre de Dispatching des Hydrocarbures Liquides','1980-01-01','1982-01-01','1900-01-00',1),</v>
      </c>
    </row>
    <row r="5" spans="1:10" ht="24.95" hidden="1" customHeight="1" x14ac:dyDescent="0.3">
      <c r="A5" s="1">
        <v>3</v>
      </c>
      <c r="B5" s="2" t="s">
        <v>1139</v>
      </c>
      <c r="C5" s="47" t="s">
        <v>1140</v>
      </c>
      <c r="D5" s="48" t="s">
        <v>1653</v>
      </c>
      <c r="E5" s="48" t="s">
        <v>1654</v>
      </c>
      <c r="F5" s="48"/>
      <c r="G5" s="2">
        <v>1</v>
      </c>
      <c r="H5" s="2" t="s">
        <v>224</v>
      </c>
      <c r="J5" t="str">
        <f t="shared" si="0"/>
        <v>(3,'PEHZ','Port d'Exportation des Hydrocarbures d'Arzew','1964-01-01','1965-01-01','1900-01-00',1),</v>
      </c>
    </row>
    <row r="6" spans="1:10" ht="24.95" hidden="1" customHeight="1" x14ac:dyDescent="0.3">
      <c r="A6" s="1">
        <v>4</v>
      </c>
      <c r="B6" s="2" t="s">
        <v>1142</v>
      </c>
      <c r="C6" s="47" t="s">
        <v>1141</v>
      </c>
      <c r="D6" s="48" t="s">
        <v>1655</v>
      </c>
      <c r="E6" s="48" t="s">
        <v>1241</v>
      </c>
      <c r="F6" s="48"/>
      <c r="G6" s="2">
        <v>1</v>
      </c>
      <c r="H6" s="2" t="s">
        <v>224</v>
      </c>
      <c r="J6" t="str">
        <f t="shared" si="0"/>
        <v>(4,'PEHK','Port d'Exportation des Hydrocarbures de Skikda','1970-01-01','1971-01-01','1900-01-00',1),</v>
      </c>
    </row>
    <row r="7" spans="1:10" ht="24.95" hidden="1" customHeight="1" x14ac:dyDescent="0.3">
      <c r="A7" s="1">
        <v>5</v>
      </c>
      <c r="B7" s="2" t="s">
        <v>1144</v>
      </c>
      <c r="C7" s="47" t="s">
        <v>1143</v>
      </c>
      <c r="D7" s="48" t="s">
        <v>1216</v>
      </c>
      <c r="E7" s="48" t="s">
        <v>1230</v>
      </c>
      <c r="F7" s="48"/>
      <c r="G7" s="2">
        <v>1</v>
      </c>
      <c r="H7" s="2" t="s">
        <v>224</v>
      </c>
      <c r="J7" t="str">
        <f t="shared" si="0"/>
        <v>(5,'PEHB','Port d'Exportation des Hydrocarbures de Bejaia','1960-01-01','1961-01-01','1900-01-00',1),</v>
      </c>
    </row>
    <row r="8" spans="1:10" ht="24.95" hidden="1" customHeight="1" x14ac:dyDescent="0.3">
      <c r="A8" s="1">
        <v>6</v>
      </c>
      <c r="B8" s="2" t="s">
        <v>1146</v>
      </c>
      <c r="C8" s="47" t="s">
        <v>1145</v>
      </c>
      <c r="D8" s="48" t="s">
        <v>1653</v>
      </c>
      <c r="E8" s="48" t="s">
        <v>1653</v>
      </c>
      <c r="F8" s="48"/>
      <c r="G8" s="2">
        <v>1</v>
      </c>
      <c r="H8" s="2" t="s">
        <v>224</v>
      </c>
      <c r="J8" t="str">
        <f t="shared" si="0"/>
        <v>(6,'ULGNZ','Usine de Liquéfaction de Gaz Naturel d'Arzew','1964-01-01','1964-01-01','1900-01-00',1),</v>
      </c>
    </row>
    <row r="9" spans="1:10" ht="24.95" hidden="1" customHeight="1" x14ac:dyDescent="0.3">
      <c r="A9" s="1">
        <v>7</v>
      </c>
      <c r="B9" s="2" t="s">
        <v>1147</v>
      </c>
      <c r="C9" s="47" t="s">
        <v>1152</v>
      </c>
      <c r="D9" s="48" t="s">
        <v>1655</v>
      </c>
      <c r="E9" s="48" t="s">
        <v>1213</v>
      </c>
      <c r="F9" s="48"/>
      <c r="G9" s="2">
        <v>1</v>
      </c>
      <c r="H9" s="2" t="s">
        <v>224</v>
      </c>
      <c r="J9" t="str">
        <f t="shared" si="0"/>
        <v>(7,'ULGNK','Usine de Liquéfaction de Gaz Naturel 
de Skikda','1970-01-01','1972-01-01','1900-01-00',1),</v>
      </c>
    </row>
    <row r="10" spans="1:10" ht="24.95" hidden="1" customHeight="1" x14ac:dyDescent="0.3">
      <c r="A10" s="1">
        <v>8</v>
      </c>
      <c r="B10" s="2" t="s">
        <v>1264</v>
      </c>
      <c r="C10" s="47" t="s">
        <v>1365</v>
      </c>
      <c r="D10" s="48" t="s">
        <v>1655</v>
      </c>
      <c r="E10" s="48" t="s">
        <v>1213</v>
      </c>
      <c r="F10" s="48"/>
      <c r="G10" s="2">
        <v>1</v>
      </c>
      <c r="H10" s="2" t="s">
        <v>224</v>
      </c>
      <c r="J10" t="str">
        <f t="shared" si="0"/>
        <v>(8,'TEO','Terminal d'Exportation d'Oued Saf Saf','1970-01-01','1972-01-01','1900-01-00',1),</v>
      </c>
    </row>
    <row r="11" spans="1:10" ht="24.95" hidden="1" customHeight="1" x14ac:dyDescent="0.3">
      <c r="A11" s="1">
        <v>9</v>
      </c>
      <c r="B11" s="2" t="s">
        <v>1434</v>
      </c>
      <c r="C11" s="47" t="s">
        <v>1433</v>
      </c>
      <c r="D11" s="48" t="s">
        <v>1655</v>
      </c>
      <c r="E11" s="48" t="s">
        <v>1213</v>
      </c>
      <c r="F11" s="48"/>
      <c r="G11" s="2">
        <v>1</v>
      </c>
      <c r="H11" s="2" t="s">
        <v>224</v>
      </c>
      <c r="J11" t="str">
        <f t="shared" si="0"/>
        <v>(9,'TED','Terminal d'Exportation du DEB DEB','1970-01-01','1972-01-01','1900-01-00',1),</v>
      </c>
    </row>
    <row r="12" spans="1:10" ht="24.95" hidden="1" customHeight="1" x14ac:dyDescent="0.3">
      <c r="A12" s="1">
        <v>10</v>
      </c>
      <c r="B12" s="2" t="s">
        <v>1375</v>
      </c>
      <c r="C12" s="47" t="s">
        <v>319</v>
      </c>
      <c r="D12" s="48" t="s">
        <v>1230</v>
      </c>
      <c r="E12" s="48" t="s">
        <v>1653</v>
      </c>
      <c r="F12" s="48"/>
      <c r="G12" s="2">
        <v>1</v>
      </c>
      <c r="H12" s="2" t="s">
        <v>224</v>
      </c>
      <c r="J12" t="str">
        <f t="shared" si="0"/>
        <v>(10,'RA1G','Raffinerie d'Alger','1961-01-01','1964-01-01','1900-01-00',1),</v>
      </c>
    </row>
    <row r="13" spans="1:10" ht="24.95" hidden="1" customHeight="1" x14ac:dyDescent="0.3">
      <c r="A13" s="1">
        <v>11</v>
      </c>
      <c r="B13" s="2" t="s">
        <v>1376</v>
      </c>
      <c r="C13" s="47" t="s">
        <v>1153</v>
      </c>
      <c r="D13" s="48" t="s">
        <v>1655</v>
      </c>
      <c r="E13" s="48" t="s">
        <v>1213</v>
      </c>
      <c r="F13" s="48"/>
      <c r="G13" s="2">
        <v>1</v>
      </c>
      <c r="H13" s="2" t="s">
        <v>224</v>
      </c>
      <c r="J13" t="str">
        <f t="shared" si="0"/>
        <v>(11,'RA1Z','Raffinerie d'Arzew','1970-01-01','1972-01-01','1900-01-00',1),</v>
      </c>
    </row>
    <row r="14" spans="1:10" ht="24.95" hidden="1" customHeight="1" x14ac:dyDescent="0.3">
      <c r="A14" s="1">
        <v>12</v>
      </c>
      <c r="B14" s="2" t="s">
        <v>1377</v>
      </c>
      <c r="C14" s="47" t="s">
        <v>1154</v>
      </c>
      <c r="D14" s="48">
        <v>39814</v>
      </c>
      <c r="E14" s="48">
        <v>39814</v>
      </c>
      <c r="F14" s="48"/>
      <c r="G14" s="2">
        <v>1</v>
      </c>
      <c r="H14" s="2" t="s">
        <v>224</v>
      </c>
      <c r="J14" t="str">
        <f t="shared" si="0"/>
        <v>(12,'RA2K','Raffinerie de Skikda','2009-01-01','2009-01-01','1900-01-00',1),</v>
      </c>
    </row>
    <row r="15" spans="1:10" ht="24.95" hidden="1" customHeight="1" x14ac:dyDescent="0.3">
      <c r="A15" s="1">
        <v>13</v>
      </c>
      <c r="B15" s="2" t="s">
        <v>1379</v>
      </c>
      <c r="C15" s="47" t="s">
        <v>1154</v>
      </c>
      <c r="D15" s="48" t="s">
        <v>1652</v>
      </c>
      <c r="E15" s="48" t="s">
        <v>1249</v>
      </c>
      <c r="F15" s="48"/>
      <c r="G15" s="2">
        <v>1</v>
      </c>
      <c r="H15" s="2" t="s">
        <v>224</v>
      </c>
      <c r="J15" t="str">
        <f t="shared" si="0"/>
        <v>(13,'RA1K','Raffinerie de Skikda','1980-01-01','1981-01-01','1900-01-00',1),</v>
      </c>
    </row>
    <row r="16" spans="1:10" ht="24.95" hidden="1" customHeight="1" x14ac:dyDescent="0.3">
      <c r="A16" s="1">
        <v>14</v>
      </c>
      <c r="B16" s="2" t="s">
        <v>1378</v>
      </c>
      <c r="C16" s="47" t="s">
        <v>1155</v>
      </c>
      <c r="D16" s="48" t="s">
        <v>1222</v>
      </c>
      <c r="E16" s="48" t="s">
        <v>1656</v>
      </c>
      <c r="F16" s="48"/>
      <c r="G16" s="2">
        <v>1</v>
      </c>
      <c r="H16" s="2" t="s">
        <v>224</v>
      </c>
      <c r="J16" t="str">
        <f t="shared" si="0"/>
        <v>(14,'RHMD2','Raffinerie de Hassi Messaoud','2006-01-01','2007-01-01','1900-01-00',1),</v>
      </c>
    </row>
    <row r="17" spans="1:20" ht="24.95" hidden="1" customHeight="1" x14ac:dyDescent="0.3">
      <c r="A17" s="1">
        <v>15</v>
      </c>
      <c r="B17" s="2" t="s">
        <v>1374</v>
      </c>
      <c r="C17" s="47" t="s">
        <v>1156</v>
      </c>
      <c r="D17" s="48" t="s">
        <v>1242</v>
      </c>
      <c r="E17" s="48" t="s">
        <v>1652</v>
      </c>
      <c r="F17" s="48"/>
      <c r="G17" s="2">
        <v>1</v>
      </c>
      <c r="H17" s="2" t="s">
        <v>224</v>
      </c>
      <c r="J17" t="str">
        <f t="shared" si="0"/>
        <v>(15,'RA1D','Raffinerie d'Adrar','1978-01-01','1980-01-01','1900-01-00',1),</v>
      </c>
    </row>
    <row r="18" spans="1:20" ht="24.95" hidden="1" customHeight="1" x14ac:dyDescent="0.3">
      <c r="A18" s="1">
        <v>16</v>
      </c>
      <c r="B18" s="2" t="s">
        <v>1211</v>
      </c>
      <c r="C18" s="47" t="s">
        <v>1373</v>
      </c>
      <c r="D18" s="48">
        <v>37987</v>
      </c>
      <c r="E18" s="48">
        <v>37987</v>
      </c>
      <c r="F18" s="48"/>
      <c r="G18" s="2">
        <v>1</v>
      </c>
      <c r="H18" s="2" t="s">
        <v>224</v>
      </c>
      <c r="J18" t="str">
        <f t="shared" si="0"/>
        <v>(16,'CP2K','Complexe Pétrochimique de Skikda','2004-01-01','2004-01-01','1900-01-00',1),</v>
      </c>
    </row>
    <row r="19" spans="1:20" ht="24.95" hidden="1" customHeight="1" x14ac:dyDescent="0.3">
      <c r="A19" s="1">
        <v>17</v>
      </c>
      <c r="B19" s="2" t="s">
        <v>1367</v>
      </c>
      <c r="C19" s="47" t="s">
        <v>1268</v>
      </c>
      <c r="D19" s="48">
        <v>37622</v>
      </c>
      <c r="E19" s="48">
        <v>37622</v>
      </c>
      <c r="F19" s="48"/>
      <c r="G19" s="2">
        <v>1</v>
      </c>
      <c r="H19" s="2" t="s">
        <v>224</v>
      </c>
      <c r="J19" t="str">
        <f t="shared" si="0"/>
        <v>(17,'SP1-OZ1/OZ2','Station de Pompage de Haoud El Hamra','2003-01-01','2003-01-01','1900-01-00',1),</v>
      </c>
      <c r="K19" t="s">
        <v>1436</v>
      </c>
      <c r="L19" t="s">
        <v>1437</v>
      </c>
      <c r="R19" s="50">
        <v>38899</v>
      </c>
      <c r="S19" s="50">
        <v>38899</v>
      </c>
    </row>
    <row r="20" spans="1:20" ht="24.95" hidden="1" customHeight="1" x14ac:dyDescent="0.3">
      <c r="A20" s="1">
        <v>18</v>
      </c>
      <c r="B20" s="2" t="s">
        <v>1368</v>
      </c>
      <c r="C20" s="47" t="s">
        <v>1269</v>
      </c>
      <c r="D20" s="48">
        <v>37987</v>
      </c>
      <c r="E20" s="48">
        <v>37987</v>
      </c>
      <c r="F20" s="48"/>
      <c r="G20" s="2">
        <v>1</v>
      </c>
      <c r="H20" s="2" t="s">
        <v>224</v>
      </c>
      <c r="J20" t="str">
        <f t="shared" si="0"/>
        <v>(18,'SP2-OZ1/OZ2','Station de Pompage d'Ouargla','2004-01-01','2004-01-01','1900-01-00',1),</v>
      </c>
      <c r="L20" t="e">
        <f>CONCATENATE("(",A20,",",#REF!,"),")</f>
        <v>#REF!</v>
      </c>
      <c r="R20" s="50">
        <v>23743</v>
      </c>
      <c r="S20" s="50">
        <v>23743</v>
      </c>
      <c r="T20" s="50">
        <v>42248</v>
      </c>
    </row>
    <row r="21" spans="1:20" ht="24.95" hidden="1" customHeight="1" x14ac:dyDescent="0.3">
      <c r="A21" s="1">
        <v>19</v>
      </c>
      <c r="B21" s="2" t="s">
        <v>1369</v>
      </c>
      <c r="C21" s="47" t="s">
        <v>1270</v>
      </c>
      <c r="D21" s="48">
        <v>37622</v>
      </c>
      <c r="E21" s="48">
        <v>37622</v>
      </c>
      <c r="F21" s="48"/>
      <c r="G21" s="2">
        <v>1</v>
      </c>
      <c r="H21" s="2" t="s">
        <v>224</v>
      </c>
      <c r="J21" t="str">
        <f t="shared" si="0"/>
        <v>(19,'SP3-OZ1/OZ2','Station de Pompage d'Al Atteuf','2003-01-01','2003-01-01','1900-01-00',1),</v>
      </c>
      <c r="L21" t="e">
        <f>CONCATENATE("(",A21,",",#REF!,"),")</f>
        <v>#REF!</v>
      </c>
      <c r="R21" s="50">
        <v>28856</v>
      </c>
      <c r="S21" s="50">
        <v>28856</v>
      </c>
    </row>
    <row r="22" spans="1:20" ht="24.95" hidden="1" customHeight="1" x14ac:dyDescent="0.3">
      <c r="A22" s="1">
        <v>20</v>
      </c>
      <c r="B22" s="2" t="s">
        <v>1370</v>
      </c>
      <c r="C22" s="47" t="s">
        <v>1271</v>
      </c>
      <c r="D22" s="48">
        <v>37987</v>
      </c>
      <c r="E22" s="48">
        <v>37987</v>
      </c>
      <c r="F22" s="48"/>
      <c r="G22" s="2">
        <v>1</v>
      </c>
      <c r="H22" s="2" t="s">
        <v>224</v>
      </c>
      <c r="J22" t="str">
        <f t="shared" si="0"/>
        <v>(20,'SP4-OZ1/OZ2','Station de Pompage de Hassi R'mel','2004-01-01','2004-01-01','1900-01-00',1),</v>
      </c>
      <c r="L22" t="e">
        <f>CONCATENATE("(",A22,",",#REF!,"),")</f>
        <v>#REF!</v>
      </c>
      <c r="R22" s="50">
        <v>35065</v>
      </c>
      <c r="S22" s="50">
        <v>35065</v>
      </c>
    </row>
    <row r="23" spans="1:20" ht="24.95" hidden="1" customHeight="1" x14ac:dyDescent="0.3">
      <c r="A23" s="1">
        <v>21</v>
      </c>
      <c r="B23" s="2" t="s">
        <v>1371</v>
      </c>
      <c r="C23" s="47" t="s">
        <v>1272</v>
      </c>
      <c r="D23" s="48">
        <v>37622</v>
      </c>
      <c r="E23" s="48">
        <v>37622</v>
      </c>
      <c r="F23" s="48"/>
      <c r="G23" s="2">
        <v>1</v>
      </c>
      <c r="H23" s="2" t="s">
        <v>224</v>
      </c>
      <c r="J23" t="str">
        <f t="shared" si="0"/>
        <v>(21,'SP5-OZ1/OZ2','Station de Pompage de Milok','2003-01-01','2003-01-01','1900-01-00',1),</v>
      </c>
      <c r="L23" t="e">
        <f>CONCATENATE("(",A23,",",#REF!,"),")</f>
        <v>#REF!</v>
      </c>
      <c r="R23" s="50">
        <v>37898</v>
      </c>
      <c r="S23" s="50">
        <v>37898</v>
      </c>
    </row>
    <row r="24" spans="1:20" ht="24.95" hidden="1" customHeight="1" x14ac:dyDescent="0.3">
      <c r="A24" s="1">
        <v>22</v>
      </c>
      <c r="B24" s="2" t="s">
        <v>1372</v>
      </c>
      <c r="C24" s="47" t="s">
        <v>1273</v>
      </c>
      <c r="D24" s="48">
        <v>37987</v>
      </c>
      <c r="E24" s="48">
        <v>37987</v>
      </c>
      <c r="F24" s="48"/>
      <c r="G24" s="2">
        <v>1</v>
      </c>
      <c r="H24" s="2" t="s">
        <v>224</v>
      </c>
      <c r="J24" t="str">
        <f t="shared" si="0"/>
        <v>(22,'SP6-OZ1/OZ2','Station de Pompage de Djebil','2004-01-01','2004-01-01','1900-01-00',1),</v>
      </c>
      <c r="L24" t="e">
        <f>CONCATENATE("(",A24,",",#REF!,"),")</f>
        <v>#REF!</v>
      </c>
      <c r="R24" s="50">
        <v>26299</v>
      </c>
      <c r="S24" s="50">
        <v>26299</v>
      </c>
      <c r="T24" s="50">
        <v>42248</v>
      </c>
    </row>
    <row r="25" spans="1:20" ht="24.95" hidden="1" customHeight="1" x14ac:dyDescent="0.3">
      <c r="A25" s="1">
        <v>23</v>
      </c>
      <c r="B25" s="2" t="s">
        <v>1274</v>
      </c>
      <c r="C25" s="47" t="s">
        <v>1268</v>
      </c>
      <c r="D25" s="48">
        <v>26299</v>
      </c>
      <c r="E25" s="48">
        <v>26299</v>
      </c>
      <c r="F25" s="48"/>
      <c r="G25" s="2">
        <v>1</v>
      </c>
      <c r="H25" s="2" t="s">
        <v>224</v>
      </c>
      <c r="J25" t="str">
        <f t="shared" si="0"/>
        <v>(23,'SP1-OK1','Station de Pompage de Haoud El Hamra','1972-01-01','1972-01-01','1900-01-00',1),</v>
      </c>
      <c r="L25" t="e">
        <f>CONCATENATE("(",A25,",",#REF!,"),")</f>
        <v>#REF!</v>
      </c>
      <c r="R25" s="50">
        <v>28491</v>
      </c>
      <c r="S25" s="50">
        <v>28491</v>
      </c>
    </row>
    <row r="26" spans="1:20" ht="24.95" hidden="1" customHeight="1" x14ac:dyDescent="0.3">
      <c r="A26" s="1">
        <v>24</v>
      </c>
      <c r="B26" s="2" t="s">
        <v>1281</v>
      </c>
      <c r="C26" s="47" t="s">
        <v>1280</v>
      </c>
      <c r="D26" s="48">
        <v>27760</v>
      </c>
      <c r="E26" s="48">
        <v>27760</v>
      </c>
      <c r="F26" s="48"/>
      <c r="G26" s="2">
        <v>1</v>
      </c>
      <c r="H26" s="2" t="s">
        <v>224</v>
      </c>
      <c r="J26" t="str">
        <f t="shared" si="0"/>
        <v>(24,'SP2-OK1','Station de Pompage de Djamaa','1976-01-01','1976-01-01','1900-01-00',1),</v>
      </c>
      <c r="L26" t="e">
        <f>CONCATENATE("(",A26,",",#REF!,"),")</f>
        <v>#REF!</v>
      </c>
      <c r="R26" s="50">
        <v>38961</v>
      </c>
      <c r="S26" s="50">
        <v>38961</v>
      </c>
    </row>
    <row r="27" spans="1:20" ht="24.95" hidden="1" customHeight="1" x14ac:dyDescent="0.3">
      <c r="A27" s="1">
        <v>25</v>
      </c>
      <c r="B27" s="2" t="s">
        <v>1275</v>
      </c>
      <c r="C27" s="47" t="s">
        <v>1279</v>
      </c>
      <c r="D27" s="48">
        <v>26299</v>
      </c>
      <c r="E27" s="48">
        <v>26299</v>
      </c>
      <c r="F27" s="48"/>
      <c r="G27" s="2">
        <v>1</v>
      </c>
      <c r="H27" s="2" t="s">
        <v>224</v>
      </c>
      <c r="J27" t="str">
        <f t="shared" si="0"/>
        <v>(25,'SP3-OK1','Station de Pompage de Selga','1972-01-01','1972-01-01','1900-01-00',1),</v>
      </c>
      <c r="L27" t="e">
        <f>CONCATENATE("(",A27,",",#REF!,"),")</f>
        <v>#REF!</v>
      </c>
      <c r="R27" s="50">
        <v>38031</v>
      </c>
      <c r="S27" s="50">
        <v>38031</v>
      </c>
    </row>
    <row r="28" spans="1:20" ht="24.95" hidden="1" customHeight="1" x14ac:dyDescent="0.3">
      <c r="A28" s="1">
        <v>26</v>
      </c>
      <c r="B28" s="2" t="s">
        <v>1276</v>
      </c>
      <c r="C28" s="47" t="s">
        <v>1279</v>
      </c>
      <c r="D28" s="48">
        <v>38353</v>
      </c>
      <c r="E28" s="48">
        <v>38353</v>
      </c>
      <c r="F28" s="48"/>
      <c r="G28" s="2">
        <v>1</v>
      </c>
      <c r="H28" s="2" t="s">
        <v>224</v>
      </c>
      <c r="J28" t="str">
        <f t="shared" si="0"/>
        <v>(26,'SP3 Bis-OK1','Station de Pompage de Selga','2005-01-01','2005-01-01','1900-01-00',1),</v>
      </c>
      <c r="L28" t="e">
        <f>CONCATENATE("(",A28,",",#REF!,"),")</f>
        <v>#REF!</v>
      </c>
      <c r="R28" s="50">
        <v>38718</v>
      </c>
      <c r="S28" s="50">
        <v>38718</v>
      </c>
    </row>
    <row r="29" spans="1:20" ht="24.95" hidden="1" customHeight="1" x14ac:dyDescent="0.3">
      <c r="A29" s="1">
        <v>27</v>
      </c>
      <c r="B29" s="2" t="s">
        <v>1277</v>
      </c>
      <c r="C29" s="47" t="s">
        <v>1278</v>
      </c>
      <c r="D29" s="48">
        <v>27760</v>
      </c>
      <c r="E29" s="48">
        <v>27760</v>
      </c>
      <c r="F29" s="48"/>
      <c r="G29" s="2">
        <v>1</v>
      </c>
      <c r="H29" s="2" t="s">
        <v>224</v>
      </c>
      <c r="J29" t="str">
        <f t="shared" si="0"/>
        <v>(27,'SP4-OK1','Station de Pompage de Boumagueur','1976-01-01','1976-01-01','1900-01-00',1),</v>
      </c>
      <c r="L29" t="e">
        <f>CONCATENATE("(",A29,",",#REF!,"),")</f>
        <v>#REF!</v>
      </c>
      <c r="R29" s="50">
        <v>23743</v>
      </c>
      <c r="S29" s="50">
        <v>23743</v>
      </c>
      <c r="T29" s="50">
        <v>42248</v>
      </c>
    </row>
    <row r="30" spans="1:20" ht="24.95" hidden="1" customHeight="1" x14ac:dyDescent="0.3">
      <c r="A30" s="1">
        <v>28</v>
      </c>
      <c r="B30" s="2" t="s">
        <v>1283</v>
      </c>
      <c r="C30" s="47" t="s">
        <v>1268</v>
      </c>
      <c r="D30" s="48">
        <v>43647</v>
      </c>
      <c r="E30" s="48">
        <v>43647</v>
      </c>
      <c r="F30" s="48"/>
      <c r="G30" s="2">
        <v>1</v>
      </c>
      <c r="H30" s="2" t="s">
        <v>224</v>
      </c>
      <c r="J30" t="str">
        <f t="shared" si="0"/>
        <v>(28,'SP1-ROB1','Station de Pompage de Haoud El Hamra','2019-07-01','2019-07-01','1900-01-00',1),</v>
      </c>
      <c r="L30" t="e">
        <f>CONCATENATE("(",A30,",",#REF!,"),")</f>
        <v>#REF!</v>
      </c>
      <c r="R30" s="50">
        <v>28856</v>
      </c>
      <c r="S30" s="50">
        <v>28856</v>
      </c>
    </row>
    <row r="31" spans="1:20" ht="24.95" hidden="1" customHeight="1" x14ac:dyDescent="0.3">
      <c r="A31" s="1">
        <v>29</v>
      </c>
      <c r="B31" s="2" t="s">
        <v>1285</v>
      </c>
      <c r="C31" s="47" t="s">
        <v>1280</v>
      </c>
      <c r="D31" s="48">
        <v>39083</v>
      </c>
      <c r="E31" s="48">
        <v>39083</v>
      </c>
      <c r="F31" s="48"/>
      <c r="G31" s="2">
        <v>1</v>
      </c>
      <c r="H31" s="2" t="s">
        <v>224</v>
      </c>
      <c r="J31" t="str">
        <f t="shared" si="0"/>
        <v>(29,'SP1 Bis-OB1','Station de Pompage de Djamaa','2007-01-01','2007-01-01','1900-01-00',1),</v>
      </c>
      <c r="L31" t="e">
        <f>CONCATENATE("(",A31,",",#REF!,"),")</f>
        <v>#REF!</v>
      </c>
      <c r="R31" s="50">
        <v>31413</v>
      </c>
      <c r="S31" s="50">
        <v>31413</v>
      </c>
      <c r="T31" s="50">
        <v>36526</v>
      </c>
    </row>
    <row r="32" spans="1:20" ht="24.95" hidden="1" customHeight="1" x14ac:dyDescent="0.3">
      <c r="A32" s="1">
        <v>30</v>
      </c>
      <c r="B32" s="2" t="s">
        <v>1286</v>
      </c>
      <c r="C32" s="47" t="s">
        <v>1284</v>
      </c>
      <c r="D32" s="48">
        <v>39684</v>
      </c>
      <c r="E32" s="48">
        <v>39684</v>
      </c>
      <c r="F32" s="48"/>
      <c r="G32" s="2">
        <v>1</v>
      </c>
      <c r="H32" s="2" t="s">
        <v>224</v>
      </c>
      <c r="J32" t="str">
        <f t="shared" si="0"/>
        <v>(30,'SP2-OB1','Station de Pompage d'El Outaya','2008-08-24','2008-08-24','1900-01-00',1),</v>
      </c>
      <c r="L32" t="e">
        <f>CONCATENATE("(",A32,",",#REF!,"),")</f>
        <v>#REF!</v>
      </c>
      <c r="R32" s="50">
        <v>26299</v>
      </c>
      <c r="S32" s="50">
        <v>26299</v>
      </c>
      <c r="T32" s="50">
        <v>42248</v>
      </c>
    </row>
    <row r="33" spans="1:19" ht="24.95" hidden="1" customHeight="1" x14ac:dyDescent="0.3">
      <c r="A33" s="1">
        <v>31</v>
      </c>
      <c r="B33" s="2" t="s">
        <v>1287</v>
      </c>
      <c r="C33" s="47" t="s">
        <v>1288</v>
      </c>
      <c r="D33" s="48">
        <v>39448</v>
      </c>
      <c r="E33" s="48">
        <v>39448</v>
      </c>
      <c r="F33" s="48"/>
      <c r="G33" s="2">
        <v>1</v>
      </c>
      <c r="H33" s="2" t="s">
        <v>224</v>
      </c>
      <c r="J33" t="str">
        <f t="shared" si="0"/>
        <v>(31,'SP3-OB1','Station de Pompage de M'sila','2008-01-01','2008-01-01','1900-01-00',1),</v>
      </c>
      <c r="L33" t="e">
        <f>CONCATENATE("(",A33,",",#REF!,"),")</f>
        <v>#REF!</v>
      </c>
      <c r="R33" s="50">
        <v>28491</v>
      </c>
      <c r="S33" s="50">
        <v>28491</v>
      </c>
    </row>
    <row r="34" spans="1:19" ht="24.95" hidden="1" customHeight="1" x14ac:dyDescent="0.3">
      <c r="A34" s="1">
        <v>32</v>
      </c>
      <c r="B34" s="2" t="s">
        <v>1289</v>
      </c>
      <c r="C34" s="47" t="s">
        <v>1290</v>
      </c>
      <c r="D34" s="48">
        <v>38895</v>
      </c>
      <c r="E34" s="48">
        <v>38895</v>
      </c>
      <c r="F34" s="48"/>
      <c r="G34" s="2">
        <v>1</v>
      </c>
      <c r="H34" s="2" t="s">
        <v>224</v>
      </c>
      <c r="J34" t="str">
        <f t="shared" si="0"/>
        <v>(32,'SP1-OG1','Station de Pompage de Beni Mansour','2006-06-27','2006-06-27','1900-01-00',1),</v>
      </c>
      <c r="L34" t="e">
        <f>CONCATENATE("(",A34,",",#REF!,"),")</f>
        <v>#REF!</v>
      </c>
      <c r="R34" s="50">
        <v>28856</v>
      </c>
      <c r="S34" s="50">
        <v>28856</v>
      </c>
    </row>
    <row r="35" spans="1:19" ht="24.95" hidden="1" customHeight="1" x14ac:dyDescent="0.3">
      <c r="A35" s="1">
        <v>33</v>
      </c>
      <c r="B35" s="2" t="s">
        <v>1291</v>
      </c>
      <c r="C35" s="47" t="s">
        <v>1293</v>
      </c>
      <c r="D35" s="48">
        <v>21916</v>
      </c>
      <c r="E35" s="48">
        <v>21916</v>
      </c>
      <c r="F35" s="48"/>
      <c r="G35" s="2">
        <v>1</v>
      </c>
      <c r="H35" s="2" t="s">
        <v>224</v>
      </c>
      <c r="J35" t="str">
        <f t="shared" si="0"/>
        <v>(33,'SP1-OT1','Station de Pompage d'In Amenas','1960-01-01','1960-01-01','1900-01-00',1),</v>
      </c>
      <c r="L35" t="e">
        <f>CONCATENATE("(",A35,",",#REF!,"),")</f>
        <v>#REF!</v>
      </c>
      <c r="R35" s="50">
        <v>28856</v>
      </c>
      <c r="S35" s="50">
        <v>28856</v>
      </c>
    </row>
    <row r="36" spans="1:19" ht="24.95" hidden="1" customHeight="1" x14ac:dyDescent="0.3">
      <c r="A36" s="1">
        <v>34</v>
      </c>
      <c r="B36" s="2" t="s">
        <v>1292</v>
      </c>
      <c r="C36" s="47" t="s">
        <v>1294</v>
      </c>
      <c r="D36" s="48">
        <v>21916</v>
      </c>
      <c r="E36" s="48">
        <v>21916</v>
      </c>
      <c r="F36" s="48"/>
      <c r="G36" s="2">
        <v>1</v>
      </c>
      <c r="H36" s="2" t="s">
        <v>224</v>
      </c>
      <c r="J36" t="str">
        <f t="shared" si="0"/>
        <v>(34,'SP2-OT1','Station de Pompage du Deb-Deb','1960-01-01','1960-01-01','1900-01-00',1),</v>
      </c>
      <c r="L36" t="e">
        <f>CONCATENATE("(",A36,",",#REF!,"),")</f>
        <v>#REF!</v>
      </c>
      <c r="R36" s="50">
        <v>28491</v>
      </c>
      <c r="S36" s="50">
        <v>28491</v>
      </c>
    </row>
    <row r="37" spans="1:19" ht="24.95" hidden="1" customHeight="1" x14ac:dyDescent="0.3">
      <c r="A37" s="1">
        <v>35</v>
      </c>
      <c r="B37" s="2" t="s">
        <v>1295</v>
      </c>
      <c r="C37" s="47" t="s">
        <v>1298</v>
      </c>
      <c r="D37" s="48">
        <v>27395</v>
      </c>
      <c r="E37" s="48">
        <v>27395</v>
      </c>
      <c r="F37" s="48"/>
      <c r="G37" s="2">
        <v>2</v>
      </c>
      <c r="H37" s="2" t="s">
        <v>224</v>
      </c>
      <c r="J37" t="str">
        <f t="shared" si="0"/>
        <v>(35,'OPS1-OH1','Station de Pompage d'Ohanet','1975-01-01','1975-01-01','1900-01-00',2),</v>
      </c>
      <c r="L37" t="e">
        <f>CONCATENATE("(",A37,",",#REF!,"),")</f>
        <v>#REF!</v>
      </c>
      <c r="R37" s="50">
        <v>28856</v>
      </c>
      <c r="S37" s="50">
        <v>28856</v>
      </c>
    </row>
    <row r="38" spans="1:19" ht="24.95" hidden="1" customHeight="1" x14ac:dyDescent="0.3">
      <c r="A38" s="1">
        <v>36</v>
      </c>
      <c r="B38" s="2" t="s">
        <v>1296</v>
      </c>
      <c r="C38" s="47" t="s">
        <v>1299</v>
      </c>
      <c r="D38" s="48">
        <v>27395</v>
      </c>
      <c r="E38" s="48">
        <v>27395</v>
      </c>
      <c r="F38" s="48"/>
      <c r="G38" s="2">
        <v>2</v>
      </c>
      <c r="H38" s="2" t="s">
        <v>224</v>
      </c>
      <c r="J38" t="str">
        <f t="shared" si="0"/>
        <v>(36,'OPS2-OH1','Station de Pompage de Mederba','1975-01-01','1975-01-01','1900-01-00',2),</v>
      </c>
      <c r="L38" t="e">
        <f>CONCATENATE("(",A38,",",#REF!,"),")</f>
        <v>#REF!</v>
      </c>
      <c r="R38" s="50">
        <v>28491</v>
      </c>
      <c r="S38" s="50">
        <v>28491</v>
      </c>
    </row>
    <row r="39" spans="1:19" ht="24.95" hidden="1" customHeight="1" x14ac:dyDescent="0.3">
      <c r="A39" s="1">
        <v>37</v>
      </c>
      <c r="B39" s="2" t="s">
        <v>1297</v>
      </c>
      <c r="C39" s="47" t="s">
        <v>1300</v>
      </c>
      <c r="D39" s="48">
        <v>27395</v>
      </c>
      <c r="E39" s="48">
        <v>27395</v>
      </c>
      <c r="F39" s="48"/>
      <c r="G39" s="2">
        <v>2</v>
      </c>
      <c r="H39" s="2" t="s">
        <v>224</v>
      </c>
      <c r="J39" t="str">
        <f t="shared" si="0"/>
        <v>(37,'OPS3-OH1','Station de Pompage de Gassi Touil','1975-01-01','1975-01-01','1900-01-00',2),</v>
      </c>
      <c r="L39" t="e">
        <f>CONCATENATE("(",A39,",",#REF!,"),")</f>
        <v>#REF!</v>
      </c>
      <c r="R39" s="50">
        <v>28856</v>
      </c>
      <c r="S39" s="50">
        <v>28856</v>
      </c>
    </row>
    <row r="40" spans="1:19" ht="24.95" hidden="1" customHeight="1" x14ac:dyDescent="0.3">
      <c r="A40" s="1">
        <v>38</v>
      </c>
      <c r="B40" s="2" t="s">
        <v>1303</v>
      </c>
      <c r="C40" s="47" t="s">
        <v>1301</v>
      </c>
      <c r="D40" s="48">
        <v>29221</v>
      </c>
      <c r="E40" s="48">
        <v>29221</v>
      </c>
      <c r="F40" s="48"/>
      <c r="G40" s="2">
        <v>1</v>
      </c>
      <c r="H40" s="2" t="s">
        <v>224</v>
      </c>
      <c r="J40" t="str">
        <f t="shared" si="0"/>
        <v>(38,'OPS1-OD1','Station de Pompage d'El Borma','1980-01-01','1980-01-01','1900-01-00',1),</v>
      </c>
      <c r="L40" t="e">
        <f>CONCATENATE("(",A40,",",#REF!,"),")</f>
        <v>#REF!</v>
      </c>
      <c r="R40" s="50">
        <v>43101</v>
      </c>
      <c r="S40" s="50">
        <v>43101</v>
      </c>
    </row>
    <row r="41" spans="1:19" ht="24.95" hidden="1" customHeight="1" x14ac:dyDescent="0.3">
      <c r="A41" s="1">
        <v>39</v>
      </c>
      <c r="B41" s="2" t="s">
        <v>1304</v>
      </c>
      <c r="C41" s="47" t="s">
        <v>1302</v>
      </c>
      <c r="D41" s="48">
        <v>37691</v>
      </c>
      <c r="E41" s="48">
        <v>37691</v>
      </c>
      <c r="F41" s="48"/>
      <c r="G41" s="2">
        <v>1</v>
      </c>
      <c r="H41" s="2" t="s">
        <v>224</v>
      </c>
      <c r="J41" t="str">
        <f t="shared" si="0"/>
        <v>(39,'OPS1-OH2','Station de Pompage de Mesdar','2003-03-11','2003-03-11','1900-01-00',1),</v>
      </c>
      <c r="L41" t="e">
        <f>CONCATENATE("(",A41,",",#REF!,"),")</f>
        <v>#REF!</v>
      </c>
      <c r="R41" s="50">
        <v>42736</v>
      </c>
      <c r="S41" s="50">
        <v>42736</v>
      </c>
    </row>
    <row r="42" spans="1:19" ht="24.95" hidden="1" customHeight="1" x14ac:dyDescent="0.3">
      <c r="A42" s="1">
        <v>40</v>
      </c>
      <c r="B42" s="2" t="s">
        <v>1306</v>
      </c>
      <c r="C42" s="47" t="s">
        <v>1305</v>
      </c>
      <c r="D42" s="48">
        <v>37927</v>
      </c>
      <c r="E42" s="48">
        <v>37927</v>
      </c>
      <c r="F42" s="48"/>
      <c r="G42" s="2">
        <v>1</v>
      </c>
      <c r="H42" s="2" t="s">
        <v>224</v>
      </c>
      <c r="J42" t="str">
        <f t="shared" si="0"/>
        <v>(40,'SP1-OH3/OH4','Station de Pompage de Hassi Berkine','2003-11-02','2003-11-02','1900-01-00',1),</v>
      </c>
      <c r="L42" t="e">
        <f>CONCATENATE("(",A42,",",#REF!,"),")</f>
        <v>#REF!</v>
      </c>
      <c r="R42" s="50">
        <v>39234</v>
      </c>
      <c r="S42" s="50">
        <v>39234</v>
      </c>
    </row>
    <row r="43" spans="1:19" ht="24.95" hidden="1" customHeight="1" x14ac:dyDescent="0.3">
      <c r="A43" s="1">
        <v>41</v>
      </c>
      <c r="B43" s="2" t="s">
        <v>1308</v>
      </c>
      <c r="C43" s="47" t="s">
        <v>1307</v>
      </c>
      <c r="D43" s="48">
        <v>37721</v>
      </c>
      <c r="E43" s="48">
        <v>39448</v>
      </c>
      <c r="F43" s="48"/>
      <c r="G43" s="2">
        <v>1</v>
      </c>
      <c r="H43" s="2" t="s">
        <v>224</v>
      </c>
      <c r="J43" t="str">
        <f t="shared" si="0"/>
        <v>(41,'SP2-OH3/OH4','Station de Pompage de Nezla','2003-04-10','2008-01-01','1900-01-00',1),</v>
      </c>
      <c r="L43" t="e">
        <f>CONCATENATE("(",A43,",",#REF!,"),")</f>
        <v>#REF!</v>
      </c>
      <c r="R43" s="50">
        <v>39083</v>
      </c>
      <c r="S43" s="50">
        <v>39083</v>
      </c>
    </row>
    <row r="44" spans="1:19" ht="24.95" hidden="1" customHeight="1" x14ac:dyDescent="0.3">
      <c r="A44" s="1">
        <v>42</v>
      </c>
      <c r="B44" s="2" t="s">
        <v>1309</v>
      </c>
      <c r="C44" s="47" t="s">
        <v>1271</v>
      </c>
      <c r="D44" s="48">
        <v>28795</v>
      </c>
      <c r="E44" s="48">
        <v>28795</v>
      </c>
      <c r="F44" s="48"/>
      <c r="G44" s="2">
        <v>1</v>
      </c>
      <c r="H44" s="2" t="s">
        <v>224</v>
      </c>
      <c r="J44" t="str">
        <f t="shared" si="0"/>
        <v>(42,'SP4-NZ1','Station de Pompage de Hassi R'mel','1978-11-01','1978-11-01','1900-01-00',1),</v>
      </c>
      <c r="L44" t="e">
        <f>CONCATENATE("(",A44,",",#REF!,"),")</f>
        <v>#REF!</v>
      </c>
      <c r="R44" s="50">
        <v>43132</v>
      </c>
      <c r="S44" s="50">
        <v>43132</v>
      </c>
    </row>
    <row r="45" spans="1:19" ht="24.95" hidden="1" customHeight="1" x14ac:dyDescent="0.3">
      <c r="A45" s="1">
        <v>43</v>
      </c>
      <c r="B45" s="2" t="s">
        <v>1310</v>
      </c>
      <c r="C45" s="47" t="s">
        <v>1272</v>
      </c>
      <c r="D45" s="48">
        <v>28795</v>
      </c>
      <c r="E45" s="48">
        <v>28795</v>
      </c>
      <c r="F45" s="48"/>
      <c r="G45" s="2">
        <v>1</v>
      </c>
      <c r="H45" s="2" t="s">
        <v>224</v>
      </c>
      <c r="J45" t="str">
        <f t="shared" si="0"/>
        <v>(43,'SP5-NZ1','Station de Pompage de Milok','1978-11-01','1978-11-01','1900-01-00',1),</v>
      </c>
      <c r="L45" t="e">
        <f>CONCATENATE("(",A45,",",#REF!,"),")</f>
        <v>#REF!</v>
      </c>
      <c r="R45" s="50">
        <v>30714</v>
      </c>
      <c r="S45" s="50">
        <v>30714</v>
      </c>
    </row>
    <row r="46" spans="1:19" ht="24.95" hidden="1" customHeight="1" x14ac:dyDescent="0.3">
      <c r="A46" s="1">
        <v>44</v>
      </c>
      <c r="B46" s="2" t="s">
        <v>1311</v>
      </c>
      <c r="C46" s="47" t="s">
        <v>1312</v>
      </c>
      <c r="D46" s="48">
        <v>28795</v>
      </c>
      <c r="E46" s="48">
        <v>28795</v>
      </c>
      <c r="F46" s="48"/>
      <c r="G46" s="2">
        <v>1</v>
      </c>
      <c r="H46" s="2" t="s">
        <v>224</v>
      </c>
      <c r="J46" t="str">
        <f t="shared" si="0"/>
        <v>(44,'SP6-NZ1','Station de Pompage de Medareg','1978-11-01','1978-11-01','1900-01-00',1),</v>
      </c>
      <c r="L46" t="e">
        <f>CONCATENATE("(",A46,",",#REF!,"),")</f>
        <v>#REF!</v>
      </c>
      <c r="R46" s="50">
        <v>38997</v>
      </c>
      <c r="S46" s="50">
        <v>38997</v>
      </c>
    </row>
    <row r="47" spans="1:19" ht="24.95" hidden="1" customHeight="1" x14ac:dyDescent="0.3">
      <c r="A47" s="1">
        <v>45</v>
      </c>
      <c r="B47" s="2" t="s">
        <v>1313</v>
      </c>
      <c r="C47" s="47" t="s">
        <v>1268</v>
      </c>
      <c r="D47" s="48">
        <v>39814</v>
      </c>
      <c r="E47" s="48">
        <v>39814</v>
      </c>
      <c r="F47" s="48"/>
      <c r="G47" s="2">
        <v>1</v>
      </c>
      <c r="H47" s="2" t="s">
        <v>224</v>
      </c>
      <c r="J47" t="str">
        <f t="shared" si="0"/>
        <v>(45,'SP1-NK1','Station de Pompage de Haoud El Hamra','2009-01-01','2009-01-01','1900-01-00',1),</v>
      </c>
      <c r="L47" t="e">
        <f>CONCATENATE("(",A47,",",#REF!,"),")</f>
        <v>#REF!</v>
      </c>
      <c r="R47" s="50">
        <v>39387</v>
      </c>
      <c r="S47" s="50">
        <v>39387</v>
      </c>
    </row>
    <row r="48" spans="1:19" ht="24.95" hidden="1" customHeight="1" x14ac:dyDescent="0.3">
      <c r="A48" s="1">
        <v>46</v>
      </c>
      <c r="B48" s="2" t="s">
        <v>1314</v>
      </c>
      <c r="C48" s="47" t="s">
        <v>1284</v>
      </c>
      <c r="D48" s="48">
        <v>39814</v>
      </c>
      <c r="E48" s="48">
        <v>39814</v>
      </c>
      <c r="F48" s="48"/>
      <c r="G48" s="2">
        <v>1</v>
      </c>
      <c r="H48" s="2" t="s">
        <v>224</v>
      </c>
      <c r="J48" t="str">
        <f t="shared" si="0"/>
        <v>(46,'SP3-NK1','Station de Pompage d'El Outaya','2009-01-01','2009-01-01','1900-01-00',1),</v>
      </c>
      <c r="L48" t="e">
        <f>CONCATENATE("(",A48,",",#REF!,"),")</f>
        <v>#REF!</v>
      </c>
      <c r="R48" s="50">
        <v>39814</v>
      </c>
      <c r="S48" s="50">
        <v>39814</v>
      </c>
    </row>
    <row r="49" spans="1:19" ht="24.95" hidden="1" customHeight="1" x14ac:dyDescent="0.3">
      <c r="A49" s="1">
        <v>47</v>
      </c>
      <c r="B49" s="2" t="s">
        <v>1315</v>
      </c>
      <c r="C49" s="47" t="s">
        <v>1271</v>
      </c>
      <c r="D49" s="48">
        <v>30714</v>
      </c>
      <c r="E49" s="48">
        <v>30714</v>
      </c>
      <c r="F49" s="48"/>
      <c r="G49" s="2">
        <v>1</v>
      </c>
      <c r="H49" s="2" t="s">
        <v>224</v>
      </c>
      <c r="J49" t="str">
        <f t="shared" si="0"/>
        <v>(47,'SP1-LZ1','Station de Pompage de Hassi R'mel','1984-02-02','1984-02-02','1900-01-00',1),</v>
      </c>
      <c r="L49" t="e">
        <f>CONCATENATE("(",A49,",",#REF!,"),")</f>
        <v>#REF!</v>
      </c>
      <c r="R49" s="50">
        <v>38895</v>
      </c>
      <c r="S49" s="50">
        <v>38895</v>
      </c>
    </row>
    <row r="50" spans="1:19" ht="24.95" hidden="1" customHeight="1" x14ac:dyDescent="0.3">
      <c r="A50" s="1">
        <v>48</v>
      </c>
      <c r="B50" s="2" t="s">
        <v>1435</v>
      </c>
      <c r="C50" s="47" t="s">
        <v>1272</v>
      </c>
      <c r="D50" s="48">
        <v>38997</v>
      </c>
      <c r="E50" s="48">
        <v>38997</v>
      </c>
      <c r="F50" s="48"/>
      <c r="G50" s="2">
        <v>1</v>
      </c>
      <c r="H50" s="2" t="s">
        <v>224</v>
      </c>
      <c r="J50" t="str">
        <f t="shared" si="0"/>
        <v>(48,'SP2-LZ1','Station de Pompage de Milok','2006-10-07','2006-10-07','1900-01-00',1),</v>
      </c>
      <c r="L50" t="e">
        <f>CONCATENATE("(",A50,",",#REF!,"),")</f>
        <v>#REF!</v>
      </c>
      <c r="R50" s="50">
        <v>37927</v>
      </c>
      <c r="S50" s="50">
        <v>37927</v>
      </c>
    </row>
    <row r="51" spans="1:19" ht="24.95" hidden="1" customHeight="1" x14ac:dyDescent="0.3">
      <c r="A51" s="1">
        <v>49</v>
      </c>
      <c r="B51" s="2" t="s">
        <v>1316</v>
      </c>
      <c r="C51" s="47" t="s">
        <v>1271</v>
      </c>
      <c r="D51" s="48">
        <v>39387</v>
      </c>
      <c r="E51" s="48">
        <v>39387</v>
      </c>
      <c r="F51" s="48"/>
      <c r="G51" s="2">
        <v>1</v>
      </c>
      <c r="H51" s="2" t="s">
        <v>224</v>
      </c>
      <c r="J51" t="str">
        <f t="shared" si="0"/>
        <v>(49,'SP1-LZ2','Station de Pompage de Hassi R'mel','2007-11-01','2007-11-01','1900-01-00',1),</v>
      </c>
      <c r="L51" t="e">
        <f>CONCATENATE("(",A51,",",#REF!,"),")</f>
        <v>#REF!</v>
      </c>
      <c r="R51" s="50">
        <v>26299</v>
      </c>
      <c r="S51" s="50">
        <v>26299</v>
      </c>
    </row>
    <row r="52" spans="1:19" ht="24.95" hidden="1" customHeight="1" x14ac:dyDescent="0.3">
      <c r="A52" s="1">
        <v>50</v>
      </c>
      <c r="B52" s="2" t="s">
        <v>1318</v>
      </c>
      <c r="C52" s="47" t="s">
        <v>1317</v>
      </c>
      <c r="D52" s="48">
        <v>36462</v>
      </c>
      <c r="E52" s="48">
        <v>36462</v>
      </c>
      <c r="F52" s="48"/>
      <c r="G52" s="2">
        <v>1</v>
      </c>
      <c r="H52" s="2" t="s">
        <v>224</v>
      </c>
      <c r="J52" t="str">
        <f t="shared" si="0"/>
        <v>(50,'SPRN-LR1/DLR1/ELR1','Station de Pompage de Rhoud Nouss','1999-10-29','1999-10-29','1900-01-00',1),</v>
      </c>
      <c r="L52" t="e">
        <f>CONCATENATE("(",A52,",",#REF!,"),")</f>
        <v>#REF!</v>
      </c>
      <c r="R52" s="50">
        <v>21916</v>
      </c>
      <c r="S52" s="50">
        <v>21916</v>
      </c>
    </row>
    <row r="53" spans="1:19" ht="24.95" hidden="1" customHeight="1" x14ac:dyDescent="0.3">
      <c r="A53" s="1">
        <v>51</v>
      </c>
      <c r="B53" s="2" t="s">
        <v>1319</v>
      </c>
      <c r="C53" s="47" t="s">
        <v>1268</v>
      </c>
      <c r="D53" s="48">
        <v>43132</v>
      </c>
      <c r="E53" s="48">
        <v>43132</v>
      </c>
      <c r="F53" s="48"/>
      <c r="G53" s="2">
        <v>1</v>
      </c>
      <c r="H53" s="2" t="s">
        <v>224</v>
      </c>
      <c r="J53" t="str">
        <f t="shared" si="0"/>
        <v>(51,'SP1-LR1/DLR1/ELR1','Station de Pompage de Haoud El Hamra','2018-02-01','2018-02-01','1900-01-00',1),</v>
      </c>
      <c r="L53" t="e">
        <f>CONCATENATE("(",A53,",",#REF!,"),")</f>
        <v>#REF!</v>
      </c>
      <c r="R53" s="50">
        <v>37622</v>
      </c>
      <c r="S53" s="50">
        <v>37622</v>
      </c>
    </row>
    <row r="54" spans="1:19" ht="24.95" hidden="1" customHeight="1" x14ac:dyDescent="0.3">
      <c r="A54" s="1">
        <v>52</v>
      </c>
      <c r="B54" s="2" t="s">
        <v>1320</v>
      </c>
      <c r="C54" s="47" t="s">
        <v>1269</v>
      </c>
      <c r="D54" s="48">
        <v>35065</v>
      </c>
      <c r="E54" s="48">
        <v>35065</v>
      </c>
      <c r="F54" s="48"/>
      <c r="G54" s="2">
        <v>1</v>
      </c>
      <c r="H54" s="2" t="s">
        <v>224</v>
      </c>
      <c r="J54" t="str">
        <f t="shared" si="0"/>
        <v>(52,'SP2-LR1/DLR1/ELR1','Station de Pompage d'Ouargla','1996-01-01','1996-01-01','1900-01-00',1),</v>
      </c>
      <c r="L54" t="e">
        <f>CONCATENATE("(",A54,",",#REF!,"),")</f>
        <v>#REF!</v>
      </c>
      <c r="R54" s="50">
        <v>43647</v>
      </c>
      <c r="S54" s="50">
        <v>43647</v>
      </c>
    </row>
    <row r="55" spans="1:19" ht="24.95" hidden="1" customHeight="1" x14ac:dyDescent="0.3">
      <c r="A55" s="1">
        <v>53</v>
      </c>
      <c r="B55" s="2" t="s">
        <v>1325</v>
      </c>
      <c r="C55" s="47" t="s">
        <v>1321</v>
      </c>
      <c r="D55" s="48">
        <v>23743</v>
      </c>
      <c r="E55" s="48">
        <v>23743</v>
      </c>
      <c r="F55" s="48">
        <v>42248</v>
      </c>
      <c r="G55" s="2">
        <v>8</v>
      </c>
      <c r="H55" s="2" t="s">
        <v>224</v>
      </c>
      <c r="J55" t="str">
        <f t="shared" si="0"/>
        <v>(53,'SC1-GZ0','Station de Compression de Laghouat','1965-01-01','1965-01-01','2015-09-01',8),</v>
      </c>
      <c r="L55" t="e">
        <f>CONCATENATE("(",A55,",",#REF!,"),")</f>
        <v>#REF!</v>
      </c>
      <c r="R55" s="50">
        <v>35065</v>
      </c>
      <c r="S55" s="50">
        <v>35065</v>
      </c>
    </row>
    <row r="56" spans="1:19" ht="24.95" hidden="1" customHeight="1" x14ac:dyDescent="0.3">
      <c r="A56" s="1">
        <v>54</v>
      </c>
      <c r="B56" s="2" t="s">
        <v>1326</v>
      </c>
      <c r="C56" s="47" t="s">
        <v>1322</v>
      </c>
      <c r="D56" s="48">
        <v>26299</v>
      </c>
      <c r="E56" s="48">
        <v>26299</v>
      </c>
      <c r="F56" s="48">
        <v>42248</v>
      </c>
      <c r="G56" s="2">
        <v>8</v>
      </c>
      <c r="H56" s="2" t="s">
        <v>224</v>
      </c>
      <c r="J56" t="str">
        <f t="shared" si="0"/>
        <v>(54,'SC2-GZ0','Station de Compression de Medarreg','1972-01-01','1972-01-01','2015-09-01',8),</v>
      </c>
      <c r="L56" t="e">
        <f>CONCATENATE("(",A56,",",#REF!,"),")</f>
        <v>#REF!</v>
      </c>
      <c r="R56" s="50">
        <v>39684</v>
      </c>
      <c r="S56" s="50">
        <v>39684</v>
      </c>
    </row>
    <row r="57" spans="1:19" ht="24.95" hidden="1" customHeight="1" x14ac:dyDescent="0.3">
      <c r="A57" s="1">
        <v>55</v>
      </c>
      <c r="B57" s="2" t="s">
        <v>1327</v>
      </c>
      <c r="C57" s="47" t="s">
        <v>1323</v>
      </c>
      <c r="D57" s="48">
        <v>23743</v>
      </c>
      <c r="E57" s="48">
        <v>23743</v>
      </c>
      <c r="F57" s="48">
        <v>42248</v>
      </c>
      <c r="G57" s="2">
        <v>8</v>
      </c>
      <c r="H57" s="2" t="s">
        <v>224</v>
      </c>
      <c r="J57" t="str">
        <f t="shared" si="0"/>
        <v>(55,'SC3-GZ0','Station de Compression de Tiaret','1965-01-01','1965-01-01','2015-09-01',8),</v>
      </c>
      <c r="L57" t="e">
        <f>CONCATENATE("(",A57,",",#REF!,"),")</f>
        <v>#REF!</v>
      </c>
      <c r="R57" s="50">
        <v>37721</v>
      </c>
      <c r="S57" s="50">
        <v>39448</v>
      </c>
    </row>
    <row r="58" spans="1:19" ht="24.95" hidden="1" customHeight="1" x14ac:dyDescent="0.3">
      <c r="A58" s="1">
        <v>56</v>
      </c>
      <c r="B58" s="2" t="s">
        <v>1328</v>
      </c>
      <c r="C58" s="47" t="s">
        <v>1324</v>
      </c>
      <c r="D58" s="48">
        <v>26299</v>
      </c>
      <c r="E58" s="48">
        <v>26299</v>
      </c>
      <c r="F58" s="48">
        <v>42248</v>
      </c>
      <c r="G58" s="2">
        <v>8</v>
      </c>
      <c r="H58" s="2" t="s">
        <v>224</v>
      </c>
      <c r="J58" t="str">
        <f t="shared" si="0"/>
        <v>(56,'SC4-GZ0','Station de Compression de Relizane','1972-01-01','1972-01-01','2015-09-01',8),</v>
      </c>
      <c r="L58" t="e">
        <f>CONCATENATE("(",A58,",",#REF!,"),")</f>
        <v>#REF!</v>
      </c>
      <c r="R58" s="50">
        <v>27760</v>
      </c>
      <c r="S58" s="50">
        <v>27760</v>
      </c>
    </row>
    <row r="59" spans="1:19" ht="24.95" hidden="1" customHeight="1" x14ac:dyDescent="0.3">
      <c r="A59" s="1">
        <v>57</v>
      </c>
      <c r="B59" s="2" t="s">
        <v>1333</v>
      </c>
      <c r="C59" s="47" t="s">
        <v>1329</v>
      </c>
      <c r="D59" s="48">
        <v>28856</v>
      </c>
      <c r="E59" s="48">
        <v>28856</v>
      </c>
      <c r="F59" s="48"/>
      <c r="G59" s="2">
        <v>1</v>
      </c>
      <c r="H59" s="2" t="s">
        <v>224</v>
      </c>
      <c r="J59" t="str">
        <f t="shared" si="0"/>
        <v>(57,'SC1-GZ1/GZ2/GZ3','Station de Compression de Timzhert','1979-01-01','1979-01-01','1900-01-00',1),</v>
      </c>
      <c r="L59" t="e">
        <f>CONCATENATE("(",A59,",",#REF!,"),")</f>
        <v>#REF!</v>
      </c>
      <c r="R59" s="50">
        <v>21916</v>
      </c>
      <c r="S59" s="50">
        <v>21916</v>
      </c>
    </row>
    <row r="60" spans="1:19" ht="24.95" hidden="1" customHeight="1" x14ac:dyDescent="0.3">
      <c r="A60" s="1">
        <v>58</v>
      </c>
      <c r="B60" s="2" t="s">
        <v>1334</v>
      </c>
      <c r="C60" s="47" t="s">
        <v>1330</v>
      </c>
      <c r="D60" s="48">
        <v>28491</v>
      </c>
      <c r="E60" s="48">
        <v>28491</v>
      </c>
      <c r="F60" s="48"/>
      <c r="G60" s="2">
        <v>1</v>
      </c>
      <c r="H60" s="2" t="s">
        <v>224</v>
      </c>
      <c r="J60" t="str">
        <f t="shared" si="0"/>
        <v>(58,'SC2-GZ1/GZ2/GZ3','Station de Compression de M'seka','1978-01-01','1978-01-01','1900-01-00',1),</v>
      </c>
      <c r="L60" t="e">
        <f>CONCATENATE("(",A60,",",#REF!,"),")</f>
        <v>#REF!</v>
      </c>
      <c r="R60" s="50">
        <v>37987</v>
      </c>
      <c r="S60" s="50">
        <v>37987</v>
      </c>
    </row>
    <row r="61" spans="1:19" ht="24.95" hidden="1" customHeight="1" x14ac:dyDescent="0.3">
      <c r="A61" s="1">
        <v>59</v>
      </c>
      <c r="B61" s="2" t="s">
        <v>1335</v>
      </c>
      <c r="C61" s="47" t="s">
        <v>1322</v>
      </c>
      <c r="D61" s="48">
        <v>28856</v>
      </c>
      <c r="E61" s="48">
        <v>28856</v>
      </c>
      <c r="F61" s="48"/>
      <c r="G61" s="2">
        <v>1</v>
      </c>
      <c r="H61" s="2" t="s">
        <v>224</v>
      </c>
      <c r="J61" t="str">
        <f t="shared" si="0"/>
        <v>(59,'SC3-GZ1/GZ2/GZ3','Station de Compression de Medarreg','1979-01-01','1979-01-01','1900-01-00',1),</v>
      </c>
      <c r="L61" t="e">
        <f>CONCATENATE("(",A61,",",#REF!,"),")</f>
        <v>#REF!</v>
      </c>
      <c r="R61" s="50">
        <v>38353</v>
      </c>
      <c r="S61" s="50">
        <v>38353</v>
      </c>
    </row>
    <row r="62" spans="1:19" ht="24.95" hidden="1" customHeight="1" x14ac:dyDescent="0.3">
      <c r="A62" s="1">
        <v>60</v>
      </c>
      <c r="B62" s="2" t="s">
        <v>1336</v>
      </c>
      <c r="C62" s="47" t="s">
        <v>1331</v>
      </c>
      <c r="D62" s="48">
        <v>28491</v>
      </c>
      <c r="E62" s="48">
        <v>28491</v>
      </c>
      <c r="F62" s="48"/>
      <c r="G62" s="2">
        <v>1</v>
      </c>
      <c r="H62" s="2" t="s">
        <v>224</v>
      </c>
      <c r="J62" t="str">
        <f t="shared" si="0"/>
        <v>(60,'SC4-GZ1/GZ2/GZ3','Station de Compression de Djebel Nador','1978-01-01','1978-01-01','1900-01-00',1),</v>
      </c>
      <c r="L62" t="e">
        <f>CONCATENATE("(",A62,",",#REF!,"),")</f>
        <v>#REF!</v>
      </c>
      <c r="R62" s="50">
        <v>39814</v>
      </c>
      <c r="S62" s="50">
        <v>39814</v>
      </c>
    </row>
    <row r="63" spans="1:19" ht="24.95" hidden="1" customHeight="1" x14ac:dyDescent="0.3">
      <c r="A63" s="1">
        <v>61</v>
      </c>
      <c r="B63" s="2" t="s">
        <v>1337</v>
      </c>
      <c r="C63" s="47" t="s">
        <v>1332</v>
      </c>
      <c r="D63" s="48">
        <v>28856</v>
      </c>
      <c r="E63" s="48">
        <v>28856</v>
      </c>
      <c r="F63" s="48"/>
      <c r="G63" s="2">
        <v>1</v>
      </c>
      <c r="H63" s="2" t="s">
        <v>224</v>
      </c>
      <c r="J63" t="str">
        <f t="shared" si="0"/>
        <v>(61,'SC5-GZ1/GZ2/GZ3','Station de Compression de Kenenda','1979-01-01','1979-01-01','1900-01-00',1),</v>
      </c>
      <c r="L63" t="e">
        <f>CONCATENATE("(",A63,",",#REF!,"),")</f>
        <v>#REF!</v>
      </c>
      <c r="R63" s="50">
        <v>39448</v>
      </c>
      <c r="S63" s="50">
        <v>39448</v>
      </c>
    </row>
    <row r="64" spans="1:19" ht="24.95" hidden="1" customHeight="1" x14ac:dyDescent="0.3">
      <c r="A64" s="1">
        <v>62</v>
      </c>
      <c r="B64" s="2" t="s">
        <v>1339</v>
      </c>
      <c r="C64" s="47" t="s">
        <v>1338</v>
      </c>
      <c r="D64" s="48">
        <v>38031</v>
      </c>
      <c r="E64" s="48">
        <v>38031</v>
      </c>
      <c r="F64" s="48"/>
      <c r="G64" s="2">
        <v>1</v>
      </c>
      <c r="H64" s="2" t="s">
        <v>224</v>
      </c>
      <c r="J64" t="str">
        <f t="shared" si="0"/>
        <v>(62,'SC3-GPDF/EGPDF','Station de Compression de Sidi Cheikh','2004-02-14','2004-02-14','1900-01-00',1),</v>
      </c>
      <c r="L64" t="e">
        <f>CONCATENATE("(",A64,",",#REF!,"),")</f>
        <v>#REF!</v>
      </c>
      <c r="R64" s="50">
        <v>26299</v>
      </c>
      <c r="S64" s="50">
        <v>26299</v>
      </c>
    </row>
    <row r="65" spans="1:19" ht="24.95" hidden="1" customHeight="1" x14ac:dyDescent="0.3">
      <c r="A65" s="1">
        <v>63</v>
      </c>
      <c r="B65" s="2" t="s">
        <v>1340</v>
      </c>
      <c r="C65" s="47" t="s">
        <v>1345</v>
      </c>
      <c r="D65" s="48">
        <v>28856</v>
      </c>
      <c r="E65" s="48">
        <v>28856</v>
      </c>
      <c r="F65" s="48"/>
      <c r="G65" s="2">
        <v>1</v>
      </c>
      <c r="H65" s="2" t="s">
        <v>224</v>
      </c>
      <c r="J65" t="str">
        <f t="shared" si="0"/>
        <v>(63,'SCA-GK1/GK2','Station de Compression de Hassi Dellaa','1979-01-01','1979-01-01','1900-01-00',1),</v>
      </c>
      <c r="L65" t="e">
        <f>CONCATENATE("(",A65,",",#REF!,"),")</f>
        <v>#REF!</v>
      </c>
      <c r="R65" s="50">
        <v>37622</v>
      </c>
      <c r="S65" s="50">
        <v>37622</v>
      </c>
    </row>
    <row r="66" spans="1:19" ht="24.95" hidden="1" customHeight="1" x14ac:dyDescent="0.3">
      <c r="A66" s="1">
        <v>64</v>
      </c>
      <c r="B66" s="2" t="s">
        <v>1341</v>
      </c>
      <c r="C66" s="47" t="s">
        <v>1346</v>
      </c>
      <c r="D66" s="48">
        <v>28491</v>
      </c>
      <c r="E66" s="48">
        <v>28491</v>
      </c>
      <c r="F66" s="48"/>
      <c r="G66" s="2">
        <v>1</v>
      </c>
      <c r="H66" s="2" t="s">
        <v>224</v>
      </c>
      <c r="J66" t="str">
        <f t="shared" si="0"/>
        <v>(64,'SCB-GK1/GK2','Station de Compression de Ras El Miaad','1978-01-01','1978-01-01','1900-01-00',1),</v>
      </c>
      <c r="L66" t="e">
        <f>CONCATENATE("(",A66,",",#REF!,"),")</f>
        <v>#REF!</v>
      </c>
      <c r="R66" s="50">
        <v>28795</v>
      </c>
      <c r="S66" s="50">
        <v>28795</v>
      </c>
    </row>
    <row r="67" spans="1:19" ht="24.95" hidden="1" customHeight="1" x14ac:dyDescent="0.3">
      <c r="A67" s="1">
        <v>65</v>
      </c>
      <c r="B67" s="2" t="s">
        <v>1342</v>
      </c>
      <c r="C67" s="47" t="s">
        <v>1347</v>
      </c>
      <c r="D67" s="48">
        <v>28856</v>
      </c>
      <c r="E67" s="48">
        <v>28856</v>
      </c>
      <c r="F67" s="48"/>
      <c r="G67" s="2">
        <v>1</v>
      </c>
      <c r="H67" s="2" t="s">
        <v>224</v>
      </c>
      <c r="J67" t="str">
        <f t="shared" si="0"/>
        <v>(65,'SCC-GK1/GK2','Station de Compression de Chaiba','1979-01-01','1979-01-01','1900-01-00',1),</v>
      </c>
      <c r="L67" t="e">
        <f>CONCATENATE("(",A67,",",#REF!,"),")</f>
        <v>#REF!</v>
      </c>
      <c r="R67" s="50">
        <v>27760</v>
      </c>
      <c r="S67" s="50">
        <v>27760</v>
      </c>
    </row>
    <row r="68" spans="1:19" ht="24.95" hidden="1" customHeight="1" x14ac:dyDescent="0.3">
      <c r="A68" s="1">
        <v>66</v>
      </c>
      <c r="B68" s="2" t="s">
        <v>1343</v>
      </c>
      <c r="C68" s="47" t="s">
        <v>1348</v>
      </c>
      <c r="D68" s="48">
        <v>28491</v>
      </c>
      <c r="E68" s="48">
        <v>28491</v>
      </c>
      <c r="F68" s="48"/>
      <c r="G68" s="2">
        <v>1</v>
      </c>
      <c r="H68" s="2" t="s">
        <v>224</v>
      </c>
      <c r="J68" t="str">
        <f t="shared" ref="J68:J131" si="1">CONCATENATE("(",A68,",'",B68,"','",C68,"','",TEXT(D68,"yyyy-mm-dd"),"','",TEXT(E68,"yyyy-mm-dd"),"','",TEXT(F68,"yyyy-mm-dd"),"',",G68,"),")</f>
        <v>(66,'SCD-GK1/GK2','Station de Compression de Sefiane','1978-01-01','1978-01-01','1900-01-00',1),</v>
      </c>
      <c r="L68" t="e">
        <f>CONCATENATE("(",A68,",",#REF!,"),")</f>
        <v>#REF!</v>
      </c>
      <c r="R68" s="50">
        <v>37987</v>
      </c>
      <c r="S68" s="50">
        <v>37987</v>
      </c>
    </row>
    <row r="69" spans="1:19" ht="24.95" hidden="1" customHeight="1" x14ac:dyDescent="0.3">
      <c r="A69" s="1">
        <v>67</v>
      </c>
      <c r="B69" s="2" t="s">
        <v>1344</v>
      </c>
      <c r="C69" s="47" t="s">
        <v>1349</v>
      </c>
      <c r="D69" s="48">
        <v>28856</v>
      </c>
      <c r="E69" s="48">
        <v>28856</v>
      </c>
      <c r="F69" s="48"/>
      <c r="G69" s="2">
        <v>1</v>
      </c>
      <c r="H69" s="2" t="s">
        <v>224</v>
      </c>
      <c r="J69" t="str">
        <f t="shared" si="1"/>
        <v>(67,'SCE-GK1/GK2','Station de Compression de Mechtatine','1979-01-01','1979-01-01','1900-01-00',1),</v>
      </c>
      <c r="L69" t="e">
        <f>CONCATENATE("(",A69,",",#REF!,"),")</f>
        <v>#REF!</v>
      </c>
      <c r="R69" s="50">
        <v>28795</v>
      </c>
      <c r="S69" s="50">
        <v>28795</v>
      </c>
    </row>
    <row r="70" spans="1:19" ht="24.95" hidden="1" customHeight="1" x14ac:dyDescent="0.3">
      <c r="A70" s="1">
        <v>68</v>
      </c>
      <c r="B70" s="2" t="s">
        <v>1351</v>
      </c>
      <c r="C70" s="47" t="s">
        <v>1350</v>
      </c>
      <c r="D70" s="48">
        <v>35065</v>
      </c>
      <c r="E70" s="48">
        <v>35065</v>
      </c>
      <c r="F70" s="48"/>
      <c r="G70" s="2">
        <v>1</v>
      </c>
      <c r="H70" s="2" t="s">
        <v>224</v>
      </c>
      <c r="J70" t="str">
        <f t="shared" si="1"/>
        <v>(68,'SC2-GO1/GO2/GO3','Station de Compression d'Ain Naga','1996-01-01','1996-01-01','1900-01-00',1),</v>
      </c>
      <c r="L70" t="e">
        <f>CONCATENATE("(",A70,",",#REF!,"),")</f>
        <v>#REF!</v>
      </c>
      <c r="R70" s="50">
        <v>37622</v>
      </c>
      <c r="S70" s="50">
        <v>37622</v>
      </c>
    </row>
    <row r="71" spans="1:19" ht="24.95" hidden="1" customHeight="1" x14ac:dyDescent="0.3">
      <c r="A71" s="1">
        <v>69</v>
      </c>
      <c r="B71" s="2" t="s">
        <v>1353</v>
      </c>
      <c r="C71" s="47" t="s">
        <v>1352</v>
      </c>
      <c r="D71" s="48">
        <v>38961</v>
      </c>
      <c r="E71" s="48">
        <v>38961</v>
      </c>
      <c r="F71" s="48"/>
      <c r="G71" s="2">
        <v>1</v>
      </c>
      <c r="H71" s="2" t="s">
        <v>224</v>
      </c>
      <c r="J71" t="str">
        <f t="shared" si="1"/>
        <v>(69,'SC3-GG1','Station de Compression de Moudjebara','2006-09-01','2006-09-01','1900-01-00',1),</v>
      </c>
      <c r="L71" t="e">
        <f>CONCATENATE("(",A71,",",#REF!,"),")</f>
        <v>#REF!</v>
      </c>
      <c r="R71" s="50">
        <v>28795</v>
      </c>
      <c r="S71" s="50">
        <v>28795</v>
      </c>
    </row>
    <row r="72" spans="1:19" ht="24.95" hidden="1" customHeight="1" x14ac:dyDescent="0.3">
      <c r="A72" s="1">
        <v>70</v>
      </c>
      <c r="B72" s="2" t="s">
        <v>1354</v>
      </c>
      <c r="C72" s="47" t="s">
        <v>1359</v>
      </c>
      <c r="D72" s="48">
        <v>39234</v>
      </c>
      <c r="E72" s="48">
        <v>39234</v>
      </c>
      <c r="F72" s="48"/>
      <c r="G72" s="2">
        <v>1</v>
      </c>
      <c r="H72" s="2" t="s">
        <v>224</v>
      </c>
      <c r="J72" t="str">
        <f t="shared" si="1"/>
        <v>(70,'SCTFT-GR1/GR2','Station de Compression de TFT','2007-06-01','2007-06-01','1900-01-00',1),</v>
      </c>
      <c r="L72" t="e">
        <f>CONCATENATE("(",A72,",",#REF!,"),")</f>
        <v>#REF!</v>
      </c>
      <c r="R72" s="50">
        <v>37987</v>
      </c>
      <c r="S72" s="50">
        <v>37987</v>
      </c>
    </row>
    <row r="73" spans="1:19" ht="24.95" hidden="1" customHeight="1" x14ac:dyDescent="0.3">
      <c r="A73" s="1">
        <v>71</v>
      </c>
      <c r="B73" s="2" t="s">
        <v>1355</v>
      </c>
      <c r="C73" s="47" t="s">
        <v>1360</v>
      </c>
      <c r="D73" s="48">
        <v>38899</v>
      </c>
      <c r="E73" s="48">
        <v>38899</v>
      </c>
      <c r="F73" s="48"/>
      <c r="G73" s="2">
        <v>1</v>
      </c>
      <c r="H73" s="2" t="s">
        <v>224</v>
      </c>
      <c r="J73" t="str">
        <f t="shared" si="1"/>
        <v>(71,'SC1-GR1/GR2','Station de Compression de Rhoude Nouss','2006-07-01','2006-07-01','1900-01-00',1),</v>
      </c>
      <c r="L73" t="e">
        <f>CONCATENATE("(",A73,",",#REF!,"),")</f>
        <v>#REF!</v>
      </c>
      <c r="R73" s="50">
        <v>36462</v>
      </c>
      <c r="S73" s="50">
        <v>36462</v>
      </c>
    </row>
    <row r="74" spans="1:19" ht="24.95" hidden="1" customHeight="1" x14ac:dyDescent="0.3">
      <c r="A74" s="1">
        <v>72</v>
      </c>
      <c r="B74" s="2" t="s">
        <v>1356</v>
      </c>
      <c r="C74" s="47" t="s">
        <v>1361</v>
      </c>
      <c r="D74" s="48">
        <v>37898</v>
      </c>
      <c r="E74" s="48">
        <v>37898</v>
      </c>
      <c r="F74" s="48"/>
      <c r="G74" s="2">
        <v>1</v>
      </c>
      <c r="H74" s="2" t="s">
        <v>224</v>
      </c>
      <c r="J74" t="str">
        <f t="shared" si="1"/>
        <v>(72,'SC2-GR1/GR2','Station de Compression de Zina','2003-10-04','2003-10-04','1900-01-00',1),</v>
      </c>
      <c r="L74" t="e">
        <f>CONCATENATE("(",A74,",",#REF!,"),")</f>
        <v>#REF!</v>
      </c>
    </row>
    <row r="75" spans="1:19" ht="24.95" hidden="1" customHeight="1" x14ac:dyDescent="0.3">
      <c r="A75" s="1">
        <v>73</v>
      </c>
      <c r="B75" s="2" t="s">
        <v>1357</v>
      </c>
      <c r="C75" s="47" t="s">
        <v>1362</v>
      </c>
      <c r="D75" s="48">
        <v>38718</v>
      </c>
      <c r="E75" s="48">
        <v>38718</v>
      </c>
      <c r="F75" s="48"/>
      <c r="G75" s="2">
        <v>1</v>
      </c>
      <c r="H75" s="2" t="s">
        <v>224</v>
      </c>
      <c r="J75" t="str">
        <f t="shared" si="1"/>
        <v>(73,'SC3-GR1/GR2','Station de Compression d'Ouargla','2006-01-01','2006-01-01','1900-01-00',1),</v>
      </c>
      <c r="L75" t="e">
        <f>CONCATENATE("(",A75,",",#REF!,"),")</f>
        <v>#REF!</v>
      </c>
    </row>
    <row r="76" spans="1:19" ht="24.95" hidden="1" customHeight="1" x14ac:dyDescent="0.3">
      <c r="A76" s="1">
        <v>74</v>
      </c>
      <c r="B76" s="2" t="s">
        <v>1358</v>
      </c>
      <c r="C76" s="47" t="s">
        <v>1363</v>
      </c>
      <c r="D76" s="48">
        <v>31413</v>
      </c>
      <c r="E76" s="48">
        <v>31413</v>
      </c>
      <c r="F76" s="48">
        <v>36526</v>
      </c>
      <c r="G76" s="2">
        <v>8</v>
      </c>
      <c r="H76" s="2" t="s">
        <v>224</v>
      </c>
      <c r="J76" t="str">
        <f t="shared" si="1"/>
        <v>(74,'SC4-GR1/GR2','Station de Compression de Hassi R'mel','1986-01-01','1986-01-01','2000-01-01',8),</v>
      </c>
      <c r="L76" t="e">
        <f>CONCATENATE("(",A76,",",#REF!,"),")</f>
        <v>#REF!</v>
      </c>
    </row>
    <row r="77" spans="1:19" ht="24.95" hidden="1" customHeight="1" x14ac:dyDescent="0.3">
      <c r="A77" s="1">
        <v>75</v>
      </c>
      <c r="B77" s="2" t="s">
        <v>1364</v>
      </c>
      <c r="C77" s="47" t="s">
        <v>1363</v>
      </c>
      <c r="D77" s="48">
        <v>43101</v>
      </c>
      <c r="E77" s="48">
        <v>43101</v>
      </c>
      <c r="F77" s="48"/>
      <c r="G77" s="2">
        <v>1</v>
      </c>
      <c r="H77" s="2" t="s">
        <v>224</v>
      </c>
      <c r="J77" t="str">
        <f t="shared" si="1"/>
        <v>(75,'SCHR-GR1/GR2','Station de Compression de Hassi R'mel','2018-01-01','2018-01-01','1900-01-00',1),</v>
      </c>
      <c r="L77" t="e">
        <f>CONCATENATE("(",A77,",",#REF!,"),")</f>
        <v>#REF!</v>
      </c>
    </row>
    <row r="78" spans="1:19" ht="24.95" hidden="1" customHeight="1" x14ac:dyDescent="0.3">
      <c r="A78" s="1">
        <v>76</v>
      </c>
      <c r="B78" s="2" t="s">
        <v>1366</v>
      </c>
      <c r="C78" s="47" t="s">
        <v>1363</v>
      </c>
      <c r="D78" s="48">
        <v>42736</v>
      </c>
      <c r="E78" s="48">
        <v>42736</v>
      </c>
      <c r="F78" s="48"/>
      <c r="G78" s="2">
        <v>1</v>
      </c>
      <c r="H78" s="2" t="s">
        <v>224</v>
      </c>
      <c r="J78" t="str">
        <f t="shared" si="1"/>
        <v>(76,'SCHR-GR5/GR7','Station de Compression de Hassi R'mel','2017-01-01','2017-01-01','1900-01-00',1),</v>
      </c>
      <c r="L78" t="e">
        <f>CONCATENATE("(",A78,",",#REF!,"),")</f>
        <v>#REF!</v>
      </c>
    </row>
    <row r="79" spans="1:19" ht="24.95" hidden="1" customHeight="1" x14ac:dyDescent="0.3">
      <c r="A79" s="1">
        <v>77</v>
      </c>
      <c r="B79" s="2" t="s">
        <v>1439</v>
      </c>
      <c r="C79" s="47" t="s">
        <v>1438</v>
      </c>
      <c r="D79" s="48">
        <v>35065</v>
      </c>
      <c r="E79" s="48">
        <v>35065</v>
      </c>
      <c r="F79" s="48"/>
      <c r="G79" s="2">
        <v>1</v>
      </c>
      <c r="H79" s="2" t="s">
        <v>224</v>
      </c>
      <c r="J79" t="str">
        <f t="shared" si="1"/>
        <v>(77,'TEA','Terminal d'Exportation d'El Aricha','1996-01-01','1996-01-01','1900-01-00',1),</v>
      </c>
    </row>
    <row r="80" spans="1:19" ht="24.95" hidden="1" customHeight="1" x14ac:dyDescent="0.3">
      <c r="A80" s="1">
        <v>78</v>
      </c>
      <c r="B80" s="2" t="s">
        <v>1441</v>
      </c>
      <c r="C80" s="47" t="s">
        <v>1440</v>
      </c>
      <c r="D80" s="48">
        <v>44197</v>
      </c>
      <c r="E80" s="48">
        <v>44197</v>
      </c>
      <c r="F80" s="48"/>
      <c r="G80" s="2">
        <v>1</v>
      </c>
      <c r="H80" s="2" t="s">
        <v>224</v>
      </c>
      <c r="J80" t="str">
        <f t="shared" si="1"/>
        <v>(78,'TEB','Terminal d'Exportation de Beni Saf','2021-01-01','2021-01-01','1900-01-00',1),</v>
      </c>
    </row>
    <row r="81" spans="1:10" ht="24.95" hidden="1" customHeight="1" x14ac:dyDescent="0.3">
      <c r="A81" s="1">
        <v>79</v>
      </c>
      <c r="B81" s="2" t="s">
        <v>1443</v>
      </c>
      <c r="C81" s="47" t="s">
        <v>1442</v>
      </c>
      <c r="D81" s="48">
        <v>22282</v>
      </c>
      <c r="E81" s="48">
        <v>22282</v>
      </c>
      <c r="F81" s="48"/>
      <c r="G81" s="2">
        <v>1</v>
      </c>
      <c r="H81" s="2" t="s">
        <v>224</v>
      </c>
      <c r="J81" t="str">
        <f t="shared" si="1"/>
        <v>(79,'TABM','Terminal d'Arrivé Bordj Menail','1961-01-01','1961-01-01','1900-01-00',1),</v>
      </c>
    </row>
    <row r="82" spans="1:10" ht="24.95" hidden="1" customHeight="1" x14ac:dyDescent="0.3">
      <c r="A82" s="1">
        <v>80</v>
      </c>
      <c r="B82" s="2" t="s">
        <v>1445</v>
      </c>
      <c r="C82" s="47" t="s">
        <v>1444</v>
      </c>
      <c r="D82" s="48">
        <v>22282</v>
      </c>
      <c r="E82" s="48">
        <v>22282</v>
      </c>
      <c r="F82" s="48"/>
      <c r="G82" s="2">
        <v>1</v>
      </c>
      <c r="H82" s="2" t="s">
        <v>224</v>
      </c>
      <c r="J82" t="str">
        <f t="shared" si="1"/>
        <v>(80,'SCLR','Station de Collecte de Reggane','1961-01-01','1961-01-01','1900-01-00',1),</v>
      </c>
    </row>
    <row r="83" spans="1:10" ht="24.95" customHeight="1" x14ac:dyDescent="0.3">
      <c r="A83" s="1">
        <v>81</v>
      </c>
      <c r="B83" s="2" t="s">
        <v>72</v>
      </c>
      <c r="C83" s="47" t="str">
        <f>CONCATENATE("Pipeline ",B83)</f>
        <v>Pipeline OZ1</v>
      </c>
      <c r="D83" s="48" t="s">
        <v>1130</v>
      </c>
      <c r="E83" s="48" t="s">
        <v>1130</v>
      </c>
      <c r="F83" s="48"/>
      <c r="G83" s="2">
        <v>1</v>
      </c>
      <c r="H83" s="2" t="s">
        <v>368</v>
      </c>
      <c r="J83" t="str">
        <f t="shared" si="1"/>
        <v>(81,'OZ1','Pipeline OZ1','1965-11-07','1965-11-07','1900-01-00',1),</v>
      </c>
    </row>
    <row r="84" spans="1:10" ht="24.95" customHeight="1" x14ac:dyDescent="0.3">
      <c r="A84" s="1">
        <v>82</v>
      </c>
      <c r="B84" s="2" t="s">
        <v>71</v>
      </c>
      <c r="C84" s="47" t="str">
        <f t="shared" ref="C84:C125" si="2">CONCATENATE("Pipeline ",B84)</f>
        <v>Pipeline OZ2</v>
      </c>
      <c r="D84" s="48" t="s">
        <v>1212</v>
      </c>
      <c r="E84" s="48" t="s">
        <v>1212</v>
      </c>
      <c r="F84" s="48"/>
      <c r="G84" s="2">
        <v>1</v>
      </c>
      <c r="H84" s="2" t="s">
        <v>368</v>
      </c>
      <c r="J84" t="str">
        <f t="shared" si="1"/>
        <v>(82,'OZ2','Pipeline OZ2','2003-08-18','2003-08-18','1900-01-00',1),</v>
      </c>
    </row>
    <row r="85" spans="1:10" ht="24.95" customHeight="1" x14ac:dyDescent="0.3">
      <c r="A85" s="1">
        <v>83</v>
      </c>
      <c r="B85" s="2" t="s">
        <v>32</v>
      </c>
      <c r="C85" s="47" t="str">
        <f t="shared" si="2"/>
        <v>Pipeline OK1</v>
      </c>
      <c r="D85" s="48" t="s">
        <v>1213</v>
      </c>
      <c r="E85" s="48" t="s">
        <v>1213</v>
      </c>
      <c r="F85" s="48"/>
      <c r="G85" s="2">
        <v>1</v>
      </c>
      <c r="H85" s="2" t="s">
        <v>368</v>
      </c>
      <c r="J85" t="str">
        <f t="shared" si="1"/>
        <v>(83,'OK1','Pipeline OK1','1972-01-01','1972-01-01','1900-01-00',1),</v>
      </c>
    </row>
    <row r="86" spans="1:10" ht="24.95" customHeight="1" x14ac:dyDescent="0.3">
      <c r="A86" s="1">
        <v>84</v>
      </c>
      <c r="B86" s="2" t="s">
        <v>73</v>
      </c>
      <c r="C86" s="47" t="str">
        <f t="shared" si="2"/>
        <v>Pipeline OB1</v>
      </c>
      <c r="D86" s="48" t="s">
        <v>1214</v>
      </c>
      <c r="E86" s="48" t="s">
        <v>1214</v>
      </c>
      <c r="F86" s="48"/>
      <c r="G86" s="2">
        <v>1</v>
      </c>
      <c r="H86" s="2" t="s">
        <v>368</v>
      </c>
      <c r="J86" t="str">
        <f t="shared" si="1"/>
        <v>(84,'OB1','Pipeline OB1','1959-11-10','1959-11-10','1900-01-00',1),</v>
      </c>
    </row>
    <row r="87" spans="1:10" ht="24.95" customHeight="1" x14ac:dyDescent="0.3">
      <c r="A87" s="1">
        <v>85</v>
      </c>
      <c r="B87" s="2" t="s">
        <v>74</v>
      </c>
      <c r="C87" s="47" t="str">
        <f t="shared" si="2"/>
        <v>Pipeline OG1</v>
      </c>
      <c r="D87" s="48" t="s">
        <v>1215</v>
      </c>
      <c r="E87" s="48" t="s">
        <v>1215</v>
      </c>
      <c r="F87" s="48"/>
      <c r="G87" s="2">
        <v>1</v>
      </c>
      <c r="H87" s="2" t="s">
        <v>368</v>
      </c>
      <c r="J87" t="str">
        <f t="shared" si="1"/>
        <v>(85,'OG1','Pipeline OG1','2005-07-04','2005-07-04','1900-01-00',1),</v>
      </c>
    </row>
    <row r="88" spans="1:10" ht="24.95" customHeight="1" x14ac:dyDescent="0.3">
      <c r="A88" s="1">
        <v>86</v>
      </c>
      <c r="B88" s="2" t="s">
        <v>34</v>
      </c>
      <c r="C88" s="47" t="str">
        <f t="shared" si="2"/>
        <v>Pipeline OT1</v>
      </c>
      <c r="D88" s="48" t="s">
        <v>1216</v>
      </c>
      <c r="E88" s="48" t="s">
        <v>1216</v>
      </c>
      <c r="F88" s="48"/>
      <c r="G88" s="2">
        <v>1</v>
      </c>
      <c r="H88" s="2" t="s">
        <v>368</v>
      </c>
      <c r="J88" t="str">
        <f t="shared" si="1"/>
        <v>(86,'OT1','Pipeline OT1','1960-01-01','1960-01-01','1900-01-00',1),</v>
      </c>
    </row>
    <row r="89" spans="1:10" ht="24.95" customHeight="1" x14ac:dyDescent="0.3">
      <c r="A89" s="1">
        <v>87</v>
      </c>
      <c r="B89" s="2" t="s">
        <v>35</v>
      </c>
      <c r="C89" s="47" t="str">
        <f t="shared" si="2"/>
        <v>Pipeline OH1</v>
      </c>
      <c r="D89" s="48" t="s">
        <v>1217</v>
      </c>
      <c r="E89" s="48" t="s">
        <v>1217</v>
      </c>
      <c r="F89" s="48"/>
      <c r="G89" s="2">
        <v>1</v>
      </c>
      <c r="H89" s="2" t="s">
        <v>368</v>
      </c>
      <c r="J89" t="str">
        <f t="shared" si="1"/>
        <v>(87,'OH1','Pipeline OH1','1982-01-01','1982-01-01','1900-01-00',1),</v>
      </c>
    </row>
    <row r="90" spans="1:10" ht="24.95" customHeight="1" x14ac:dyDescent="0.3">
      <c r="A90" s="1">
        <v>88</v>
      </c>
      <c r="B90" s="2" t="s">
        <v>75</v>
      </c>
      <c r="C90" s="47" t="str">
        <f t="shared" si="2"/>
        <v>Pipeline OD1</v>
      </c>
      <c r="D90" s="48" t="s">
        <v>1218</v>
      </c>
      <c r="E90" s="48" t="s">
        <v>1218</v>
      </c>
      <c r="F90" s="48"/>
      <c r="G90" s="2">
        <v>1</v>
      </c>
      <c r="H90" s="2" t="s">
        <v>368</v>
      </c>
      <c r="J90" t="str">
        <f t="shared" si="1"/>
        <v>(88,'OD1','Pipeline OD1','1977-03-23','1977-03-23','1900-01-00',1),</v>
      </c>
    </row>
    <row r="91" spans="1:10" ht="24.95" customHeight="1" x14ac:dyDescent="0.3">
      <c r="A91" s="1">
        <v>89</v>
      </c>
      <c r="B91" s="2" t="s">
        <v>76</v>
      </c>
      <c r="C91" s="47" t="str">
        <f t="shared" si="2"/>
        <v>Pipeline OD3</v>
      </c>
      <c r="D91" s="48" t="s">
        <v>1219</v>
      </c>
      <c r="E91" s="48" t="s">
        <v>1219</v>
      </c>
      <c r="F91" s="48"/>
      <c r="G91" s="2">
        <v>1</v>
      </c>
      <c r="H91" s="2" t="s">
        <v>368</v>
      </c>
      <c r="J91" t="str">
        <f t="shared" si="1"/>
        <v>(89,'OD3','Pipeline OD3','1999-12-11','1999-12-11','1900-01-00',1),</v>
      </c>
    </row>
    <row r="92" spans="1:10" ht="24.95" customHeight="1" x14ac:dyDescent="0.3">
      <c r="A92" s="1">
        <v>90</v>
      </c>
      <c r="B92" s="2" t="s">
        <v>77</v>
      </c>
      <c r="C92" s="47" t="str">
        <f t="shared" si="2"/>
        <v>Pipeline OH2</v>
      </c>
      <c r="D92" s="48" t="s">
        <v>1220</v>
      </c>
      <c r="E92" s="48" t="s">
        <v>1220</v>
      </c>
      <c r="F92" s="48"/>
      <c r="G92" s="2">
        <v>1</v>
      </c>
      <c r="H92" s="2" t="s">
        <v>368</v>
      </c>
      <c r="J92" t="str">
        <f t="shared" si="1"/>
        <v>(90,'OH2','Pipeline OH2','1972-04-10','1972-04-10','1900-01-00',1),</v>
      </c>
    </row>
    <row r="93" spans="1:10" ht="24.95" customHeight="1" x14ac:dyDescent="0.3">
      <c r="A93" s="1">
        <v>91</v>
      </c>
      <c r="B93" s="2" t="s">
        <v>78</v>
      </c>
      <c r="C93" s="47" t="str">
        <f t="shared" si="2"/>
        <v>Pipeline OH3</v>
      </c>
      <c r="D93" s="48" t="s">
        <v>1221</v>
      </c>
      <c r="E93" s="48" t="s">
        <v>1221</v>
      </c>
      <c r="F93" s="48"/>
      <c r="G93" s="2">
        <v>1</v>
      </c>
      <c r="H93" s="2" t="s">
        <v>368</v>
      </c>
      <c r="J93" t="str">
        <f t="shared" si="1"/>
        <v>(91,'OH3','Pipeline OH3','1999-01-01','1999-01-01','1900-01-00',1),</v>
      </c>
    </row>
    <row r="94" spans="1:10" ht="24.95" customHeight="1" x14ac:dyDescent="0.3">
      <c r="A94" s="1">
        <v>92</v>
      </c>
      <c r="B94" s="2" t="s">
        <v>79</v>
      </c>
      <c r="C94" s="47" t="str">
        <f t="shared" si="2"/>
        <v>Pipeline OH4</v>
      </c>
      <c r="D94" s="48" t="s">
        <v>1222</v>
      </c>
      <c r="E94" s="48" t="s">
        <v>1222</v>
      </c>
      <c r="F94" s="48"/>
      <c r="G94" s="2">
        <v>1</v>
      </c>
      <c r="H94" s="2" t="s">
        <v>368</v>
      </c>
      <c r="J94" t="str">
        <f t="shared" si="1"/>
        <v>(92,'OH4','Pipeline OH4','2006-01-01','2006-01-01','1900-01-00',1),</v>
      </c>
    </row>
    <row r="95" spans="1:10" ht="24.95" customHeight="1" x14ac:dyDescent="0.3">
      <c r="A95" s="1">
        <v>93</v>
      </c>
      <c r="B95" s="2" t="s">
        <v>55</v>
      </c>
      <c r="C95" s="47" t="str">
        <f t="shared" si="2"/>
        <v>Pipeline NZ1</v>
      </c>
      <c r="D95" s="48" t="s">
        <v>1223</v>
      </c>
      <c r="E95" s="48" t="s">
        <v>1223</v>
      </c>
      <c r="F95" s="48"/>
      <c r="G95" s="2">
        <v>1</v>
      </c>
      <c r="H95" s="2" t="s">
        <v>368</v>
      </c>
      <c r="J95" t="str">
        <f t="shared" si="1"/>
        <v>(93,'NZ1','Pipeline NZ1','1978-11-01','1978-11-01','1900-01-00',1),</v>
      </c>
    </row>
    <row r="96" spans="1:10" ht="24.95" customHeight="1" x14ac:dyDescent="0.3">
      <c r="A96" s="1">
        <v>94</v>
      </c>
      <c r="B96" s="2" t="s">
        <v>56</v>
      </c>
      <c r="C96" s="47" t="str">
        <f t="shared" si="2"/>
        <v>Pipeline NK1</v>
      </c>
      <c r="D96" s="48" t="s">
        <v>1224</v>
      </c>
      <c r="E96" s="48" t="s">
        <v>1224</v>
      </c>
      <c r="F96" s="48"/>
      <c r="G96" s="2">
        <v>1</v>
      </c>
      <c r="H96" s="2" t="s">
        <v>368</v>
      </c>
      <c r="J96" t="str">
        <f t="shared" si="1"/>
        <v>(94,'NK1','Pipeline NK1','2009-08-04','2009-08-04','1900-01-00',1),</v>
      </c>
    </row>
    <row r="97" spans="1:10" ht="24.95" customHeight="1" x14ac:dyDescent="0.3">
      <c r="A97" s="1">
        <v>95</v>
      </c>
      <c r="B97" s="2" t="s">
        <v>57</v>
      </c>
      <c r="C97" s="47" t="str">
        <f t="shared" si="2"/>
        <v>Pipeline NH2</v>
      </c>
      <c r="D97" s="48" t="s">
        <v>1216</v>
      </c>
      <c r="E97" s="48" t="s">
        <v>1216</v>
      </c>
      <c r="F97" s="48"/>
      <c r="G97" s="2">
        <v>1</v>
      </c>
      <c r="H97" s="2" t="s">
        <v>368</v>
      </c>
      <c r="J97" t="str">
        <f t="shared" si="1"/>
        <v>(95,'NH2','Pipeline NH2','1960-01-01','1960-01-01','1900-01-00',1),</v>
      </c>
    </row>
    <row r="98" spans="1:10" ht="24.95" customHeight="1" x14ac:dyDescent="0.3">
      <c r="A98" s="1">
        <v>96</v>
      </c>
      <c r="B98" s="2" t="s">
        <v>99</v>
      </c>
      <c r="C98" s="47" t="str">
        <f t="shared" si="2"/>
        <v>Pipeline LZ1</v>
      </c>
      <c r="D98" s="48" t="s">
        <v>1225</v>
      </c>
      <c r="E98" s="48" t="s">
        <v>1225</v>
      </c>
      <c r="F98" s="48"/>
      <c r="G98" s="2">
        <v>1</v>
      </c>
      <c r="H98" s="2" t="s">
        <v>368</v>
      </c>
      <c r="J98" t="str">
        <f t="shared" si="1"/>
        <v>(96,'LZ1','Pipeline LZ1','1984-02-08','1984-02-08','1900-01-00',1),</v>
      </c>
    </row>
    <row r="99" spans="1:10" ht="24.95" customHeight="1" x14ac:dyDescent="0.3">
      <c r="A99" s="1">
        <v>97</v>
      </c>
      <c r="B99" s="2" t="s">
        <v>100</v>
      </c>
      <c r="C99" s="47" t="str">
        <f t="shared" si="2"/>
        <v>Pipeline LZ2</v>
      </c>
      <c r="D99" s="48" t="s">
        <v>1226</v>
      </c>
      <c r="E99" s="48" t="s">
        <v>1226</v>
      </c>
      <c r="F99" s="48"/>
      <c r="G99" s="2">
        <v>1</v>
      </c>
      <c r="H99" s="2" t="s">
        <v>368</v>
      </c>
      <c r="J99" t="str">
        <f t="shared" si="1"/>
        <v>(97,'LZ2','Pipeline LZ2','2010-11-01','2010-11-01','1900-01-00',1),</v>
      </c>
    </row>
    <row r="100" spans="1:10" ht="24.95" customHeight="1" x14ac:dyDescent="0.3">
      <c r="A100" s="1">
        <v>98</v>
      </c>
      <c r="B100" s="2" t="s">
        <v>96</v>
      </c>
      <c r="C100" s="47" t="str">
        <f t="shared" si="2"/>
        <v>Pipeline LR1</v>
      </c>
      <c r="D100" s="48" t="s">
        <v>1227</v>
      </c>
      <c r="E100" s="48" t="s">
        <v>1227</v>
      </c>
      <c r="F100" s="48"/>
      <c r="G100" s="2">
        <v>1</v>
      </c>
      <c r="H100" s="2" t="s">
        <v>368</v>
      </c>
      <c r="J100" t="str">
        <f t="shared" si="1"/>
        <v>(98,'LR1','Pipeline LR1','1996-01-01','1996-01-01','1900-01-00',1),</v>
      </c>
    </row>
    <row r="101" spans="1:10" ht="24.95" customHeight="1" x14ac:dyDescent="0.3">
      <c r="A101" s="1">
        <v>99</v>
      </c>
      <c r="B101" s="2" t="s">
        <v>97</v>
      </c>
      <c r="C101" s="47" t="str">
        <f t="shared" si="2"/>
        <v>Pipeline DLR1</v>
      </c>
      <c r="D101" s="48" t="s">
        <v>1228</v>
      </c>
      <c r="E101" s="48" t="s">
        <v>1228</v>
      </c>
      <c r="F101" s="48"/>
      <c r="G101" s="2">
        <v>1</v>
      </c>
      <c r="H101" s="2" t="s">
        <v>368</v>
      </c>
      <c r="J101" t="str">
        <f t="shared" si="1"/>
        <v>(99,'DLR1','Pipeline DLR1','2004-10-04','2004-10-04','1900-01-00',1),</v>
      </c>
    </row>
    <row r="102" spans="1:10" ht="24.95" customHeight="1" x14ac:dyDescent="0.3">
      <c r="A102" s="1">
        <v>100</v>
      </c>
      <c r="B102" s="2" t="s">
        <v>98</v>
      </c>
      <c r="C102" s="47" t="str">
        <f t="shared" si="2"/>
        <v>Pipeline ELR1</v>
      </c>
      <c r="D102" s="48" t="s">
        <v>1229</v>
      </c>
      <c r="E102" s="48" t="s">
        <v>1229</v>
      </c>
      <c r="F102" s="48"/>
      <c r="G102" s="2">
        <v>1</v>
      </c>
      <c r="H102" s="2" t="s">
        <v>368</v>
      </c>
      <c r="J102" t="str">
        <f t="shared" si="1"/>
        <v>(100,'ELR1','Pipeline ELR1','2014-01-01','2014-01-01','1900-01-00',1),</v>
      </c>
    </row>
    <row r="103" spans="1:10" ht="24.95" customHeight="1" x14ac:dyDescent="0.3">
      <c r="A103" s="1">
        <v>101</v>
      </c>
      <c r="B103" s="2" t="s">
        <v>60</v>
      </c>
      <c r="C103" s="47" t="str">
        <f t="shared" si="2"/>
        <v>Pipeline GZ0</v>
      </c>
      <c r="D103" s="48" t="s">
        <v>1230</v>
      </c>
      <c r="E103" s="48" t="s">
        <v>1230</v>
      </c>
      <c r="F103" s="48" t="s">
        <v>1231</v>
      </c>
      <c r="G103" s="2">
        <v>8</v>
      </c>
      <c r="H103" s="2" t="s">
        <v>368</v>
      </c>
      <c r="J103" t="str">
        <f t="shared" si="1"/>
        <v>(101,'GZ0','Pipeline GZ0','1961-01-01','1961-01-01','2022-01-01',8),</v>
      </c>
    </row>
    <row r="104" spans="1:10" ht="24.95" customHeight="1" x14ac:dyDescent="0.3">
      <c r="A104" s="1">
        <v>102</v>
      </c>
      <c r="B104" s="2" t="s">
        <v>111</v>
      </c>
      <c r="C104" s="47" t="str">
        <f t="shared" si="2"/>
        <v>Pipeline GZ1</v>
      </c>
      <c r="D104" s="48" t="s">
        <v>1232</v>
      </c>
      <c r="E104" s="48" t="s">
        <v>1232</v>
      </c>
      <c r="F104" s="48"/>
      <c r="G104" s="2">
        <v>1</v>
      </c>
      <c r="H104" s="2" t="s">
        <v>368</v>
      </c>
      <c r="J104" t="str">
        <f t="shared" si="1"/>
        <v>(102,'GZ1','Pipeline GZ1','1976-01-01','1976-01-01','1900-01-00',1),</v>
      </c>
    </row>
    <row r="105" spans="1:10" ht="24.95" customHeight="1" x14ac:dyDescent="0.3">
      <c r="A105" s="1">
        <v>103</v>
      </c>
      <c r="B105" s="2" t="s">
        <v>1233</v>
      </c>
      <c r="C105" s="47" t="str">
        <f t="shared" si="2"/>
        <v>Pipeline GZ0 Bis</v>
      </c>
      <c r="D105" s="48" t="s">
        <v>1234</v>
      </c>
      <c r="E105" s="48" t="s">
        <v>1234</v>
      </c>
      <c r="F105" s="48"/>
      <c r="G105" s="2">
        <v>1</v>
      </c>
      <c r="H105" s="2" t="s">
        <v>368</v>
      </c>
      <c r="J105" t="str">
        <f t="shared" si="1"/>
        <v>(103,'GZ0 Bis','Pipeline GZ0 Bis','2022-09-01','2022-09-01','1900-01-00',1),</v>
      </c>
    </row>
    <row r="106" spans="1:10" ht="24.95" customHeight="1" x14ac:dyDescent="0.3">
      <c r="A106" s="1">
        <v>104</v>
      </c>
      <c r="B106" s="2" t="s">
        <v>112</v>
      </c>
      <c r="C106" s="47" t="str">
        <f t="shared" si="2"/>
        <v>Pipeline GZ2</v>
      </c>
      <c r="D106" s="48" t="s">
        <v>1217</v>
      </c>
      <c r="E106" s="48" t="s">
        <v>1217</v>
      </c>
      <c r="F106" s="48"/>
      <c r="G106" s="2">
        <v>1</v>
      </c>
      <c r="H106" s="2" t="s">
        <v>368</v>
      </c>
      <c r="J106" t="str">
        <f t="shared" si="1"/>
        <v>(104,'GZ2','Pipeline GZ2','1982-01-01','1982-01-01','1900-01-00',1),</v>
      </c>
    </row>
    <row r="107" spans="1:10" ht="24.95" customHeight="1" x14ac:dyDescent="0.3">
      <c r="A107" s="1">
        <v>105</v>
      </c>
      <c r="B107" s="2" t="s">
        <v>1236</v>
      </c>
      <c r="C107" s="47" t="str">
        <f t="shared" si="2"/>
        <v>Pipeline GZ3</v>
      </c>
      <c r="D107" s="48" t="s">
        <v>1235</v>
      </c>
      <c r="E107" s="48" t="s">
        <v>1235</v>
      </c>
      <c r="F107" s="48"/>
      <c r="G107" s="2">
        <v>1</v>
      </c>
      <c r="H107" s="2" t="s">
        <v>368</v>
      </c>
      <c r="J107" t="str">
        <f t="shared" si="1"/>
        <v>(105,'GZ3','Pipeline GZ3','1989-01-01','1989-01-01','1900-01-00',1),</v>
      </c>
    </row>
    <row r="108" spans="1:10" ht="24.95" customHeight="1" x14ac:dyDescent="0.3">
      <c r="A108" s="1">
        <v>106</v>
      </c>
      <c r="B108" s="2" t="s">
        <v>1237</v>
      </c>
      <c r="C108" s="47" t="str">
        <f t="shared" si="2"/>
        <v>Pipeline RGZ3</v>
      </c>
      <c r="D108" s="48" t="s">
        <v>1238</v>
      </c>
      <c r="E108" s="48" t="s">
        <v>1238</v>
      </c>
      <c r="F108" s="48"/>
      <c r="G108" s="2">
        <v>1</v>
      </c>
      <c r="H108" s="2" t="s">
        <v>368</v>
      </c>
      <c r="J108" t="str">
        <f t="shared" si="1"/>
        <v>(106,'RGZ3','Pipeline RGZ3','2018-01-01','2018-01-01','1900-01-00',1),</v>
      </c>
    </row>
    <row r="109" spans="1:10" ht="24.95" customHeight="1" x14ac:dyDescent="0.3">
      <c r="A109" s="1">
        <v>107</v>
      </c>
      <c r="B109" s="2" t="s">
        <v>62</v>
      </c>
      <c r="C109" s="47" t="str">
        <f t="shared" si="2"/>
        <v>Pipeline GZ4</v>
      </c>
      <c r="D109" s="48" t="s">
        <v>1239</v>
      </c>
      <c r="E109" s="48" t="s">
        <v>1239</v>
      </c>
      <c r="F109" s="48"/>
      <c r="G109" s="2">
        <v>1</v>
      </c>
      <c r="H109" s="2" t="s">
        <v>368</v>
      </c>
      <c r="J109" t="str">
        <f t="shared" si="1"/>
        <v>(107,'GZ4','Pipeline GZ4','2010-04-16','2010-04-16','1900-01-00',1),</v>
      </c>
    </row>
    <row r="110" spans="1:10" ht="24.95" customHeight="1" x14ac:dyDescent="0.3">
      <c r="A110" s="1">
        <v>108</v>
      </c>
      <c r="B110" s="2" t="s">
        <v>8</v>
      </c>
      <c r="C110" s="47" t="str">
        <f t="shared" si="2"/>
        <v>Pipeline GPDF</v>
      </c>
      <c r="D110" s="48" t="s">
        <v>1227</v>
      </c>
      <c r="E110" s="48" t="s">
        <v>1227</v>
      </c>
      <c r="F110" s="48"/>
      <c r="G110" s="2">
        <v>1</v>
      </c>
      <c r="H110" s="2" t="s">
        <v>368</v>
      </c>
      <c r="J110" t="str">
        <f t="shared" si="1"/>
        <v>(108,'GPDF','Pipeline GPDF','1996-01-01','1996-01-01','1900-01-00',1),</v>
      </c>
    </row>
    <row r="111" spans="1:10" ht="24.95" customHeight="1" x14ac:dyDescent="0.3">
      <c r="A111" s="1">
        <v>109</v>
      </c>
      <c r="B111" s="2" t="s">
        <v>110</v>
      </c>
      <c r="C111" s="47" t="str">
        <f t="shared" si="2"/>
        <v>Pipeline EGPDF</v>
      </c>
      <c r="D111" s="48" t="s">
        <v>1240</v>
      </c>
      <c r="E111" s="48" t="s">
        <v>1240</v>
      </c>
      <c r="F111" s="48"/>
      <c r="G111" s="2">
        <v>1</v>
      </c>
      <c r="H111" s="2" t="s">
        <v>368</v>
      </c>
      <c r="J111" t="str">
        <f t="shared" si="1"/>
        <v>(109,'EGPDF','Pipeline EGPDF','2021-01-01','2021-01-01','1900-01-00',1),</v>
      </c>
    </row>
    <row r="112" spans="1:10" ht="24.95" customHeight="1" x14ac:dyDescent="0.3">
      <c r="A112" s="1">
        <v>110</v>
      </c>
      <c r="B112" s="2" t="s">
        <v>109</v>
      </c>
      <c r="C112" s="47" t="str">
        <f t="shared" si="2"/>
        <v>Pipeline GK1</v>
      </c>
      <c r="D112" s="48" t="s">
        <v>1241</v>
      </c>
      <c r="E112" s="48" t="s">
        <v>1242</v>
      </c>
      <c r="F112" s="48"/>
      <c r="G112" s="2">
        <v>1</v>
      </c>
      <c r="H112" s="2" t="s">
        <v>368</v>
      </c>
      <c r="J112" t="str">
        <f t="shared" si="1"/>
        <v>(110,'GK1','Pipeline GK1','1971-01-01','1978-01-01','1900-01-00',1),</v>
      </c>
    </row>
    <row r="113" spans="1:10" ht="24.95" customHeight="1" x14ac:dyDescent="0.3">
      <c r="A113" s="1">
        <v>111</v>
      </c>
      <c r="B113" s="2" t="s">
        <v>108</v>
      </c>
      <c r="C113" s="47" t="str">
        <f t="shared" si="2"/>
        <v>Pipeline GK2</v>
      </c>
      <c r="D113" s="48" t="s">
        <v>1244</v>
      </c>
      <c r="E113" s="48" t="s">
        <v>1243</v>
      </c>
      <c r="F113" s="48"/>
      <c r="G113" s="2">
        <v>1</v>
      </c>
      <c r="H113" s="2" t="s">
        <v>368</v>
      </c>
      <c r="J113" t="str">
        <f t="shared" si="1"/>
        <v>(111,'GK2','Pipeline GK2','1998-01-01','2001-01-01','1900-01-00',1),</v>
      </c>
    </row>
    <row r="114" spans="1:10" ht="24.95" customHeight="1" x14ac:dyDescent="0.3">
      <c r="A114" s="1">
        <v>112</v>
      </c>
      <c r="B114" s="2" t="s">
        <v>64</v>
      </c>
      <c r="C114" s="47" t="str">
        <f t="shared" si="2"/>
        <v>Pipeline GK3</v>
      </c>
      <c r="D114" s="48" t="s">
        <v>1245</v>
      </c>
      <c r="E114" s="48" t="s">
        <v>1245</v>
      </c>
      <c r="F114" s="48"/>
      <c r="G114" s="2">
        <v>1</v>
      </c>
      <c r="H114" s="2" t="s">
        <v>368</v>
      </c>
      <c r="J114" t="str">
        <f t="shared" si="1"/>
        <v>(112,'GK3','Pipeline GK3','2012-01-01','2012-01-01','1900-01-00',1),</v>
      </c>
    </row>
    <row r="115" spans="1:10" ht="24.95" customHeight="1" x14ac:dyDescent="0.3">
      <c r="A115" s="1">
        <v>113</v>
      </c>
      <c r="B115" s="2" t="s">
        <v>105</v>
      </c>
      <c r="C115" s="47" t="str">
        <f t="shared" si="2"/>
        <v>Pipeline GO1</v>
      </c>
      <c r="D115" s="48" t="s">
        <v>1217</v>
      </c>
      <c r="E115" s="48" t="s">
        <v>1217</v>
      </c>
      <c r="F115" s="48"/>
      <c r="G115" s="2">
        <v>1</v>
      </c>
      <c r="H115" s="2" t="s">
        <v>368</v>
      </c>
      <c r="J115" t="str">
        <f t="shared" si="1"/>
        <v>(113,'GO1','Pipeline GO1','1982-01-01','1982-01-01','1900-01-00',1),</v>
      </c>
    </row>
    <row r="116" spans="1:10" ht="24.95" customHeight="1" x14ac:dyDescent="0.3">
      <c r="A116" s="1">
        <v>114</v>
      </c>
      <c r="B116" s="2" t="s">
        <v>106</v>
      </c>
      <c r="C116" s="47" t="str">
        <f t="shared" si="2"/>
        <v>Pipeline GO2</v>
      </c>
      <c r="D116" s="48" t="s">
        <v>1246</v>
      </c>
      <c r="E116" s="48" t="s">
        <v>1246</v>
      </c>
      <c r="F116" s="48"/>
      <c r="G116" s="2">
        <v>1</v>
      </c>
      <c r="H116" s="2" t="s">
        <v>368</v>
      </c>
      <c r="J116" t="str">
        <f t="shared" si="1"/>
        <v>(114,'GO2','Pipeline GO2','1987-01-01','1987-01-01','1900-01-00',1),</v>
      </c>
    </row>
    <row r="117" spans="1:10" ht="24.95" customHeight="1" x14ac:dyDescent="0.3">
      <c r="A117" s="1">
        <v>115</v>
      </c>
      <c r="B117" s="2" t="s">
        <v>107</v>
      </c>
      <c r="C117" s="47" t="str">
        <f t="shared" si="2"/>
        <v>Pipeline GO3</v>
      </c>
      <c r="D117" s="48" t="s">
        <v>1247</v>
      </c>
      <c r="E117" s="48" t="s">
        <v>1248</v>
      </c>
      <c r="F117" s="48"/>
      <c r="G117" s="2">
        <v>1</v>
      </c>
      <c r="H117" s="2" t="s">
        <v>368</v>
      </c>
      <c r="J117" t="str">
        <f t="shared" si="1"/>
        <v>(115,'GO3','Pipeline GO3','2008-01-01','2010-01-01','1900-01-00',1),</v>
      </c>
    </row>
    <row r="118" spans="1:10" ht="24.95" customHeight="1" x14ac:dyDescent="0.3">
      <c r="A118" s="1">
        <v>116</v>
      </c>
      <c r="B118" s="2" t="s">
        <v>66</v>
      </c>
      <c r="C118" s="47" t="str">
        <f t="shared" si="2"/>
        <v>Pipeline GG1</v>
      </c>
      <c r="D118" s="48" t="s">
        <v>1249</v>
      </c>
      <c r="E118" s="48" t="s">
        <v>1249</v>
      </c>
      <c r="F118" s="48"/>
      <c r="G118" s="2">
        <v>1</v>
      </c>
      <c r="H118" s="2" t="s">
        <v>368</v>
      </c>
      <c r="J118" t="str">
        <f t="shared" si="1"/>
        <v>(116,'GG1','Pipeline GG1','1981-01-01','1981-01-01','1900-01-00',1),</v>
      </c>
    </row>
    <row r="119" spans="1:10" ht="24.95" customHeight="1" x14ac:dyDescent="0.3">
      <c r="A119" s="1">
        <v>117</v>
      </c>
      <c r="B119" s="2" t="s">
        <v>113</v>
      </c>
      <c r="C119" s="47" t="str">
        <f t="shared" si="2"/>
        <v>Pipeline RGG1</v>
      </c>
      <c r="D119" s="48" t="s">
        <v>1250</v>
      </c>
      <c r="E119" s="48" t="s">
        <v>1250</v>
      </c>
      <c r="F119" s="48"/>
      <c r="G119" s="2">
        <v>1</v>
      </c>
      <c r="H119" s="2" t="s">
        <v>368</v>
      </c>
      <c r="J119" t="str">
        <f t="shared" si="1"/>
        <v>(117,'RGG1','Pipeline RGG1','2019-01-01','2019-01-01','1900-01-00',1),</v>
      </c>
    </row>
    <row r="120" spans="1:10" ht="24.95" customHeight="1" x14ac:dyDescent="0.3">
      <c r="A120" s="1">
        <v>118</v>
      </c>
      <c r="B120" s="2" t="s">
        <v>114</v>
      </c>
      <c r="C120" s="47" t="str">
        <f t="shared" si="2"/>
        <v>Pipeline GR1</v>
      </c>
      <c r="D120" s="48" t="s">
        <v>1251</v>
      </c>
      <c r="E120" s="48" t="s">
        <v>1251</v>
      </c>
      <c r="F120" s="48"/>
      <c r="G120" s="2">
        <v>1</v>
      </c>
      <c r="H120" s="2" t="s">
        <v>368</v>
      </c>
      <c r="J120" t="str">
        <f t="shared" si="1"/>
        <v>(118,'GR1','Pipeline GR1','1986-01-01','1986-01-01','1900-01-00',1),</v>
      </c>
    </row>
    <row r="121" spans="1:10" ht="24.95" customHeight="1" x14ac:dyDescent="0.3">
      <c r="A121" s="1">
        <v>119</v>
      </c>
      <c r="B121" s="2" t="s">
        <v>115</v>
      </c>
      <c r="C121" s="47" t="str">
        <f t="shared" si="2"/>
        <v>Pipeline GR2</v>
      </c>
      <c r="D121" s="48" t="s">
        <v>1221</v>
      </c>
      <c r="E121" s="48" t="s">
        <v>1221</v>
      </c>
      <c r="F121" s="48"/>
      <c r="G121" s="2">
        <v>1</v>
      </c>
      <c r="H121" s="2" t="s">
        <v>368</v>
      </c>
      <c r="J121" t="str">
        <f t="shared" si="1"/>
        <v>(119,'GR2','Pipeline GR2','1999-01-01','1999-01-01','1900-01-00',1),</v>
      </c>
    </row>
    <row r="122" spans="1:10" ht="24.95" customHeight="1" x14ac:dyDescent="0.3">
      <c r="A122" s="1">
        <v>120</v>
      </c>
      <c r="B122" s="2" t="s">
        <v>116</v>
      </c>
      <c r="C122" s="47" t="str">
        <f t="shared" si="2"/>
        <v>Pipeline GR4</v>
      </c>
      <c r="D122" s="48" t="s">
        <v>1229</v>
      </c>
      <c r="E122" s="48" t="s">
        <v>1229</v>
      </c>
      <c r="F122" s="48"/>
      <c r="G122" s="2">
        <v>1</v>
      </c>
      <c r="H122" s="2" t="s">
        <v>368</v>
      </c>
      <c r="J122" t="str">
        <f t="shared" si="1"/>
        <v>(120,'GR4','Pipeline GR4','2014-01-01','2014-01-01','1900-01-00',1),</v>
      </c>
    </row>
    <row r="123" spans="1:10" ht="24.95" customHeight="1" x14ac:dyDescent="0.3">
      <c r="A123" s="1">
        <v>121</v>
      </c>
      <c r="B123" s="2" t="s">
        <v>117</v>
      </c>
      <c r="C123" s="47" t="str">
        <f t="shared" si="2"/>
        <v>Pipeline GR6</v>
      </c>
      <c r="D123" s="48" t="s">
        <v>1252</v>
      </c>
      <c r="E123" s="48" t="s">
        <v>1252</v>
      </c>
      <c r="F123" s="48"/>
      <c r="G123" s="2">
        <v>1</v>
      </c>
      <c r="H123" s="2" t="s">
        <v>368</v>
      </c>
      <c r="J123" t="str">
        <f t="shared" si="1"/>
        <v>(121,'GR6','Pipeline GR6','2017-01-01','2017-01-01','1900-01-00',1),</v>
      </c>
    </row>
    <row r="124" spans="1:10" ht="24.95" customHeight="1" x14ac:dyDescent="0.3">
      <c r="A124" s="1">
        <v>122</v>
      </c>
      <c r="B124" s="2" t="s">
        <v>68</v>
      </c>
      <c r="C124" s="47" t="str">
        <f t="shared" si="2"/>
        <v>Pipeline GR5</v>
      </c>
      <c r="D124" s="48" t="s">
        <v>1254</v>
      </c>
      <c r="E124" s="48" t="s">
        <v>1254</v>
      </c>
      <c r="F124" s="48"/>
      <c r="G124" s="2">
        <v>1</v>
      </c>
      <c r="H124" s="2" t="s">
        <v>368</v>
      </c>
      <c r="J124" t="str">
        <f t="shared" si="1"/>
        <v>(122,'GR5','Pipeline GR5','2017-06-01','2017-06-01','1900-01-00',1),</v>
      </c>
    </row>
    <row r="125" spans="1:10" ht="24.95" customHeight="1" x14ac:dyDescent="0.3">
      <c r="A125" s="1">
        <v>123</v>
      </c>
      <c r="B125" s="2" t="s">
        <v>118</v>
      </c>
      <c r="C125" s="47" t="str">
        <f t="shared" si="2"/>
        <v>Pipeline GR7</v>
      </c>
      <c r="D125" s="48" t="s">
        <v>1253</v>
      </c>
      <c r="E125" s="48" t="s">
        <v>1253</v>
      </c>
      <c r="F125" s="48"/>
      <c r="G125" s="2">
        <v>1</v>
      </c>
      <c r="H125" s="2" t="s">
        <v>368</v>
      </c>
      <c r="J125" t="str">
        <f t="shared" si="1"/>
        <v>(123,'GR7','Pipeline GR7','2019-12-01','2019-12-01','1900-01-00',1),</v>
      </c>
    </row>
    <row r="126" spans="1:10" ht="24.95" hidden="1" customHeight="1" x14ac:dyDescent="0.3">
      <c r="A126" s="1">
        <v>124</v>
      </c>
      <c r="B126" s="2" t="s">
        <v>201</v>
      </c>
      <c r="C126" s="47" t="str">
        <f>CONCATENATE(I126," Field")</f>
        <v>Hassi R’Mel Field</v>
      </c>
      <c r="D126" s="48">
        <v>22832</v>
      </c>
      <c r="E126" s="48">
        <v>22832</v>
      </c>
      <c r="F126" s="48"/>
      <c r="G126" s="2">
        <v>1</v>
      </c>
      <c r="H126" s="2" t="s">
        <v>1545</v>
      </c>
      <c r="I126" t="s">
        <v>1478</v>
      </c>
      <c r="J126" t="str">
        <f t="shared" si="1"/>
        <v>(124,'HRM','Hassi R’Mel Field','1962-07-05','1962-07-05','1900-01-00',1),</v>
      </c>
    </row>
    <row r="127" spans="1:10" ht="24.95" hidden="1" customHeight="1" x14ac:dyDescent="0.3">
      <c r="A127" s="1">
        <v>125</v>
      </c>
      <c r="B127" s="2" t="s">
        <v>1560</v>
      </c>
      <c r="C127" s="47" t="str">
        <f t="shared" ref="C127:C144" si="3">CONCATENATE(I127," Field")</f>
        <v>Rhourde Nouss Field</v>
      </c>
      <c r="D127" s="48">
        <v>22832</v>
      </c>
      <c r="E127" s="48">
        <v>22832</v>
      </c>
      <c r="F127" s="48"/>
      <c r="G127" s="2">
        <v>1</v>
      </c>
      <c r="H127" s="2" t="s">
        <v>1545</v>
      </c>
      <c r="I127" t="s">
        <v>1479</v>
      </c>
      <c r="J127" t="str">
        <f t="shared" si="1"/>
        <v>(125,'RN','Rhourde Nouss Field','1962-07-05','1962-07-05','1900-01-00',1),</v>
      </c>
    </row>
    <row r="128" spans="1:10" ht="24.95" hidden="1" customHeight="1" x14ac:dyDescent="0.3">
      <c r="A128" s="1">
        <v>126</v>
      </c>
      <c r="B128" s="2" t="s">
        <v>104</v>
      </c>
      <c r="C128" s="47" t="str">
        <f t="shared" si="3"/>
        <v>Alrar Field</v>
      </c>
      <c r="D128" s="48">
        <v>22832</v>
      </c>
      <c r="E128" s="48">
        <v>22832</v>
      </c>
      <c r="F128" s="48"/>
      <c r="G128" s="2">
        <v>1</v>
      </c>
      <c r="H128" s="2" t="s">
        <v>1545</v>
      </c>
      <c r="I128" t="s">
        <v>104</v>
      </c>
      <c r="J128" t="str">
        <f t="shared" si="1"/>
        <v>(126,'Alrar','Alrar Field','1962-07-05','1962-07-05','1900-01-00',1),</v>
      </c>
    </row>
    <row r="129" spans="1:10" ht="24.95" hidden="1" customHeight="1" x14ac:dyDescent="0.3">
      <c r="A129" s="1">
        <v>127</v>
      </c>
      <c r="B129" s="2" t="s">
        <v>271</v>
      </c>
      <c r="C129" s="47" t="str">
        <f t="shared" si="3"/>
        <v>Tin Fouyé Tabankort (TFT) Field</v>
      </c>
      <c r="D129" s="48">
        <v>22832</v>
      </c>
      <c r="E129" s="48">
        <v>22832</v>
      </c>
      <c r="F129" s="48"/>
      <c r="G129" s="2">
        <v>1</v>
      </c>
      <c r="H129" s="2" t="s">
        <v>1545</v>
      </c>
      <c r="I129" t="s">
        <v>1480</v>
      </c>
      <c r="J129" t="str">
        <f t="shared" si="1"/>
        <v>(127,'TFT','Tin Fouyé Tabankort (TFT) Field','1962-07-05','1962-07-05','1900-01-00',1),</v>
      </c>
    </row>
    <row r="130" spans="1:10" ht="24.95" hidden="1" customHeight="1" x14ac:dyDescent="0.3">
      <c r="A130" s="1">
        <v>128</v>
      </c>
      <c r="B130" s="2" t="s">
        <v>1559</v>
      </c>
      <c r="C130" s="47" t="str">
        <f t="shared" si="3"/>
        <v>Ohanet Field</v>
      </c>
      <c r="D130" s="48">
        <v>22832</v>
      </c>
      <c r="E130" s="48">
        <v>22832</v>
      </c>
      <c r="F130" s="48"/>
      <c r="G130" s="2">
        <v>1</v>
      </c>
      <c r="H130" s="2" t="s">
        <v>1545</v>
      </c>
      <c r="I130" t="s">
        <v>103</v>
      </c>
      <c r="J130" t="str">
        <f t="shared" si="1"/>
        <v>(128,'OHN','Ohanet Field','1962-07-05','1962-07-05','1900-01-00',1),</v>
      </c>
    </row>
    <row r="131" spans="1:10" ht="24.95" hidden="1" customHeight="1" x14ac:dyDescent="0.3">
      <c r="A131" s="1">
        <v>129</v>
      </c>
      <c r="B131" s="2" t="s">
        <v>1558</v>
      </c>
      <c r="C131" s="47" t="str">
        <f t="shared" si="3"/>
        <v>In Amenas (Tiguentourine) Field</v>
      </c>
      <c r="D131" s="48">
        <v>22832</v>
      </c>
      <c r="E131" s="48">
        <v>22832</v>
      </c>
      <c r="F131" s="48"/>
      <c r="G131" s="2">
        <v>1</v>
      </c>
      <c r="H131" s="2" t="s">
        <v>1545</v>
      </c>
      <c r="I131" t="s">
        <v>1520</v>
      </c>
      <c r="J131" t="str">
        <f t="shared" si="1"/>
        <v>(129,'TGN','In Amenas (Tiguentourine) Field','1962-07-05','1962-07-05','1900-01-00',1),</v>
      </c>
    </row>
    <row r="132" spans="1:10" ht="24.95" hidden="1" customHeight="1" x14ac:dyDescent="0.3">
      <c r="A132" s="1">
        <v>130</v>
      </c>
      <c r="B132" s="2" t="s">
        <v>1546</v>
      </c>
      <c r="C132" s="47" t="str">
        <f t="shared" si="3"/>
        <v>In Salah (Krechba group) Field</v>
      </c>
      <c r="D132" s="48">
        <v>22832</v>
      </c>
      <c r="E132" s="48">
        <v>22832</v>
      </c>
      <c r="F132" s="48"/>
      <c r="G132" s="2">
        <v>1</v>
      </c>
      <c r="H132" s="2" t="s">
        <v>1545</v>
      </c>
      <c r="I132" t="s">
        <v>1523</v>
      </c>
      <c r="J132" t="str">
        <f t="shared" ref="J132:J144" si="4">CONCATENATE("(",A132,",'",B132,"','",C132,"','",TEXT(D132,"yyyy-mm-dd"),"','",TEXT(E132,"yyyy-mm-dd"),"','",TEXT(F132,"yyyy-mm-dd"),"',",G132,"),")</f>
        <v>(130,'Krechba','In Salah (Krechba group) Field','1962-07-05','1962-07-05','1900-01-00',1),</v>
      </c>
    </row>
    <row r="133" spans="1:10" ht="24.95" hidden="1" customHeight="1" x14ac:dyDescent="0.3">
      <c r="A133" s="1">
        <v>131</v>
      </c>
      <c r="B133" s="2" t="s">
        <v>1557</v>
      </c>
      <c r="C133" s="47" t="str">
        <f t="shared" si="3"/>
        <v>Timimoun Field</v>
      </c>
      <c r="D133" s="48">
        <v>22832</v>
      </c>
      <c r="E133" s="48">
        <v>22832</v>
      </c>
      <c r="F133" s="48"/>
      <c r="G133" s="2">
        <v>1</v>
      </c>
      <c r="H133" s="2" t="s">
        <v>1545</v>
      </c>
      <c r="I133" t="s">
        <v>1198</v>
      </c>
      <c r="J133" t="str">
        <f t="shared" si="4"/>
        <v>(131,'TMM','Timimoun Field','1962-07-05','1962-07-05','1900-01-00',1),</v>
      </c>
    </row>
    <row r="134" spans="1:10" ht="24.95" hidden="1" customHeight="1" x14ac:dyDescent="0.3">
      <c r="A134" s="1">
        <v>132</v>
      </c>
      <c r="B134" s="2" t="s">
        <v>1556</v>
      </c>
      <c r="C134" s="47" t="str">
        <f t="shared" si="3"/>
        <v>Aïn T’sila Field</v>
      </c>
      <c r="D134" s="48">
        <v>22832</v>
      </c>
      <c r="E134" s="48">
        <v>22832</v>
      </c>
      <c r="F134" s="48"/>
      <c r="G134" s="2">
        <v>1</v>
      </c>
      <c r="H134" s="2" t="s">
        <v>1545</v>
      </c>
      <c r="I134" t="s">
        <v>1527</v>
      </c>
      <c r="J134" t="str">
        <f t="shared" si="4"/>
        <v>(132,'AT','Aïn T’sila Field','1962-07-05','1962-07-05','1900-01-00',1),</v>
      </c>
    </row>
    <row r="135" spans="1:10" ht="24.95" hidden="1" customHeight="1" x14ac:dyDescent="0.3">
      <c r="A135" s="1">
        <v>133</v>
      </c>
      <c r="B135" s="2" t="s">
        <v>1555</v>
      </c>
      <c r="C135" s="47" t="str">
        <f t="shared" si="3"/>
        <v>Gassi Touil Field</v>
      </c>
      <c r="D135" s="48">
        <v>22832</v>
      </c>
      <c r="E135" s="48">
        <v>22832</v>
      </c>
      <c r="F135" s="48"/>
      <c r="G135" s="2">
        <v>1</v>
      </c>
      <c r="H135" s="2" t="s">
        <v>1545</v>
      </c>
      <c r="I135" t="s">
        <v>101</v>
      </c>
      <c r="J135" t="str">
        <f t="shared" si="4"/>
        <v>(133,'GT','Gassi Touil Field','1962-07-05','1962-07-05','1900-01-00',1),</v>
      </c>
    </row>
    <row r="136" spans="1:10" ht="24.95" hidden="1" customHeight="1" x14ac:dyDescent="0.3">
      <c r="A136" s="1">
        <v>134</v>
      </c>
      <c r="B136" s="2" t="s">
        <v>1547</v>
      </c>
      <c r="C136" s="47" t="str">
        <f t="shared" si="3"/>
        <v>Hassi Messaoud Field</v>
      </c>
      <c r="D136" s="48">
        <v>22832</v>
      </c>
      <c r="E136" s="48">
        <v>22832</v>
      </c>
      <c r="F136" s="48"/>
      <c r="G136" s="2">
        <v>1</v>
      </c>
      <c r="H136" s="2" t="s">
        <v>1545</v>
      </c>
      <c r="I136" t="s">
        <v>102</v>
      </c>
      <c r="J136" t="str">
        <f t="shared" si="4"/>
        <v>(134,'HMD','Hassi Messaoud Field','1962-07-05','1962-07-05','1900-01-00',1),</v>
      </c>
    </row>
    <row r="137" spans="1:10" ht="24.95" hidden="1" customHeight="1" x14ac:dyDescent="0.3">
      <c r="A137" s="1">
        <v>135</v>
      </c>
      <c r="B137" s="2" t="s">
        <v>1548</v>
      </c>
      <c r="C137" s="47" t="str">
        <f t="shared" si="3"/>
        <v>Haoud Berkaoui Field</v>
      </c>
      <c r="D137" s="48">
        <v>22832</v>
      </c>
      <c r="E137" s="48">
        <v>22832</v>
      </c>
      <c r="F137" s="48"/>
      <c r="G137" s="2">
        <v>1</v>
      </c>
      <c r="H137" s="2" t="s">
        <v>1545</v>
      </c>
      <c r="I137" t="s">
        <v>1536</v>
      </c>
      <c r="J137" t="str">
        <f t="shared" si="4"/>
        <v>(135,'HB','Haoud Berkaoui Field','1962-07-05','1962-07-05','1900-01-00',1),</v>
      </c>
    </row>
    <row r="138" spans="1:10" ht="24.95" hidden="1" customHeight="1" x14ac:dyDescent="0.3">
      <c r="A138" s="1">
        <v>136</v>
      </c>
      <c r="B138" s="2" t="s">
        <v>1549</v>
      </c>
      <c r="C138" s="47" t="str">
        <f t="shared" si="3"/>
        <v>Oued Noumer Field</v>
      </c>
      <c r="D138" s="48">
        <v>22832</v>
      </c>
      <c r="E138" s="48">
        <v>22832</v>
      </c>
      <c r="F138" s="48"/>
      <c r="G138" s="2">
        <v>1</v>
      </c>
      <c r="H138" s="2" t="s">
        <v>1545</v>
      </c>
      <c r="I138" t="s">
        <v>1487</v>
      </c>
      <c r="J138" t="str">
        <f t="shared" si="4"/>
        <v>(136,'ON','Oued Noumer Field','1962-07-05','1962-07-05','1900-01-00',1),</v>
      </c>
    </row>
    <row r="139" spans="1:10" ht="24.95" hidden="1" customHeight="1" x14ac:dyDescent="0.3">
      <c r="A139" s="1">
        <v>137</v>
      </c>
      <c r="B139" s="2" t="s">
        <v>277</v>
      </c>
      <c r="C139" s="47" t="str">
        <f t="shared" si="3"/>
        <v>Rhourde El Baguel Field</v>
      </c>
      <c r="D139" s="48">
        <v>22832</v>
      </c>
      <c r="E139" s="48">
        <v>22832</v>
      </c>
      <c r="F139" s="48"/>
      <c r="G139" s="2">
        <v>1</v>
      </c>
      <c r="H139" s="2" t="s">
        <v>1545</v>
      </c>
      <c r="I139" t="s">
        <v>1485</v>
      </c>
      <c r="J139" t="str">
        <f t="shared" si="4"/>
        <v>(137,'REB','Rhourde El Baguel Field','1962-07-05','1962-07-05','1900-01-00',1),</v>
      </c>
    </row>
    <row r="140" spans="1:10" ht="24.95" hidden="1" customHeight="1" x14ac:dyDescent="0.3">
      <c r="A140" s="1">
        <v>138</v>
      </c>
      <c r="B140" s="2" t="s">
        <v>1550</v>
      </c>
      <c r="C140" s="47" t="str">
        <f t="shared" si="3"/>
        <v>Ourhoud Field</v>
      </c>
      <c r="D140" s="48">
        <v>22832</v>
      </c>
      <c r="E140" s="48">
        <v>22832</v>
      </c>
      <c r="F140" s="48"/>
      <c r="G140" s="2">
        <v>1</v>
      </c>
      <c r="H140" s="2" t="s">
        <v>1545</v>
      </c>
      <c r="I140" t="s">
        <v>1484</v>
      </c>
      <c r="J140" t="str">
        <f t="shared" si="4"/>
        <v>(138,'OUR','Ourhoud Field','1962-07-05','1962-07-05','1900-01-00',1),</v>
      </c>
    </row>
    <row r="141" spans="1:10" ht="24.95" hidden="1" customHeight="1" x14ac:dyDescent="0.3">
      <c r="A141" s="1">
        <v>139</v>
      </c>
      <c r="B141" s="2" t="s">
        <v>1551</v>
      </c>
      <c r="C141" s="47" t="str">
        <f t="shared" si="3"/>
        <v>Hassi Berkine Complex Field</v>
      </c>
      <c r="D141" s="48">
        <v>22832</v>
      </c>
      <c r="E141" s="48">
        <v>22832</v>
      </c>
      <c r="F141" s="48"/>
      <c r="G141" s="2">
        <v>1</v>
      </c>
      <c r="H141" s="2" t="s">
        <v>1545</v>
      </c>
      <c r="I141" t="s">
        <v>1492</v>
      </c>
      <c r="J141" t="str">
        <f t="shared" si="4"/>
        <v>(139,'HBC','Hassi Berkine Complex Field','1962-07-05','1962-07-05','1900-01-00',1),</v>
      </c>
    </row>
    <row r="142" spans="1:10" ht="24.95" hidden="1" customHeight="1" x14ac:dyDescent="0.3">
      <c r="A142" s="1">
        <v>140</v>
      </c>
      <c r="B142" s="2" t="s">
        <v>1552</v>
      </c>
      <c r="C142" s="47" t="str">
        <f t="shared" si="3"/>
        <v>Zarzaitine Field</v>
      </c>
      <c r="D142" s="48">
        <v>22832</v>
      </c>
      <c r="E142" s="48">
        <v>22832</v>
      </c>
      <c r="F142" s="48"/>
      <c r="G142" s="2">
        <v>1</v>
      </c>
      <c r="H142" s="2" t="s">
        <v>1545</v>
      </c>
      <c r="I142" t="s">
        <v>1541</v>
      </c>
      <c r="J142" t="str">
        <f t="shared" si="4"/>
        <v>(140,'ZRZ','Zarzaitine Field','1962-07-05','1962-07-05','1900-01-00',1),</v>
      </c>
    </row>
    <row r="143" spans="1:10" ht="24.95" hidden="1" customHeight="1" x14ac:dyDescent="0.3">
      <c r="A143" s="1">
        <v>141</v>
      </c>
      <c r="B143" s="2" t="s">
        <v>1553</v>
      </c>
      <c r="C143" s="47" t="str">
        <f t="shared" si="3"/>
        <v>HDLE / HDLS Field</v>
      </c>
      <c r="D143" s="48">
        <v>22832</v>
      </c>
      <c r="E143" s="48">
        <v>22832</v>
      </c>
      <c r="F143" s="48"/>
      <c r="G143" s="2">
        <v>1</v>
      </c>
      <c r="H143" s="2" t="s">
        <v>1545</v>
      </c>
      <c r="I143" t="s">
        <v>1493</v>
      </c>
      <c r="J143" t="str">
        <f t="shared" si="4"/>
        <v>(141,'HDLE','HDLE / HDLS Field','1962-07-05','1962-07-05','1900-01-00',1),</v>
      </c>
    </row>
    <row r="144" spans="1:10" ht="24.95" hidden="1" customHeight="1" x14ac:dyDescent="0.3">
      <c r="A144" s="1">
        <v>142</v>
      </c>
      <c r="B144" s="2" t="s">
        <v>1554</v>
      </c>
      <c r="C144" s="47" t="str">
        <f t="shared" si="3"/>
        <v>Timrhert / Tinrhert Field</v>
      </c>
      <c r="D144" s="48">
        <v>22832</v>
      </c>
      <c r="E144" s="48">
        <v>22832</v>
      </c>
      <c r="F144" s="48"/>
      <c r="G144" s="2">
        <v>1</v>
      </c>
      <c r="H144" s="2" t="s">
        <v>1545</v>
      </c>
      <c r="I144" t="s">
        <v>1482</v>
      </c>
      <c r="J144" t="str">
        <f t="shared" si="4"/>
        <v>(142,'Tim','Timrhert / Tinrhert Field','1962-07-05','1962-07-05','1900-01-00',1),</v>
      </c>
    </row>
    <row r="145" spans="1:8" ht="24.95" customHeight="1" x14ac:dyDescent="0.3">
      <c r="A145" s="1"/>
      <c r="B145" s="2"/>
      <c r="C145" s="47"/>
      <c r="D145" s="48"/>
      <c r="E145" s="48"/>
      <c r="F145" s="48"/>
      <c r="G145" s="2"/>
      <c r="H145" s="2"/>
    </row>
    <row r="146" spans="1:8" ht="24.95" customHeight="1" x14ac:dyDescent="0.3">
      <c r="A146" s="1"/>
      <c r="B146" s="2"/>
      <c r="C146" s="47"/>
      <c r="D146" s="48"/>
      <c r="E146" s="48"/>
      <c r="F146" s="48"/>
      <c r="G146" s="2"/>
      <c r="H146" s="2"/>
    </row>
    <row r="147" spans="1:8" ht="24.95" customHeight="1" x14ac:dyDescent="0.3">
      <c r="A147" s="1"/>
      <c r="B147" s="2"/>
      <c r="C147" s="47"/>
      <c r="D147" s="48"/>
      <c r="E147" s="48"/>
      <c r="F147" s="48"/>
      <c r="G147" s="2"/>
      <c r="H147" s="2"/>
    </row>
    <row r="148" spans="1:8" ht="24.95" customHeight="1" x14ac:dyDescent="0.3">
      <c r="A148" s="1"/>
      <c r="B148" s="2"/>
      <c r="C148" s="47"/>
      <c r="D148" s="48"/>
      <c r="E148" s="48"/>
      <c r="F148" s="48"/>
      <c r="G148" s="2"/>
      <c r="H148" s="2"/>
    </row>
    <row r="149" spans="1:8" ht="24.95" customHeight="1" x14ac:dyDescent="0.3">
      <c r="A149" s="1"/>
      <c r="B149" s="2"/>
      <c r="C149" s="47"/>
      <c r="D149" s="48"/>
      <c r="E149" s="48"/>
      <c r="F149" s="48"/>
      <c r="G149" s="2"/>
      <c r="H149" s="2"/>
    </row>
    <row r="150" spans="1:8" ht="24.95" customHeight="1" x14ac:dyDescent="0.3">
      <c r="A150" s="1"/>
      <c r="B150" s="2"/>
      <c r="C150" s="47"/>
      <c r="D150" s="48"/>
      <c r="E150" s="48"/>
      <c r="F150" s="48"/>
      <c r="G150" s="2"/>
      <c r="H150" s="2"/>
    </row>
    <row r="151" spans="1:8" ht="24.95" customHeight="1" x14ac:dyDescent="0.3">
      <c r="A151" s="1"/>
      <c r="B151" s="2"/>
      <c r="C151" s="47"/>
      <c r="D151" s="48"/>
      <c r="E151" s="48"/>
      <c r="F151" s="48"/>
      <c r="G151" s="2"/>
      <c r="H151" s="2"/>
    </row>
    <row r="152" spans="1:8" ht="24.95" customHeight="1" x14ac:dyDescent="0.3">
      <c r="A152" s="1"/>
      <c r="B152" s="2"/>
      <c r="C152" s="47"/>
      <c r="D152" s="48"/>
      <c r="E152" s="48"/>
      <c r="F152" s="48"/>
      <c r="G152" s="2"/>
      <c r="H152" s="2"/>
    </row>
    <row r="153" spans="1:8" ht="24.95" customHeight="1" x14ac:dyDescent="0.3">
      <c r="A153" s="1"/>
      <c r="B153" s="2"/>
      <c r="C153" s="47"/>
      <c r="D153" s="48"/>
      <c r="E153" s="48"/>
      <c r="F153" s="48"/>
      <c r="G153" s="2"/>
      <c r="H153" s="2"/>
    </row>
    <row r="154" spans="1:8" ht="24.95" customHeight="1" x14ac:dyDescent="0.3">
      <c r="A154" s="1"/>
      <c r="B154" s="2"/>
      <c r="C154" s="47"/>
      <c r="D154" s="48"/>
      <c r="E154" s="48"/>
      <c r="F154" s="48"/>
      <c r="G154" s="2"/>
      <c r="H154" s="2"/>
    </row>
    <row r="155" spans="1:8" ht="24.95" customHeight="1" x14ac:dyDescent="0.3">
      <c r="A155" s="1"/>
      <c r="B155" s="2"/>
      <c r="C155" s="47"/>
      <c r="D155" s="48"/>
      <c r="E155" s="48"/>
      <c r="F155" s="48"/>
      <c r="G155" s="2"/>
      <c r="H155" s="2"/>
    </row>
    <row r="156" spans="1:8" ht="24.95" customHeight="1" x14ac:dyDescent="0.3">
      <c r="A156" s="1"/>
      <c r="B156" s="2"/>
      <c r="C156" s="47"/>
      <c r="D156" s="48"/>
      <c r="E156" s="48"/>
      <c r="F156" s="48"/>
      <c r="G156" s="2"/>
      <c r="H156" s="2"/>
    </row>
    <row r="157" spans="1:8" ht="24.95" customHeight="1" x14ac:dyDescent="0.3">
      <c r="A157" s="1"/>
      <c r="B157" s="2"/>
      <c r="C157" s="47"/>
      <c r="D157" s="48"/>
      <c r="E157" s="48"/>
      <c r="F157" s="48"/>
      <c r="G157" s="2"/>
      <c r="H157" s="2"/>
    </row>
    <row r="158" spans="1:8" ht="24.95" customHeight="1" x14ac:dyDescent="0.3">
      <c r="A158" s="1"/>
      <c r="B158" s="2"/>
      <c r="C158" s="47"/>
      <c r="D158" s="48"/>
      <c r="E158" s="48"/>
      <c r="F158" s="48"/>
      <c r="G158" s="2"/>
      <c r="H158" s="2"/>
    </row>
    <row r="159" spans="1:8" ht="24.95" customHeight="1" x14ac:dyDescent="0.3">
      <c r="A159" s="1"/>
      <c r="B159" s="2"/>
      <c r="C159" s="47"/>
      <c r="D159" s="48"/>
      <c r="E159" s="48"/>
      <c r="F159" s="48"/>
      <c r="G159" s="2"/>
      <c r="H159" s="2"/>
    </row>
    <row r="160" spans="1:8" ht="24.95" customHeight="1" x14ac:dyDescent="0.3">
      <c r="A160" s="1"/>
      <c r="B160" s="2"/>
      <c r="C160" s="47"/>
      <c r="D160" s="48"/>
      <c r="E160" s="48"/>
      <c r="F160" s="48"/>
      <c r="G160" s="2"/>
      <c r="H160" s="2"/>
    </row>
    <row r="161" spans="1:8" ht="24.95" customHeight="1" x14ac:dyDescent="0.3">
      <c r="A161" s="1"/>
      <c r="B161" s="2"/>
      <c r="C161" s="47"/>
      <c r="D161" s="48"/>
      <c r="E161" s="48"/>
      <c r="F161" s="48"/>
      <c r="G161" s="2"/>
      <c r="H161" s="2"/>
    </row>
    <row r="162" spans="1:8" ht="24.95" customHeight="1" x14ac:dyDescent="0.3">
      <c r="A162" s="1"/>
      <c r="B162" s="2"/>
      <c r="C162" s="47"/>
      <c r="D162" s="48"/>
      <c r="E162" s="48"/>
      <c r="F162" s="48"/>
      <c r="G162" s="2"/>
      <c r="H162" s="2"/>
    </row>
    <row r="163" spans="1:8" ht="24.95" customHeight="1" x14ac:dyDescent="0.3">
      <c r="A163" s="1"/>
      <c r="B163" s="2"/>
      <c r="C163" s="47"/>
      <c r="D163" s="48"/>
      <c r="E163" s="48"/>
      <c r="F163" s="48"/>
      <c r="G163" s="2"/>
      <c r="H163" s="2"/>
    </row>
    <row r="164" spans="1:8" ht="24.95" customHeight="1" x14ac:dyDescent="0.3">
      <c r="A164" s="1"/>
      <c r="B164" s="2"/>
      <c r="C164" s="47"/>
      <c r="D164" s="48"/>
      <c r="E164" s="48"/>
      <c r="F164" s="48"/>
      <c r="G164" s="2"/>
      <c r="H164" s="2"/>
    </row>
    <row r="165" spans="1:8" ht="24.95" customHeight="1" x14ac:dyDescent="0.3">
      <c r="A165" s="1"/>
      <c r="B165" s="2"/>
      <c r="C165" s="47"/>
      <c r="D165" s="48"/>
      <c r="E165" s="48"/>
      <c r="F165" s="48"/>
      <c r="G165" s="2"/>
      <c r="H165" s="2"/>
    </row>
    <row r="166" spans="1:8" ht="24.95" customHeight="1" x14ac:dyDescent="0.3">
      <c r="A166" s="1"/>
      <c r="B166" s="2"/>
      <c r="C166" s="47"/>
      <c r="D166" s="48"/>
      <c r="E166" s="48"/>
      <c r="F166" s="48"/>
      <c r="G166" s="2"/>
      <c r="H166" s="2"/>
    </row>
    <row r="167" spans="1:8" ht="24.95" customHeight="1" x14ac:dyDescent="0.3">
      <c r="A167" s="1"/>
      <c r="B167" s="2"/>
      <c r="C167" s="47"/>
      <c r="D167" s="48"/>
      <c r="E167" s="48"/>
      <c r="F167" s="48"/>
      <c r="G167" s="2"/>
      <c r="H167" s="2"/>
    </row>
    <row r="168" spans="1:8" ht="24.95" customHeight="1" x14ac:dyDescent="0.3">
      <c r="A168" s="1"/>
      <c r="B168" s="2"/>
      <c r="C168" s="47"/>
      <c r="D168" s="48"/>
      <c r="E168" s="48"/>
      <c r="F168" s="48"/>
      <c r="G168" s="2"/>
      <c r="H168" s="2"/>
    </row>
    <row r="169" spans="1:8" ht="24.95" customHeight="1" x14ac:dyDescent="0.3">
      <c r="A169" s="1"/>
      <c r="B169" s="2"/>
      <c r="C169" s="47"/>
      <c r="D169" s="48"/>
      <c r="E169" s="48"/>
      <c r="F169" s="48"/>
      <c r="G169" s="2"/>
      <c r="H169" s="2"/>
    </row>
    <row r="170" spans="1:8" ht="24.95" customHeight="1" x14ac:dyDescent="0.3">
      <c r="A170" s="1"/>
      <c r="B170" s="2"/>
      <c r="C170" s="47"/>
      <c r="D170" s="48"/>
      <c r="E170" s="48"/>
      <c r="F170" s="48"/>
      <c r="G170" s="2"/>
      <c r="H170" s="2"/>
    </row>
    <row r="171" spans="1:8" ht="24.95" customHeight="1" x14ac:dyDescent="0.3">
      <c r="A171" s="1"/>
      <c r="B171" s="2"/>
      <c r="C171" s="47"/>
      <c r="D171" s="48"/>
      <c r="E171" s="48"/>
      <c r="F171" s="48"/>
      <c r="G171" s="2"/>
      <c r="H171" s="2"/>
    </row>
    <row r="172" spans="1:8" ht="24.95" customHeight="1" x14ac:dyDescent="0.3">
      <c r="A172" s="1"/>
      <c r="B172" s="2"/>
      <c r="C172" s="47"/>
      <c r="D172" s="48"/>
      <c r="E172" s="48"/>
      <c r="F172" s="48"/>
      <c r="G172" s="2"/>
      <c r="H172" s="2"/>
    </row>
    <row r="173" spans="1:8" ht="24.95" customHeight="1" x14ac:dyDescent="0.3">
      <c r="A173" s="1"/>
      <c r="B173" s="2"/>
      <c r="C173" s="47"/>
      <c r="D173" s="48"/>
      <c r="E173" s="48"/>
      <c r="F173" s="48"/>
      <c r="G173" s="2"/>
      <c r="H173" s="2"/>
    </row>
    <row r="174" spans="1:8" ht="24.95" customHeight="1" x14ac:dyDescent="0.3">
      <c r="A174" s="1"/>
      <c r="B174" s="2"/>
      <c r="C174" s="47"/>
      <c r="D174" s="48"/>
      <c r="E174" s="48"/>
      <c r="F174" s="48"/>
      <c r="G174" s="2"/>
      <c r="H174" s="2"/>
    </row>
    <row r="175" spans="1:8" ht="24.95" customHeight="1" x14ac:dyDescent="0.3">
      <c r="A175" s="1"/>
      <c r="B175" s="2"/>
      <c r="C175" s="47"/>
      <c r="D175" s="48"/>
      <c r="E175" s="48"/>
      <c r="F175" s="48"/>
      <c r="G175" s="2"/>
      <c r="H175" s="2"/>
    </row>
    <row r="176" spans="1:8" ht="24.95" customHeight="1" x14ac:dyDescent="0.3">
      <c r="A176" s="1"/>
      <c r="B176" s="2"/>
      <c r="C176" s="47"/>
      <c r="D176" s="48"/>
      <c r="E176" s="48"/>
      <c r="F176" s="48"/>
      <c r="G176" s="2"/>
      <c r="H176" s="2"/>
    </row>
    <row r="177" spans="1:8" ht="24.95" customHeight="1" x14ac:dyDescent="0.3">
      <c r="A177" s="1">
        <v>124</v>
      </c>
      <c r="B177" s="2"/>
      <c r="C177" s="47"/>
      <c r="D177" s="48"/>
      <c r="E177" s="48"/>
      <c r="F177" s="48"/>
      <c r="G177" s="2"/>
      <c r="H177" s="2" t="s">
        <v>1545</v>
      </c>
    </row>
  </sheetData>
  <autoFilter ref="A2:J144">
    <filterColumn colId="7">
      <filters>
        <filter val="Pipeline"/>
      </filters>
    </filterColumn>
    <sortState ref="A19:J78">
      <sortCondition ref="A2:A82"/>
    </sortState>
  </autoFilter>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Z206"/>
  <sheetViews>
    <sheetView topLeftCell="J1" workbookViewId="0">
      <pane ySplit="2" topLeftCell="A69" activePane="bottomLeft" state="frozen"/>
      <selection activeCell="A2" sqref="A2"/>
      <selection pane="bottomLeft" activeCell="R2" sqref="R2"/>
    </sheetView>
  </sheetViews>
  <sheetFormatPr baseColWidth="10" defaultRowHeight="16.5" x14ac:dyDescent="0.3"/>
  <cols>
    <col min="1" max="1" width="5.7109375" customWidth="1"/>
    <col min="2" max="2" width="34.42578125" bestFit="1" customWidth="1"/>
    <col min="3" max="3" width="40.7109375" customWidth="1"/>
    <col min="4" max="6" width="13.5703125" customWidth="1"/>
    <col min="7" max="7" width="12.5703125" customWidth="1"/>
    <col min="8" max="8" width="25.7109375" bestFit="1" customWidth="1"/>
    <col min="9" max="13" width="15.7109375" customWidth="1"/>
    <col min="14" max="14" width="36.42578125" bestFit="1" customWidth="1"/>
    <col min="16" max="16" width="32.28515625" customWidth="1"/>
  </cols>
  <sheetData>
    <row r="1" spans="1:19" ht="30" customHeight="1" x14ac:dyDescent="0.3">
      <c r="A1" s="9" t="s">
        <v>0</v>
      </c>
      <c r="B1" s="9" t="s">
        <v>206</v>
      </c>
      <c r="C1" s="9" t="s">
        <v>203</v>
      </c>
      <c r="D1" s="14" t="s">
        <v>1121</v>
      </c>
      <c r="E1" s="14" t="s">
        <v>1122</v>
      </c>
      <c r="F1" s="14" t="s">
        <v>1123</v>
      </c>
      <c r="G1" s="14" t="s">
        <v>1124</v>
      </c>
      <c r="H1" s="14" t="s">
        <v>1469</v>
      </c>
      <c r="I1" s="9" t="s">
        <v>1470</v>
      </c>
      <c r="J1" s="9" t="s">
        <v>1471</v>
      </c>
      <c r="K1" s="9" t="s">
        <v>1472</v>
      </c>
      <c r="L1" s="9" t="s">
        <v>1456</v>
      </c>
      <c r="M1" s="9" t="s">
        <v>1473</v>
      </c>
    </row>
    <row r="2" spans="1:19" ht="24.95" customHeight="1" x14ac:dyDescent="0.3">
      <c r="A2" s="9" t="s">
        <v>204</v>
      </c>
      <c r="B2" s="9" t="s">
        <v>207</v>
      </c>
      <c r="C2" s="9" t="s">
        <v>205</v>
      </c>
      <c r="D2" s="9" t="s">
        <v>208</v>
      </c>
      <c r="E2" s="9" t="s">
        <v>213</v>
      </c>
      <c r="F2" s="9" t="s">
        <v>210</v>
      </c>
      <c r="G2" s="9" t="s">
        <v>226</v>
      </c>
      <c r="H2" s="9" t="s">
        <v>227</v>
      </c>
      <c r="I2" s="9" t="s">
        <v>228</v>
      </c>
      <c r="J2" s="9" t="s">
        <v>229</v>
      </c>
      <c r="K2" s="9" t="s">
        <v>230</v>
      </c>
      <c r="L2" s="9" t="s">
        <v>231</v>
      </c>
      <c r="M2" s="9" t="s">
        <v>1125</v>
      </c>
      <c r="O2" t="s">
        <v>1475</v>
      </c>
      <c r="P2" t="str">
        <f>CONCATENATE(O2,A2,",",H2,",",I2,",",J2,",",K2,",",L2,",",M2,") values")</f>
        <v>Insert into T_03_03_02 (F_00,F_07,F_08,F_09,F_10,F_11,F_12) values</v>
      </c>
      <c r="S2" t="s">
        <v>1571</v>
      </c>
    </row>
    <row r="3" spans="1:19" ht="24.95" customHeight="1" x14ac:dyDescent="0.3">
      <c r="A3" s="1">
        <v>1</v>
      </c>
      <c r="B3" s="2" t="s">
        <v>11</v>
      </c>
      <c r="C3" s="47" t="s">
        <v>1148</v>
      </c>
      <c r="D3" s="48">
        <v>39737</v>
      </c>
      <c r="E3" s="48">
        <v>39737</v>
      </c>
      <c r="F3" s="48"/>
      <c r="G3" s="2">
        <v>1</v>
      </c>
      <c r="H3" s="2" t="s">
        <v>1478</v>
      </c>
      <c r="I3" s="2" t="s">
        <v>1511</v>
      </c>
      <c r="J3" s="2" t="s">
        <v>1512</v>
      </c>
      <c r="K3" s="2">
        <v>750</v>
      </c>
      <c r="L3" s="2">
        <v>39</v>
      </c>
      <c r="M3" s="2">
        <v>76</v>
      </c>
      <c r="P3" t="str">
        <f>CONCATENATE("(",A3,",'",H3,"',",I3,",",J3,",",K3,",",L3,",",M3,"),")</f>
        <v>(1,'Hassi R’Mel',32.95,3.17,750,39,76),</v>
      </c>
    </row>
    <row r="4" spans="1:19" ht="24.95" customHeight="1" x14ac:dyDescent="0.3">
      <c r="A4" s="1">
        <v>2</v>
      </c>
      <c r="B4" s="2" t="s">
        <v>10</v>
      </c>
      <c r="C4" s="47" t="s">
        <v>1134</v>
      </c>
      <c r="D4" s="48">
        <v>34851</v>
      </c>
      <c r="E4" s="48">
        <v>34851</v>
      </c>
      <c r="F4" s="48"/>
      <c r="G4" s="2">
        <v>1</v>
      </c>
      <c r="H4" s="2" t="s">
        <v>1425</v>
      </c>
      <c r="I4" s="2" t="s">
        <v>1534</v>
      </c>
      <c r="J4" s="2" t="s">
        <v>1535</v>
      </c>
      <c r="K4" s="2">
        <v>130</v>
      </c>
      <c r="L4" s="2">
        <v>39</v>
      </c>
      <c r="M4" s="2">
        <v>1096</v>
      </c>
      <c r="P4" t="str">
        <f t="shared" ref="P4:P67" si="0">CONCATENATE("(",A4,",'",H4,"',",I4,",",J4,",",K4,",",L4,",",M4,"),")</f>
        <v>(2,'Haoud El Hamra',31.61,5.92,130,39,1096),</v>
      </c>
    </row>
    <row r="5" spans="1:19" ht="24.95" customHeight="1" x14ac:dyDescent="0.3">
      <c r="A5" s="1">
        <v>3</v>
      </c>
      <c r="B5" s="2" t="s">
        <v>1139</v>
      </c>
      <c r="C5" s="47" t="s">
        <v>1140</v>
      </c>
      <c r="D5" s="48">
        <v>28542</v>
      </c>
      <c r="E5" s="48">
        <v>28542</v>
      </c>
      <c r="F5" s="48"/>
      <c r="G5" s="2">
        <v>1</v>
      </c>
      <c r="H5" s="2" t="s">
        <v>83</v>
      </c>
      <c r="I5" s="2" t="s">
        <v>1609</v>
      </c>
      <c r="J5" s="2" t="s">
        <v>1610</v>
      </c>
      <c r="K5" s="2">
        <v>5</v>
      </c>
      <c r="L5" s="2">
        <v>39</v>
      </c>
      <c r="M5" s="2">
        <v>1113</v>
      </c>
      <c r="P5" t="str">
        <f t="shared" si="0"/>
        <v>(3,'Arzew',35.82,-0.28,5,39,1113),</v>
      </c>
    </row>
    <row r="6" spans="1:19" ht="24.95" customHeight="1" x14ac:dyDescent="0.3">
      <c r="A6" s="1">
        <v>4</v>
      </c>
      <c r="B6" s="2" t="s">
        <v>1142</v>
      </c>
      <c r="C6" s="47" t="s">
        <v>1141</v>
      </c>
      <c r="D6" s="48">
        <v>29952</v>
      </c>
      <c r="E6" s="48">
        <v>29952</v>
      </c>
      <c r="F6" s="48"/>
      <c r="G6" s="2">
        <v>1</v>
      </c>
      <c r="H6" s="2" t="s">
        <v>84</v>
      </c>
      <c r="I6" s="2" t="s">
        <v>1612</v>
      </c>
      <c r="J6" s="2" t="s">
        <v>1613</v>
      </c>
      <c r="K6" s="2">
        <v>6</v>
      </c>
      <c r="L6" s="2">
        <v>39</v>
      </c>
      <c r="M6" s="2">
        <v>785</v>
      </c>
      <c r="P6" t="str">
        <f t="shared" si="0"/>
        <v>(4,'Skikda',36.89,6.92,6,39,785),</v>
      </c>
    </row>
    <row r="7" spans="1:19" ht="24.95" customHeight="1" x14ac:dyDescent="0.3">
      <c r="A7" s="1">
        <v>5</v>
      </c>
      <c r="B7" s="2" t="s">
        <v>1144</v>
      </c>
      <c r="C7" s="47" t="s">
        <v>1143</v>
      </c>
      <c r="D7" s="48">
        <v>21916</v>
      </c>
      <c r="E7" s="48">
        <v>21916</v>
      </c>
      <c r="F7" s="48"/>
      <c r="G7" s="2">
        <v>1</v>
      </c>
      <c r="H7" s="2" t="s">
        <v>1161</v>
      </c>
      <c r="I7" s="2" t="s">
        <v>1615</v>
      </c>
      <c r="J7" s="2" t="s">
        <v>1616</v>
      </c>
      <c r="K7" s="2">
        <v>3</v>
      </c>
      <c r="L7" s="2">
        <v>39</v>
      </c>
      <c r="M7" s="2">
        <v>187</v>
      </c>
      <c r="P7" t="str">
        <f t="shared" si="0"/>
        <v>(5,'Béjaïa',36.75,5.09,3,39,187),</v>
      </c>
    </row>
    <row r="8" spans="1:19" ht="24.95" customHeight="1" x14ac:dyDescent="0.3">
      <c r="A8" s="1">
        <v>6</v>
      </c>
      <c r="B8" s="2" t="s">
        <v>1146</v>
      </c>
      <c r="C8" s="47" t="s">
        <v>1145</v>
      </c>
      <c r="D8" s="48">
        <v>23377</v>
      </c>
      <c r="E8" s="48">
        <v>23377</v>
      </c>
      <c r="F8" s="48"/>
      <c r="G8" s="2">
        <v>1</v>
      </c>
      <c r="H8" s="2" t="s">
        <v>83</v>
      </c>
      <c r="I8" s="2" t="s">
        <v>1618</v>
      </c>
      <c r="J8" s="2" t="s">
        <v>1619</v>
      </c>
      <c r="K8" s="2">
        <v>10</v>
      </c>
      <c r="L8" s="2">
        <v>39</v>
      </c>
      <c r="M8" s="2">
        <v>1113</v>
      </c>
      <c r="P8" t="str">
        <f t="shared" si="0"/>
        <v>(6,'Arzew',35.81,-0.25,10,39,1113),</v>
      </c>
    </row>
    <row r="9" spans="1:19" ht="24.95" customHeight="1" x14ac:dyDescent="0.3">
      <c r="A9" s="1">
        <v>7</v>
      </c>
      <c r="B9" s="2" t="s">
        <v>1147</v>
      </c>
      <c r="C9" s="47" t="s">
        <v>1152</v>
      </c>
      <c r="D9" s="48">
        <v>26299</v>
      </c>
      <c r="E9" s="48">
        <v>26299</v>
      </c>
      <c r="F9" s="48"/>
      <c r="G9" s="2">
        <v>1</v>
      </c>
      <c r="H9" s="2" t="s">
        <v>84</v>
      </c>
      <c r="I9" s="2" t="s">
        <v>1621</v>
      </c>
      <c r="J9" s="2" t="s">
        <v>1622</v>
      </c>
      <c r="K9" s="2">
        <v>8</v>
      </c>
      <c r="L9" s="2">
        <v>39</v>
      </c>
      <c r="M9" s="2">
        <v>785</v>
      </c>
      <c r="P9" t="str">
        <f t="shared" si="0"/>
        <v>(7,'Skikda',36.87,6.97,8,39,785),</v>
      </c>
    </row>
    <row r="10" spans="1:19" ht="24.95" customHeight="1" x14ac:dyDescent="0.3">
      <c r="A10" s="1">
        <v>8</v>
      </c>
      <c r="B10" s="2" t="s">
        <v>1264</v>
      </c>
      <c r="C10" s="47" t="s">
        <v>1365</v>
      </c>
      <c r="D10" s="48">
        <v>31929</v>
      </c>
      <c r="E10" s="48">
        <v>31929</v>
      </c>
      <c r="F10" s="48"/>
      <c r="G10" s="2">
        <v>1</v>
      </c>
      <c r="H10" s="2" t="s">
        <v>126</v>
      </c>
      <c r="I10" s="2" t="s">
        <v>1624</v>
      </c>
      <c r="J10" s="2" t="s">
        <v>1625</v>
      </c>
      <c r="K10" s="2">
        <v>12</v>
      </c>
      <c r="L10" s="2">
        <v>39</v>
      </c>
      <c r="M10" s="2">
        <v>1469</v>
      </c>
      <c r="P10" t="str">
        <f t="shared" si="0"/>
        <v>(8,'Oued Saf Saf',35.30,-1.62,12,39,1469),</v>
      </c>
    </row>
    <row r="11" spans="1:19" ht="24.95" customHeight="1" x14ac:dyDescent="0.3">
      <c r="A11" s="1">
        <v>9</v>
      </c>
      <c r="B11" s="2" t="s">
        <v>1434</v>
      </c>
      <c r="C11" s="47" t="s">
        <v>1433</v>
      </c>
      <c r="D11" s="48">
        <v>21186</v>
      </c>
      <c r="E11" s="48">
        <v>21916</v>
      </c>
      <c r="F11" s="48"/>
      <c r="G11" s="2">
        <v>1</v>
      </c>
      <c r="H11" s="2" t="s">
        <v>1628</v>
      </c>
      <c r="I11" s="2" t="s">
        <v>1629</v>
      </c>
      <c r="J11" s="2" t="s">
        <v>1630</v>
      </c>
      <c r="K11" s="2">
        <v>560</v>
      </c>
      <c r="L11" s="2">
        <v>39</v>
      </c>
      <c r="M11" s="2">
        <v>1160</v>
      </c>
      <c r="P11" t="str">
        <f t="shared" si="0"/>
        <v>(9,'Debdeb',27.95,8.12,560,39,1160),</v>
      </c>
    </row>
    <row r="12" spans="1:19" ht="24.95" customHeight="1" x14ac:dyDescent="0.3">
      <c r="A12" s="1">
        <v>10</v>
      </c>
      <c r="B12" s="2" t="s">
        <v>1375</v>
      </c>
      <c r="C12" s="47" t="s">
        <v>319</v>
      </c>
      <c r="D12" s="48">
        <v>23377</v>
      </c>
      <c r="E12" s="48">
        <v>23377</v>
      </c>
      <c r="F12" s="48"/>
      <c r="G12" s="2">
        <v>1</v>
      </c>
      <c r="H12" s="2" t="s">
        <v>86</v>
      </c>
      <c r="I12" s="2" t="s">
        <v>1632</v>
      </c>
      <c r="J12" s="2" t="s">
        <v>1633</v>
      </c>
      <c r="K12" s="2">
        <v>25</v>
      </c>
      <c r="L12" s="2">
        <v>39</v>
      </c>
      <c r="M12" s="2">
        <v>581</v>
      </c>
      <c r="P12" t="str">
        <f t="shared" si="0"/>
        <v>(10,'Alger',36.73,3.10,25,39,581),</v>
      </c>
    </row>
    <row r="13" spans="1:19" ht="24.95" customHeight="1" x14ac:dyDescent="0.3">
      <c r="A13" s="1">
        <v>11</v>
      </c>
      <c r="B13" s="2" t="s">
        <v>1376</v>
      </c>
      <c r="C13" s="47" t="s">
        <v>1153</v>
      </c>
      <c r="D13" s="48">
        <v>26299</v>
      </c>
      <c r="E13" s="48">
        <v>26299</v>
      </c>
      <c r="F13" s="48"/>
      <c r="G13" s="2">
        <v>1</v>
      </c>
      <c r="H13" s="2" t="s">
        <v>83</v>
      </c>
      <c r="I13" s="2" t="s">
        <v>1618</v>
      </c>
      <c r="J13" s="2" t="s">
        <v>1635</v>
      </c>
      <c r="K13" s="2">
        <v>7</v>
      </c>
      <c r="L13" s="2">
        <v>39</v>
      </c>
      <c r="M13" s="2">
        <v>1113</v>
      </c>
      <c r="P13" t="str">
        <f t="shared" si="0"/>
        <v>(11,'Arzew',35.81,-0.26,7,39,1113),</v>
      </c>
    </row>
    <row r="14" spans="1:19" ht="24.95" customHeight="1" x14ac:dyDescent="0.3">
      <c r="A14" s="1">
        <v>12</v>
      </c>
      <c r="B14" s="2" t="s">
        <v>1377</v>
      </c>
      <c r="C14" s="47" t="s">
        <v>1154</v>
      </c>
      <c r="D14" s="48">
        <v>39814</v>
      </c>
      <c r="E14" s="48">
        <v>39814</v>
      </c>
      <c r="F14" s="48"/>
      <c r="G14" s="2">
        <v>1</v>
      </c>
      <c r="H14" s="2" t="s">
        <v>84</v>
      </c>
      <c r="I14" s="2" t="s">
        <v>1621</v>
      </c>
      <c r="J14" s="2" t="s">
        <v>1636</v>
      </c>
      <c r="K14" s="2">
        <v>10</v>
      </c>
      <c r="L14" s="2">
        <v>39</v>
      </c>
      <c r="M14" s="2">
        <v>785</v>
      </c>
      <c r="P14" t="str">
        <f t="shared" si="0"/>
        <v>(12,'Skikda',36.87,6.98,10,39,785),</v>
      </c>
    </row>
    <row r="15" spans="1:19" ht="24.95" customHeight="1" x14ac:dyDescent="0.3">
      <c r="A15" s="1">
        <v>13</v>
      </c>
      <c r="B15" s="2" t="s">
        <v>1379</v>
      </c>
      <c r="C15" s="47" t="s">
        <v>1154</v>
      </c>
      <c r="D15" s="48">
        <v>29221</v>
      </c>
      <c r="E15" s="48">
        <v>29221</v>
      </c>
      <c r="F15" s="48"/>
      <c r="G15" s="2">
        <v>1</v>
      </c>
      <c r="H15" s="2" t="s">
        <v>84</v>
      </c>
      <c r="I15" s="2" t="s">
        <v>1621</v>
      </c>
      <c r="J15" s="2" t="s">
        <v>1636</v>
      </c>
      <c r="K15" s="2">
        <v>10</v>
      </c>
      <c r="L15" s="2">
        <v>39</v>
      </c>
      <c r="M15" s="2">
        <v>785</v>
      </c>
      <c r="P15" t="str">
        <f t="shared" si="0"/>
        <v>(13,'Skikda',36.87,6.98,10,39,785),</v>
      </c>
    </row>
    <row r="16" spans="1:19" ht="24.95" customHeight="1" x14ac:dyDescent="0.3">
      <c r="A16" s="1">
        <v>14</v>
      </c>
      <c r="B16" s="2" t="s">
        <v>1378</v>
      </c>
      <c r="C16" s="47" t="s">
        <v>1155</v>
      </c>
      <c r="D16" s="48">
        <v>26299</v>
      </c>
      <c r="E16" s="48">
        <v>26299</v>
      </c>
      <c r="F16" s="48"/>
      <c r="G16" s="2">
        <v>1</v>
      </c>
      <c r="H16" s="2" t="s">
        <v>102</v>
      </c>
      <c r="I16" s="2" t="s">
        <v>1534</v>
      </c>
      <c r="J16" s="2" t="s">
        <v>1535</v>
      </c>
      <c r="K16" s="2">
        <v>130</v>
      </c>
      <c r="L16" s="2">
        <v>39</v>
      </c>
      <c r="M16" s="2">
        <v>1096</v>
      </c>
      <c r="P16" t="str">
        <f t="shared" si="0"/>
        <v>(14,'Hassi Messaoud',31.61,5.92,130,39,1096),</v>
      </c>
    </row>
    <row r="17" spans="1:26" ht="24.95" customHeight="1" x14ac:dyDescent="0.3">
      <c r="A17" s="1">
        <v>15</v>
      </c>
      <c r="B17" s="2" t="s">
        <v>1374</v>
      </c>
      <c r="C17" s="47" t="s">
        <v>1156</v>
      </c>
      <c r="D17" s="48">
        <v>39083</v>
      </c>
      <c r="E17" s="48">
        <v>39083</v>
      </c>
      <c r="F17" s="48"/>
      <c r="G17" s="2">
        <v>1</v>
      </c>
      <c r="H17" s="2" t="s">
        <v>1157</v>
      </c>
      <c r="I17" s="2" t="s">
        <v>1638</v>
      </c>
      <c r="J17" s="2" t="s">
        <v>1639</v>
      </c>
      <c r="K17" s="2">
        <v>280</v>
      </c>
      <c r="L17" s="2">
        <v>39</v>
      </c>
      <c r="M17" s="2">
        <v>1</v>
      </c>
      <c r="P17" t="str">
        <f t="shared" si="0"/>
        <v>(15,'Adrar',27.87,-0.29,280,39,1),</v>
      </c>
    </row>
    <row r="18" spans="1:26" ht="24.95" customHeight="1" x14ac:dyDescent="0.3">
      <c r="A18" s="1">
        <v>16</v>
      </c>
      <c r="B18" s="2" t="s">
        <v>1211</v>
      </c>
      <c r="C18" s="47" t="s">
        <v>1373</v>
      </c>
      <c r="D18" s="48">
        <v>37987</v>
      </c>
      <c r="E18" s="48">
        <v>37987</v>
      </c>
      <c r="F18" s="48"/>
      <c r="G18" s="2">
        <v>1</v>
      </c>
      <c r="H18" s="2" t="s">
        <v>84</v>
      </c>
      <c r="I18" s="2" t="s">
        <v>1640</v>
      </c>
      <c r="J18" s="2" t="s">
        <v>1636</v>
      </c>
      <c r="K18" s="2">
        <v>10</v>
      </c>
      <c r="L18" s="2">
        <v>39</v>
      </c>
      <c r="M18" s="2">
        <v>785</v>
      </c>
      <c r="P18" t="str">
        <f t="shared" si="0"/>
        <v>(16,'Skikda',36.88,6.98,10,39,785),</v>
      </c>
    </row>
    <row r="19" spans="1:26" ht="24.95" customHeight="1" x14ac:dyDescent="0.3">
      <c r="A19" s="1">
        <v>17</v>
      </c>
      <c r="B19" s="2" t="s">
        <v>1367</v>
      </c>
      <c r="C19" s="47" t="s">
        <v>1268</v>
      </c>
      <c r="D19" s="48">
        <v>37622</v>
      </c>
      <c r="E19" s="48">
        <v>37622</v>
      </c>
      <c r="F19" s="48"/>
      <c r="G19" s="2">
        <v>1</v>
      </c>
      <c r="H19" s="2" t="s">
        <v>1474</v>
      </c>
      <c r="I19" s="2">
        <v>0</v>
      </c>
      <c r="J19" s="2">
        <v>0</v>
      </c>
      <c r="K19" s="2">
        <v>0</v>
      </c>
      <c r="L19" s="2">
        <v>1</v>
      </c>
      <c r="M19" s="2">
        <v>1</v>
      </c>
      <c r="N19" t="str">
        <f>TEXT(D19,"aaaa-mm-jj")</f>
        <v>Wednesday-01-jj</v>
      </c>
      <c r="P19" t="str">
        <f t="shared" si="0"/>
        <v>(17,'default',0,0,0,1,1),</v>
      </c>
      <c r="Q19" t="s">
        <v>1436</v>
      </c>
      <c r="R19" t="s">
        <v>1437</v>
      </c>
      <c r="X19" s="50">
        <v>38899</v>
      </c>
      <c r="Y19" s="50">
        <v>38899</v>
      </c>
    </row>
    <row r="20" spans="1:26" ht="24.95" customHeight="1" x14ac:dyDescent="0.3">
      <c r="A20" s="1">
        <v>18</v>
      </c>
      <c r="B20" s="2" t="s">
        <v>1368</v>
      </c>
      <c r="C20" s="47" t="s">
        <v>1269</v>
      </c>
      <c r="D20" s="48">
        <v>37987</v>
      </c>
      <c r="E20" s="48">
        <v>37987</v>
      </c>
      <c r="F20" s="48"/>
      <c r="G20" s="2">
        <v>1</v>
      </c>
      <c r="H20" s="2" t="s">
        <v>1474</v>
      </c>
      <c r="I20" s="2">
        <v>0</v>
      </c>
      <c r="J20" s="2">
        <v>0</v>
      </c>
      <c r="K20" s="2">
        <v>0</v>
      </c>
      <c r="L20" s="2">
        <v>1</v>
      </c>
      <c r="M20" s="2">
        <v>1</v>
      </c>
      <c r="P20" t="str">
        <f t="shared" si="0"/>
        <v>(18,'default',0,0,0,1,1),</v>
      </c>
      <c r="R20" t="str">
        <f t="shared" ref="R20:R51" si="1">CONCATENATE("(",A20,",",K20,"),")</f>
        <v>(18,0),</v>
      </c>
      <c r="X20" s="50">
        <v>23743</v>
      </c>
      <c r="Y20" s="50">
        <v>23743</v>
      </c>
      <c r="Z20" s="50">
        <v>42248</v>
      </c>
    </row>
    <row r="21" spans="1:26" ht="24.95" customHeight="1" x14ac:dyDescent="0.3">
      <c r="A21" s="1">
        <v>19</v>
      </c>
      <c r="B21" s="2" t="s">
        <v>1369</v>
      </c>
      <c r="C21" s="47" t="s">
        <v>1270</v>
      </c>
      <c r="D21" s="48">
        <v>37622</v>
      </c>
      <c r="E21" s="48">
        <v>37622</v>
      </c>
      <c r="F21" s="48"/>
      <c r="G21" s="2">
        <v>1</v>
      </c>
      <c r="H21" s="2" t="s">
        <v>1474</v>
      </c>
      <c r="I21" s="2">
        <v>0</v>
      </c>
      <c r="J21" s="2">
        <v>0</v>
      </c>
      <c r="K21" s="2">
        <v>0</v>
      </c>
      <c r="L21" s="2">
        <v>1</v>
      </c>
      <c r="M21" s="2">
        <v>1</v>
      </c>
      <c r="P21" t="str">
        <f t="shared" si="0"/>
        <v>(19,'default',0,0,0,1,1),</v>
      </c>
      <c r="R21" t="str">
        <f t="shared" si="1"/>
        <v>(19,0),</v>
      </c>
      <c r="X21" s="50">
        <v>28856</v>
      </c>
      <c r="Y21" s="50">
        <v>28856</v>
      </c>
    </row>
    <row r="22" spans="1:26" ht="24.95" customHeight="1" x14ac:dyDescent="0.3">
      <c r="A22" s="1">
        <v>20</v>
      </c>
      <c r="B22" s="2" t="s">
        <v>1370</v>
      </c>
      <c r="C22" s="47" t="s">
        <v>1271</v>
      </c>
      <c r="D22" s="48">
        <v>37987</v>
      </c>
      <c r="E22" s="48">
        <v>37987</v>
      </c>
      <c r="F22" s="48"/>
      <c r="G22" s="2">
        <v>1</v>
      </c>
      <c r="H22" s="2" t="s">
        <v>1474</v>
      </c>
      <c r="I22" s="2">
        <v>0</v>
      </c>
      <c r="J22" s="2">
        <v>0</v>
      </c>
      <c r="K22" s="2">
        <v>0</v>
      </c>
      <c r="L22" s="2">
        <v>1</v>
      </c>
      <c r="M22" s="2">
        <v>1</v>
      </c>
      <c r="P22" t="str">
        <f t="shared" si="0"/>
        <v>(20,'default',0,0,0,1,1),</v>
      </c>
      <c r="R22" t="str">
        <f t="shared" si="1"/>
        <v>(20,0),</v>
      </c>
      <c r="X22" s="50">
        <v>35065</v>
      </c>
      <c r="Y22" s="50">
        <v>35065</v>
      </c>
    </row>
    <row r="23" spans="1:26" ht="24.95" customHeight="1" x14ac:dyDescent="0.3">
      <c r="A23" s="1">
        <v>21</v>
      </c>
      <c r="B23" s="2" t="s">
        <v>1371</v>
      </c>
      <c r="C23" s="47" t="s">
        <v>1272</v>
      </c>
      <c r="D23" s="48">
        <v>37622</v>
      </c>
      <c r="E23" s="48">
        <v>37622</v>
      </c>
      <c r="F23" s="48"/>
      <c r="G23" s="2">
        <v>1</v>
      </c>
      <c r="H23" s="2" t="s">
        <v>1474</v>
      </c>
      <c r="I23" s="2">
        <v>0</v>
      </c>
      <c r="J23" s="2">
        <v>0</v>
      </c>
      <c r="K23" s="2">
        <v>0</v>
      </c>
      <c r="L23" s="2">
        <v>1</v>
      </c>
      <c r="M23" s="2">
        <v>1</v>
      </c>
      <c r="P23" t="str">
        <f t="shared" si="0"/>
        <v>(21,'default',0,0,0,1,1),</v>
      </c>
      <c r="R23" t="str">
        <f t="shared" si="1"/>
        <v>(21,0),</v>
      </c>
      <c r="X23" s="50">
        <v>37898</v>
      </c>
      <c r="Y23" s="50">
        <v>37898</v>
      </c>
    </row>
    <row r="24" spans="1:26" ht="24.95" customHeight="1" x14ac:dyDescent="0.3">
      <c r="A24" s="1">
        <v>22</v>
      </c>
      <c r="B24" s="2" t="s">
        <v>1372</v>
      </c>
      <c r="C24" s="47" t="s">
        <v>1273</v>
      </c>
      <c r="D24" s="48">
        <v>37987</v>
      </c>
      <c r="E24" s="48">
        <v>37987</v>
      </c>
      <c r="F24" s="48"/>
      <c r="G24" s="2">
        <v>1</v>
      </c>
      <c r="H24" s="2" t="s">
        <v>1474</v>
      </c>
      <c r="I24" s="2">
        <v>0</v>
      </c>
      <c r="J24" s="2">
        <v>0</v>
      </c>
      <c r="K24" s="2">
        <v>0</v>
      </c>
      <c r="L24" s="2">
        <v>1</v>
      </c>
      <c r="M24" s="2">
        <v>1</v>
      </c>
      <c r="P24" t="str">
        <f t="shared" si="0"/>
        <v>(22,'default',0,0,0,1,1),</v>
      </c>
      <c r="R24" t="str">
        <f t="shared" si="1"/>
        <v>(22,0),</v>
      </c>
      <c r="X24" s="50">
        <v>26299</v>
      </c>
      <c r="Y24" s="50">
        <v>26299</v>
      </c>
      <c r="Z24" s="50">
        <v>42248</v>
      </c>
    </row>
    <row r="25" spans="1:26" ht="24.95" customHeight="1" x14ac:dyDescent="0.3">
      <c r="A25" s="1">
        <v>23</v>
      </c>
      <c r="B25" s="2" t="s">
        <v>1274</v>
      </c>
      <c r="C25" s="47" t="s">
        <v>1268</v>
      </c>
      <c r="D25" s="48">
        <v>26299</v>
      </c>
      <c r="E25" s="48">
        <v>26299</v>
      </c>
      <c r="F25" s="48"/>
      <c r="G25" s="2">
        <v>1</v>
      </c>
      <c r="H25" s="2" t="s">
        <v>1474</v>
      </c>
      <c r="I25" s="2">
        <v>0</v>
      </c>
      <c r="J25" s="2">
        <v>0</v>
      </c>
      <c r="K25" s="2">
        <v>0</v>
      </c>
      <c r="L25" s="2">
        <v>1</v>
      </c>
      <c r="M25" s="2">
        <v>1</v>
      </c>
      <c r="P25" t="str">
        <f t="shared" si="0"/>
        <v>(23,'default',0,0,0,1,1),</v>
      </c>
      <c r="R25" t="str">
        <f t="shared" si="1"/>
        <v>(23,0),</v>
      </c>
      <c r="X25" s="50">
        <v>28491</v>
      </c>
      <c r="Y25" s="50">
        <v>28491</v>
      </c>
    </row>
    <row r="26" spans="1:26" ht="24.95" customHeight="1" x14ac:dyDescent="0.3">
      <c r="A26" s="1">
        <v>24</v>
      </c>
      <c r="B26" s="2" t="s">
        <v>1281</v>
      </c>
      <c r="C26" s="47" t="s">
        <v>1280</v>
      </c>
      <c r="D26" s="48">
        <v>27760</v>
      </c>
      <c r="E26" s="48">
        <v>27760</v>
      </c>
      <c r="F26" s="48"/>
      <c r="G26" s="2">
        <v>1</v>
      </c>
      <c r="H26" s="2" t="s">
        <v>1474</v>
      </c>
      <c r="I26" s="2">
        <v>0</v>
      </c>
      <c r="J26" s="2">
        <v>0</v>
      </c>
      <c r="K26" s="2">
        <v>0</v>
      </c>
      <c r="L26" s="2">
        <v>1</v>
      </c>
      <c r="M26" s="2">
        <v>1</v>
      </c>
      <c r="P26" t="str">
        <f t="shared" si="0"/>
        <v>(24,'default',0,0,0,1,1),</v>
      </c>
      <c r="R26" t="str">
        <f t="shared" si="1"/>
        <v>(24,0),</v>
      </c>
      <c r="X26" s="50">
        <v>38961</v>
      </c>
      <c r="Y26" s="50">
        <v>38961</v>
      </c>
    </row>
    <row r="27" spans="1:26" ht="24.95" customHeight="1" x14ac:dyDescent="0.3">
      <c r="A27" s="1">
        <v>25</v>
      </c>
      <c r="B27" s="2" t="s">
        <v>1275</v>
      </c>
      <c r="C27" s="47" t="s">
        <v>1279</v>
      </c>
      <c r="D27" s="48">
        <v>26299</v>
      </c>
      <c r="E27" s="48">
        <v>26299</v>
      </c>
      <c r="F27" s="48"/>
      <c r="G27" s="2">
        <v>1</v>
      </c>
      <c r="H27" s="2" t="s">
        <v>1474</v>
      </c>
      <c r="I27" s="2">
        <v>0</v>
      </c>
      <c r="J27" s="2">
        <v>0</v>
      </c>
      <c r="K27" s="2">
        <v>0</v>
      </c>
      <c r="L27" s="2">
        <v>1</v>
      </c>
      <c r="M27" s="2">
        <v>1</v>
      </c>
      <c r="P27" t="str">
        <f t="shared" si="0"/>
        <v>(25,'default',0,0,0,1,1),</v>
      </c>
      <c r="R27" t="str">
        <f t="shared" si="1"/>
        <v>(25,0),</v>
      </c>
      <c r="X27" s="50">
        <v>38031</v>
      </c>
      <c r="Y27" s="50">
        <v>38031</v>
      </c>
    </row>
    <row r="28" spans="1:26" ht="24.95" customHeight="1" x14ac:dyDescent="0.3">
      <c r="A28" s="1">
        <v>26</v>
      </c>
      <c r="B28" s="2" t="s">
        <v>1276</v>
      </c>
      <c r="C28" s="47" t="s">
        <v>1279</v>
      </c>
      <c r="D28" s="48">
        <v>38353</v>
      </c>
      <c r="E28" s="48">
        <v>38353</v>
      </c>
      <c r="F28" s="48"/>
      <c r="G28" s="2">
        <v>1</v>
      </c>
      <c r="H28" s="2" t="s">
        <v>1474</v>
      </c>
      <c r="I28" s="2">
        <v>0</v>
      </c>
      <c r="J28" s="2">
        <v>0</v>
      </c>
      <c r="K28" s="2">
        <v>0</v>
      </c>
      <c r="L28" s="2">
        <v>1</v>
      </c>
      <c r="M28" s="2">
        <v>1</v>
      </c>
      <c r="P28" t="str">
        <f t="shared" si="0"/>
        <v>(26,'default',0,0,0,1,1),</v>
      </c>
      <c r="R28" t="str">
        <f t="shared" si="1"/>
        <v>(26,0),</v>
      </c>
      <c r="X28" s="50">
        <v>38718</v>
      </c>
      <c r="Y28" s="50">
        <v>38718</v>
      </c>
    </row>
    <row r="29" spans="1:26" ht="24.95" customHeight="1" x14ac:dyDescent="0.3">
      <c r="A29" s="1">
        <v>27</v>
      </c>
      <c r="B29" s="2" t="s">
        <v>1277</v>
      </c>
      <c r="C29" s="47" t="s">
        <v>1278</v>
      </c>
      <c r="D29" s="48">
        <v>27760</v>
      </c>
      <c r="E29" s="48">
        <v>27760</v>
      </c>
      <c r="F29" s="48"/>
      <c r="G29" s="2">
        <v>1</v>
      </c>
      <c r="H29" s="2" t="s">
        <v>1474</v>
      </c>
      <c r="I29" s="2">
        <v>0</v>
      </c>
      <c r="J29" s="2">
        <v>0</v>
      </c>
      <c r="K29" s="2">
        <v>0</v>
      </c>
      <c r="L29" s="2">
        <v>1</v>
      </c>
      <c r="M29" s="2">
        <v>1</v>
      </c>
      <c r="P29" t="str">
        <f t="shared" si="0"/>
        <v>(27,'default',0,0,0,1,1),</v>
      </c>
      <c r="R29" t="str">
        <f t="shared" si="1"/>
        <v>(27,0),</v>
      </c>
      <c r="X29" s="50">
        <v>23743</v>
      </c>
      <c r="Y29" s="50">
        <v>23743</v>
      </c>
      <c r="Z29" s="50">
        <v>42248</v>
      </c>
    </row>
    <row r="30" spans="1:26" ht="24.95" customHeight="1" x14ac:dyDescent="0.3">
      <c r="A30" s="1">
        <v>28</v>
      </c>
      <c r="B30" s="2" t="s">
        <v>1283</v>
      </c>
      <c r="C30" s="47" t="s">
        <v>1268</v>
      </c>
      <c r="D30" s="48">
        <v>43647</v>
      </c>
      <c r="E30" s="48">
        <v>43647</v>
      </c>
      <c r="F30" s="48"/>
      <c r="G30" s="2">
        <v>1</v>
      </c>
      <c r="H30" s="2" t="s">
        <v>1474</v>
      </c>
      <c r="I30" s="2">
        <v>0</v>
      </c>
      <c r="J30" s="2">
        <v>0</v>
      </c>
      <c r="K30" s="2">
        <v>0</v>
      </c>
      <c r="L30" s="2">
        <v>1</v>
      </c>
      <c r="M30" s="2">
        <v>1</v>
      </c>
      <c r="P30" t="str">
        <f t="shared" si="0"/>
        <v>(28,'default',0,0,0,1,1),</v>
      </c>
      <c r="R30" t="str">
        <f t="shared" si="1"/>
        <v>(28,0),</v>
      </c>
      <c r="X30" s="50">
        <v>28856</v>
      </c>
      <c r="Y30" s="50">
        <v>28856</v>
      </c>
    </row>
    <row r="31" spans="1:26" ht="24.95" customHeight="1" x14ac:dyDescent="0.3">
      <c r="A31" s="1">
        <v>29</v>
      </c>
      <c r="B31" s="2" t="s">
        <v>1285</v>
      </c>
      <c r="C31" s="47" t="s">
        <v>1280</v>
      </c>
      <c r="D31" s="48">
        <v>39083</v>
      </c>
      <c r="E31" s="48">
        <v>39083</v>
      </c>
      <c r="F31" s="48"/>
      <c r="G31" s="2">
        <v>1</v>
      </c>
      <c r="H31" s="2" t="s">
        <v>1474</v>
      </c>
      <c r="I31" s="2">
        <v>0</v>
      </c>
      <c r="J31" s="2">
        <v>0</v>
      </c>
      <c r="K31" s="2">
        <v>0</v>
      </c>
      <c r="L31" s="2">
        <v>1</v>
      </c>
      <c r="M31" s="2">
        <v>1</v>
      </c>
      <c r="P31" t="str">
        <f t="shared" si="0"/>
        <v>(29,'default',0,0,0,1,1),</v>
      </c>
      <c r="R31" t="str">
        <f t="shared" si="1"/>
        <v>(29,0),</v>
      </c>
      <c r="X31" s="50">
        <v>31413</v>
      </c>
      <c r="Y31" s="50">
        <v>31413</v>
      </c>
      <c r="Z31" s="50">
        <v>36526</v>
      </c>
    </row>
    <row r="32" spans="1:26" ht="24.95" customHeight="1" x14ac:dyDescent="0.3">
      <c r="A32" s="1">
        <v>30</v>
      </c>
      <c r="B32" s="2" t="s">
        <v>1286</v>
      </c>
      <c r="C32" s="47" t="s">
        <v>1284</v>
      </c>
      <c r="D32" s="48">
        <v>39684</v>
      </c>
      <c r="E32" s="48">
        <v>39684</v>
      </c>
      <c r="F32" s="48"/>
      <c r="G32" s="2">
        <v>1</v>
      </c>
      <c r="H32" s="2" t="s">
        <v>1474</v>
      </c>
      <c r="I32" s="2">
        <v>0</v>
      </c>
      <c r="J32" s="2">
        <v>0</v>
      </c>
      <c r="K32" s="2">
        <v>0</v>
      </c>
      <c r="L32" s="2">
        <v>1</v>
      </c>
      <c r="M32" s="2">
        <v>1</v>
      </c>
      <c r="P32" t="str">
        <f t="shared" si="0"/>
        <v>(30,'default',0,0,0,1,1),</v>
      </c>
      <c r="R32" t="str">
        <f t="shared" si="1"/>
        <v>(30,0),</v>
      </c>
      <c r="X32" s="50">
        <v>26299</v>
      </c>
      <c r="Y32" s="50">
        <v>26299</v>
      </c>
      <c r="Z32" s="50">
        <v>42248</v>
      </c>
    </row>
    <row r="33" spans="1:25" ht="24.95" customHeight="1" x14ac:dyDescent="0.3">
      <c r="A33" s="1">
        <v>31</v>
      </c>
      <c r="B33" s="2" t="s">
        <v>1287</v>
      </c>
      <c r="C33" s="47" t="s">
        <v>1288</v>
      </c>
      <c r="D33" s="48">
        <v>39448</v>
      </c>
      <c r="E33" s="48">
        <v>39448</v>
      </c>
      <c r="F33" s="48"/>
      <c r="G33" s="2">
        <v>1</v>
      </c>
      <c r="H33" s="2" t="s">
        <v>1474</v>
      </c>
      <c r="I33" s="2">
        <v>0</v>
      </c>
      <c r="J33" s="2">
        <v>0</v>
      </c>
      <c r="K33" s="2">
        <v>0</v>
      </c>
      <c r="L33" s="2">
        <v>1</v>
      </c>
      <c r="M33" s="2">
        <v>1</v>
      </c>
      <c r="P33" t="str">
        <f t="shared" si="0"/>
        <v>(31,'default',0,0,0,1,1),</v>
      </c>
      <c r="R33" t="str">
        <f t="shared" si="1"/>
        <v>(31,0),</v>
      </c>
      <c r="X33" s="50">
        <v>28491</v>
      </c>
      <c r="Y33" s="50">
        <v>28491</v>
      </c>
    </row>
    <row r="34" spans="1:25" ht="24.95" customHeight="1" x14ac:dyDescent="0.3">
      <c r="A34" s="1">
        <v>32</v>
      </c>
      <c r="B34" s="2" t="s">
        <v>1289</v>
      </c>
      <c r="C34" s="47" t="s">
        <v>1290</v>
      </c>
      <c r="D34" s="48">
        <v>38895</v>
      </c>
      <c r="E34" s="48">
        <v>38895</v>
      </c>
      <c r="F34" s="48"/>
      <c r="G34" s="2">
        <v>1</v>
      </c>
      <c r="H34" s="2" t="s">
        <v>1474</v>
      </c>
      <c r="I34" s="2">
        <v>0</v>
      </c>
      <c r="J34" s="2">
        <v>0</v>
      </c>
      <c r="K34" s="2">
        <v>0</v>
      </c>
      <c r="L34" s="2">
        <v>1</v>
      </c>
      <c r="M34" s="2">
        <v>1</v>
      </c>
      <c r="P34" t="str">
        <f t="shared" si="0"/>
        <v>(32,'default',0,0,0,1,1),</v>
      </c>
      <c r="R34" t="str">
        <f t="shared" si="1"/>
        <v>(32,0),</v>
      </c>
      <c r="X34" s="50">
        <v>28856</v>
      </c>
      <c r="Y34" s="50">
        <v>28856</v>
      </c>
    </row>
    <row r="35" spans="1:25" ht="24.95" customHeight="1" x14ac:dyDescent="0.3">
      <c r="A35" s="1">
        <v>33</v>
      </c>
      <c r="B35" s="2" t="s">
        <v>1291</v>
      </c>
      <c r="C35" s="47" t="s">
        <v>1293</v>
      </c>
      <c r="D35" s="48">
        <v>21916</v>
      </c>
      <c r="E35" s="48">
        <v>21916</v>
      </c>
      <c r="F35" s="48"/>
      <c r="G35" s="2">
        <v>1</v>
      </c>
      <c r="H35" s="2" t="s">
        <v>1474</v>
      </c>
      <c r="I35" s="2">
        <v>0</v>
      </c>
      <c r="J35" s="2">
        <v>0</v>
      </c>
      <c r="K35" s="2">
        <v>0</v>
      </c>
      <c r="L35" s="2">
        <v>1</v>
      </c>
      <c r="M35" s="2">
        <v>1</v>
      </c>
      <c r="P35" t="str">
        <f t="shared" si="0"/>
        <v>(33,'default',0,0,0,1,1),</v>
      </c>
      <c r="R35" t="str">
        <f t="shared" si="1"/>
        <v>(33,0),</v>
      </c>
      <c r="X35" s="50">
        <v>28856</v>
      </c>
      <c r="Y35" s="50">
        <v>28856</v>
      </c>
    </row>
    <row r="36" spans="1:25" ht="24.95" customHeight="1" x14ac:dyDescent="0.3">
      <c r="A36" s="1">
        <v>34</v>
      </c>
      <c r="B36" s="2" t="s">
        <v>1292</v>
      </c>
      <c r="C36" s="47" t="s">
        <v>1294</v>
      </c>
      <c r="D36" s="48">
        <v>21916</v>
      </c>
      <c r="E36" s="48">
        <v>21916</v>
      </c>
      <c r="F36" s="48"/>
      <c r="G36" s="2">
        <v>1</v>
      </c>
      <c r="H36" s="2" t="s">
        <v>1474</v>
      </c>
      <c r="I36" s="2">
        <v>0</v>
      </c>
      <c r="J36" s="2">
        <v>0</v>
      </c>
      <c r="K36" s="2">
        <v>0</v>
      </c>
      <c r="L36" s="2">
        <v>1</v>
      </c>
      <c r="M36" s="2">
        <v>1</v>
      </c>
      <c r="P36" t="str">
        <f t="shared" si="0"/>
        <v>(34,'default',0,0,0,1,1),</v>
      </c>
      <c r="R36" t="str">
        <f t="shared" si="1"/>
        <v>(34,0),</v>
      </c>
      <c r="X36" s="50">
        <v>28491</v>
      </c>
      <c r="Y36" s="50">
        <v>28491</v>
      </c>
    </row>
    <row r="37" spans="1:25" ht="24.95" customHeight="1" x14ac:dyDescent="0.3">
      <c r="A37" s="1">
        <v>35</v>
      </c>
      <c r="B37" s="2" t="s">
        <v>1295</v>
      </c>
      <c r="C37" s="47" t="s">
        <v>1298</v>
      </c>
      <c r="D37" s="48">
        <v>27395</v>
      </c>
      <c r="E37" s="48">
        <v>27395</v>
      </c>
      <c r="F37" s="48"/>
      <c r="G37" s="2">
        <v>2</v>
      </c>
      <c r="H37" s="2" t="s">
        <v>1474</v>
      </c>
      <c r="I37" s="2">
        <v>0</v>
      </c>
      <c r="J37" s="2">
        <v>0</v>
      </c>
      <c r="K37" s="2">
        <v>0</v>
      </c>
      <c r="L37" s="2">
        <v>1</v>
      </c>
      <c r="M37" s="2">
        <v>1</v>
      </c>
      <c r="P37" t="str">
        <f t="shared" si="0"/>
        <v>(35,'default',0,0,0,1,1),</v>
      </c>
      <c r="R37" t="str">
        <f t="shared" si="1"/>
        <v>(35,0),</v>
      </c>
      <c r="X37" s="50">
        <v>28856</v>
      </c>
      <c r="Y37" s="50">
        <v>28856</v>
      </c>
    </row>
    <row r="38" spans="1:25" ht="24.95" customHeight="1" x14ac:dyDescent="0.3">
      <c r="A38" s="1">
        <v>36</v>
      </c>
      <c r="B38" s="2" t="s">
        <v>1296</v>
      </c>
      <c r="C38" s="47" t="s">
        <v>1299</v>
      </c>
      <c r="D38" s="48">
        <v>27395</v>
      </c>
      <c r="E38" s="48">
        <v>27395</v>
      </c>
      <c r="F38" s="48"/>
      <c r="G38" s="2">
        <v>2</v>
      </c>
      <c r="H38" s="2" t="s">
        <v>1474</v>
      </c>
      <c r="I38" s="2">
        <v>0</v>
      </c>
      <c r="J38" s="2">
        <v>0</v>
      </c>
      <c r="K38" s="2">
        <v>0</v>
      </c>
      <c r="L38" s="2">
        <v>1</v>
      </c>
      <c r="M38" s="2">
        <v>1</v>
      </c>
      <c r="P38" t="str">
        <f t="shared" si="0"/>
        <v>(36,'default',0,0,0,1,1),</v>
      </c>
      <c r="R38" t="str">
        <f t="shared" si="1"/>
        <v>(36,0),</v>
      </c>
      <c r="X38" s="50">
        <v>28491</v>
      </c>
      <c r="Y38" s="50">
        <v>28491</v>
      </c>
    </row>
    <row r="39" spans="1:25" ht="24.95" customHeight="1" x14ac:dyDescent="0.3">
      <c r="A39" s="1">
        <v>37</v>
      </c>
      <c r="B39" s="2" t="s">
        <v>1297</v>
      </c>
      <c r="C39" s="47" t="s">
        <v>1300</v>
      </c>
      <c r="D39" s="48">
        <v>27395</v>
      </c>
      <c r="E39" s="48">
        <v>27395</v>
      </c>
      <c r="F39" s="48"/>
      <c r="G39" s="2">
        <v>2</v>
      </c>
      <c r="H39" s="2" t="s">
        <v>1474</v>
      </c>
      <c r="I39" s="2">
        <v>0</v>
      </c>
      <c r="J39" s="2">
        <v>0</v>
      </c>
      <c r="K39" s="2">
        <v>0</v>
      </c>
      <c r="L39" s="2">
        <v>1</v>
      </c>
      <c r="M39" s="2">
        <v>1</v>
      </c>
      <c r="P39" t="str">
        <f t="shared" si="0"/>
        <v>(37,'default',0,0,0,1,1),</v>
      </c>
      <c r="R39" t="str">
        <f t="shared" si="1"/>
        <v>(37,0),</v>
      </c>
      <c r="X39" s="50">
        <v>28856</v>
      </c>
      <c r="Y39" s="50">
        <v>28856</v>
      </c>
    </row>
    <row r="40" spans="1:25" ht="24.95" customHeight="1" x14ac:dyDescent="0.3">
      <c r="A40" s="1">
        <v>38</v>
      </c>
      <c r="B40" s="2" t="s">
        <v>1303</v>
      </c>
      <c r="C40" s="47" t="s">
        <v>1301</v>
      </c>
      <c r="D40" s="48">
        <v>29221</v>
      </c>
      <c r="E40" s="48">
        <v>29221</v>
      </c>
      <c r="F40" s="48"/>
      <c r="G40" s="2">
        <v>1</v>
      </c>
      <c r="H40" s="2" t="s">
        <v>1474</v>
      </c>
      <c r="I40" s="2">
        <v>0</v>
      </c>
      <c r="J40" s="2">
        <v>0</v>
      </c>
      <c r="K40" s="2">
        <v>0</v>
      </c>
      <c r="L40" s="2">
        <v>1</v>
      </c>
      <c r="M40" s="2">
        <v>1</v>
      </c>
      <c r="P40" t="str">
        <f t="shared" si="0"/>
        <v>(38,'default',0,0,0,1,1),</v>
      </c>
      <c r="R40" t="str">
        <f t="shared" si="1"/>
        <v>(38,0),</v>
      </c>
      <c r="X40" s="50">
        <v>43101</v>
      </c>
      <c r="Y40" s="50">
        <v>43101</v>
      </c>
    </row>
    <row r="41" spans="1:25" ht="24.95" customHeight="1" x14ac:dyDescent="0.3">
      <c r="A41" s="1">
        <v>39</v>
      </c>
      <c r="B41" s="2" t="s">
        <v>1304</v>
      </c>
      <c r="C41" s="47" t="s">
        <v>1302</v>
      </c>
      <c r="D41" s="48">
        <v>37691</v>
      </c>
      <c r="E41" s="48">
        <v>37691</v>
      </c>
      <c r="F41" s="48"/>
      <c r="G41" s="2">
        <v>1</v>
      </c>
      <c r="H41" s="2" t="s">
        <v>1474</v>
      </c>
      <c r="I41" s="2">
        <v>0</v>
      </c>
      <c r="J41" s="2">
        <v>0</v>
      </c>
      <c r="K41" s="2">
        <v>0</v>
      </c>
      <c r="L41" s="2">
        <v>1</v>
      </c>
      <c r="M41" s="2">
        <v>1</v>
      </c>
      <c r="P41" t="str">
        <f t="shared" si="0"/>
        <v>(39,'default',0,0,0,1,1),</v>
      </c>
      <c r="R41" t="str">
        <f t="shared" si="1"/>
        <v>(39,0),</v>
      </c>
      <c r="X41" s="50">
        <v>42736</v>
      </c>
      <c r="Y41" s="50">
        <v>42736</v>
      </c>
    </row>
    <row r="42" spans="1:25" ht="24.95" customHeight="1" x14ac:dyDescent="0.3">
      <c r="A42" s="1">
        <v>40</v>
      </c>
      <c r="B42" s="2" t="s">
        <v>1306</v>
      </c>
      <c r="C42" s="47" t="s">
        <v>1305</v>
      </c>
      <c r="D42" s="48">
        <v>37927</v>
      </c>
      <c r="E42" s="48">
        <v>37927</v>
      </c>
      <c r="F42" s="48"/>
      <c r="G42" s="2">
        <v>1</v>
      </c>
      <c r="H42" s="2" t="s">
        <v>1474</v>
      </c>
      <c r="I42" s="2">
        <v>0</v>
      </c>
      <c r="J42" s="2">
        <v>0</v>
      </c>
      <c r="K42" s="2">
        <v>0</v>
      </c>
      <c r="L42" s="2">
        <v>1</v>
      </c>
      <c r="M42" s="2">
        <v>1</v>
      </c>
      <c r="P42" t="str">
        <f t="shared" si="0"/>
        <v>(40,'default',0,0,0,1,1),</v>
      </c>
      <c r="R42" t="str">
        <f t="shared" si="1"/>
        <v>(40,0),</v>
      </c>
      <c r="X42" s="50">
        <v>39234</v>
      </c>
      <c r="Y42" s="50">
        <v>39234</v>
      </c>
    </row>
    <row r="43" spans="1:25" ht="24.95" customHeight="1" x14ac:dyDescent="0.3">
      <c r="A43" s="1">
        <v>41</v>
      </c>
      <c r="B43" s="2" t="s">
        <v>1308</v>
      </c>
      <c r="C43" s="47" t="s">
        <v>1307</v>
      </c>
      <c r="D43" s="48">
        <v>37721</v>
      </c>
      <c r="E43" s="48">
        <v>39448</v>
      </c>
      <c r="F43" s="48"/>
      <c r="G43" s="2">
        <v>1</v>
      </c>
      <c r="H43" s="2" t="s">
        <v>1474</v>
      </c>
      <c r="I43" s="2">
        <v>0</v>
      </c>
      <c r="J43" s="2">
        <v>0</v>
      </c>
      <c r="K43" s="2">
        <v>0</v>
      </c>
      <c r="L43" s="2">
        <v>1</v>
      </c>
      <c r="M43" s="2">
        <v>1</v>
      </c>
      <c r="P43" t="str">
        <f t="shared" si="0"/>
        <v>(41,'default',0,0,0,1,1),</v>
      </c>
      <c r="R43" t="str">
        <f t="shared" si="1"/>
        <v>(41,0),</v>
      </c>
      <c r="X43" s="50">
        <v>39083</v>
      </c>
      <c r="Y43" s="50">
        <v>39083</v>
      </c>
    </row>
    <row r="44" spans="1:25" ht="24.95" customHeight="1" x14ac:dyDescent="0.3">
      <c r="A44" s="1">
        <v>42</v>
      </c>
      <c r="B44" s="2" t="s">
        <v>1309</v>
      </c>
      <c r="C44" s="47" t="s">
        <v>1271</v>
      </c>
      <c r="D44" s="48">
        <v>28795</v>
      </c>
      <c r="E44" s="48">
        <v>28795</v>
      </c>
      <c r="F44" s="48"/>
      <c r="G44" s="2">
        <v>1</v>
      </c>
      <c r="H44" s="2" t="s">
        <v>1474</v>
      </c>
      <c r="I44" s="2">
        <v>0</v>
      </c>
      <c r="J44" s="2">
        <v>0</v>
      </c>
      <c r="K44" s="2">
        <v>0</v>
      </c>
      <c r="L44" s="2">
        <v>1</v>
      </c>
      <c r="M44" s="2">
        <v>1</v>
      </c>
      <c r="P44" t="str">
        <f t="shared" si="0"/>
        <v>(42,'default',0,0,0,1,1),</v>
      </c>
      <c r="R44" t="str">
        <f t="shared" si="1"/>
        <v>(42,0),</v>
      </c>
      <c r="X44" s="50">
        <v>43132</v>
      </c>
      <c r="Y44" s="50">
        <v>43132</v>
      </c>
    </row>
    <row r="45" spans="1:25" ht="24.95" customHeight="1" x14ac:dyDescent="0.3">
      <c r="A45" s="1">
        <v>43</v>
      </c>
      <c r="B45" s="2" t="s">
        <v>1310</v>
      </c>
      <c r="C45" s="47" t="s">
        <v>1272</v>
      </c>
      <c r="D45" s="48">
        <v>28795</v>
      </c>
      <c r="E45" s="48">
        <v>28795</v>
      </c>
      <c r="F45" s="48"/>
      <c r="G45" s="2">
        <v>1</v>
      </c>
      <c r="H45" s="2" t="s">
        <v>1474</v>
      </c>
      <c r="I45" s="2">
        <v>0</v>
      </c>
      <c r="J45" s="2">
        <v>0</v>
      </c>
      <c r="K45" s="2">
        <v>0</v>
      </c>
      <c r="L45" s="2">
        <v>1</v>
      </c>
      <c r="M45" s="2">
        <v>1</v>
      </c>
      <c r="P45" t="str">
        <f t="shared" si="0"/>
        <v>(43,'default',0,0,0,1,1),</v>
      </c>
      <c r="R45" t="str">
        <f t="shared" si="1"/>
        <v>(43,0),</v>
      </c>
      <c r="X45" s="50">
        <v>30714</v>
      </c>
      <c r="Y45" s="50">
        <v>30714</v>
      </c>
    </row>
    <row r="46" spans="1:25" ht="24.95" customHeight="1" x14ac:dyDescent="0.3">
      <c r="A46" s="1">
        <v>44</v>
      </c>
      <c r="B46" s="2" t="s">
        <v>1311</v>
      </c>
      <c r="C46" s="47" t="s">
        <v>1312</v>
      </c>
      <c r="D46" s="48">
        <v>28795</v>
      </c>
      <c r="E46" s="48">
        <v>28795</v>
      </c>
      <c r="F46" s="48"/>
      <c r="G46" s="2">
        <v>1</v>
      </c>
      <c r="H46" s="2" t="s">
        <v>1474</v>
      </c>
      <c r="I46" s="2">
        <v>0</v>
      </c>
      <c r="J46" s="2">
        <v>0</v>
      </c>
      <c r="K46" s="2">
        <v>0</v>
      </c>
      <c r="L46" s="2">
        <v>1</v>
      </c>
      <c r="M46" s="2">
        <v>1</v>
      </c>
      <c r="P46" t="str">
        <f t="shared" si="0"/>
        <v>(44,'default',0,0,0,1,1),</v>
      </c>
      <c r="R46" t="str">
        <f t="shared" si="1"/>
        <v>(44,0),</v>
      </c>
      <c r="X46" s="50">
        <v>38997</v>
      </c>
      <c r="Y46" s="50">
        <v>38997</v>
      </c>
    </row>
    <row r="47" spans="1:25" ht="24.95" customHeight="1" x14ac:dyDescent="0.3">
      <c r="A47" s="1">
        <v>45</v>
      </c>
      <c r="B47" s="2" t="s">
        <v>1313</v>
      </c>
      <c r="C47" s="47" t="s">
        <v>1268</v>
      </c>
      <c r="D47" s="48">
        <v>39814</v>
      </c>
      <c r="E47" s="48">
        <v>39814</v>
      </c>
      <c r="F47" s="48"/>
      <c r="G47" s="2">
        <v>1</v>
      </c>
      <c r="H47" s="2" t="s">
        <v>1474</v>
      </c>
      <c r="I47" s="2">
        <v>0</v>
      </c>
      <c r="J47" s="2">
        <v>0</v>
      </c>
      <c r="K47" s="2">
        <v>0</v>
      </c>
      <c r="L47" s="2">
        <v>1</v>
      </c>
      <c r="M47" s="2">
        <v>1</v>
      </c>
      <c r="P47" t="str">
        <f t="shared" si="0"/>
        <v>(45,'default',0,0,0,1,1),</v>
      </c>
      <c r="R47" t="str">
        <f t="shared" si="1"/>
        <v>(45,0),</v>
      </c>
      <c r="X47" s="50">
        <v>39387</v>
      </c>
      <c r="Y47" s="50">
        <v>39387</v>
      </c>
    </row>
    <row r="48" spans="1:25" ht="24.95" customHeight="1" x14ac:dyDescent="0.3">
      <c r="A48" s="1">
        <v>46</v>
      </c>
      <c r="B48" s="2" t="s">
        <v>1314</v>
      </c>
      <c r="C48" s="47" t="s">
        <v>1284</v>
      </c>
      <c r="D48" s="48">
        <v>39814</v>
      </c>
      <c r="E48" s="48">
        <v>39814</v>
      </c>
      <c r="F48" s="48"/>
      <c r="G48" s="2">
        <v>1</v>
      </c>
      <c r="H48" s="2" t="s">
        <v>1474</v>
      </c>
      <c r="I48" s="2">
        <v>0</v>
      </c>
      <c r="J48" s="2">
        <v>0</v>
      </c>
      <c r="K48" s="2">
        <v>0</v>
      </c>
      <c r="L48" s="2">
        <v>1</v>
      </c>
      <c r="M48" s="2">
        <v>1</v>
      </c>
      <c r="P48" t="str">
        <f t="shared" si="0"/>
        <v>(46,'default',0,0,0,1,1),</v>
      </c>
      <c r="R48" t="str">
        <f t="shared" si="1"/>
        <v>(46,0),</v>
      </c>
      <c r="X48" s="50">
        <v>39814</v>
      </c>
      <c r="Y48" s="50">
        <v>39814</v>
      </c>
    </row>
    <row r="49" spans="1:25" ht="24.95" customHeight="1" x14ac:dyDescent="0.3">
      <c r="A49" s="1">
        <v>47</v>
      </c>
      <c r="B49" s="2" t="s">
        <v>1315</v>
      </c>
      <c r="C49" s="47" t="s">
        <v>1271</v>
      </c>
      <c r="D49" s="48">
        <v>30714</v>
      </c>
      <c r="E49" s="48">
        <v>30714</v>
      </c>
      <c r="F49" s="48"/>
      <c r="G49" s="2">
        <v>1</v>
      </c>
      <c r="H49" s="2" t="s">
        <v>1474</v>
      </c>
      <c r="I49" s="2">
        <v>0</v>
      </c>
      <c r="J49" s="2">
        <v>0</v>
      </c>
      <c r="K49" s="2">
        <v>0</v>
      </c>
      <c r="L49" s="2">
        <v>1</v>
      </c>
      <c r="M49" s="2">
        <v>1</v>
      </c>
      <c r="P49" t="str">
        <f t="shared" si="0"/>
        <v>(47,'default',0,0,0,1,1),</v>
      </c>
      <c r="R49" t="str">
        <f t="shared" si="1"/>
        <v>(47,0),</v>
      </c>
      <c r="X49" s="50">
        <v>38895</v>
      </c>
      <c r="Y49" s="50">
        <v>38895</v>
      </c>
    </row>
    <row r="50" spans="1:25" ht="24.95" customHeight="1" x14ac:dyDescent="0.3">
      <c r="A50" s="1">
        <v>48</v>
      </c>
      <c r="B50" s="2" t="s">
        <v>1435</v>
      </c>
      <c r="C50" s="47" t="s">
        <v>1272</v>
      </c>
      <c r="D50" s="48">
        <v>38997</v>
      </c>
      <c r="E50" s="48">
        <v>38997</v>
      </c>
      <c r="F50" s="48"/>
      <c r="G50" s="2">
        <v>1</v>
      </c>
      <c r="H50" s="2" t="s">
        <v>1474</v>
      </c>
      <c r="I50" s="2">
        <v>0</v>
      </c>
      <c r="J50" s="2">
        <v>0</v>
      </c>
      <c r="K50" s="2">
        <v>0</v>
      </c>
      <c r="L50" s="2">
        <v>1</v>
      </c>
      <c r="M50" s="2">
        <v>1</v>
      </c>
      <c r="P50" t="str">
        <f t="shared" si="0"/>
        <v>(48,'default',0,0,0,1,1),</v>
      </c>
      <c r="R50" t="str">
        <f t="shared" si="1"/>
        <v>(48,0),</v>
      </c>
      <c r="X50" s="50">
        <v>37927</v>
      </c>
      <c r="Y50" s="50">
        <v>37927</v>
      </c>
    </row>
    <row r="51" spans="1:25" ht="24.95" customHeight="1" x14ac:dyDescent="0.3">
      <c r="A51" s="1">
        <v>49</v>
      </c>
      <c r="B51" s="2" t="s">
        <v>1316</v>
      </c>
      <c r="C51" s="47" t="s">
        <v>1271</v>
      </c>
      <c r="D51" s="48">
        <v>39387</v>
      </c>
      <c r="E51" s="48">
        <v>39387</v>
      </c>
      <c r="F51" s="48"/>
      <c r="G51" s="2">
        <v>1</v>
      </c>
      <c r="H51" s="2" t="s">
        <v>1474</v>
      </c>
      <c r="I51" s="2">
        <v>0</v>
      </c>
      <c r="J51" s="2">
        <v>0</v>
      </c>
      <c r="K51" s="2">
        <v>0</v>
      </c>
      <c r="L51" s="2">
        <v>1</v>
      </c>
      <c r="M51" s="2">
        <v>1</v>
      </c>
      <c r="P51" t="str">
        <f t="shared" si="0"/>
        <v>(49,'default',0,0,0,1,1),</v>
      </c>
      <c r="R51" t="str">
        <f t="shared" si="1"/>
        <v>(49,0),</v>
      </c>
      <c r="X51" s="50">
        <v>26299</v>
      </c>
      <c r="Y51" s="50">
        <v>26299</v>
      </c>
    </row>
    <row r="52" spans="1:25" ht="24.95" customHeight="1" x14ac:dyDescent="0.3">
      <c r="A52" s="1">
        <v>50</v>
      </c>
      <c r="B52" s="2" t="s">
        <v>1318</v>
      </c>
      <c r="C52" s="47" t="s">
        <v>1317</v>
      </c>
      <c r="D52" s="48">
        <v>36462</v>
      </c>
      <c r="E52" s="48">
        <v>36462</v>
      </c>
      <c r="F52" s="48"/>
      <c r="G52" s="2">
        <v>1</v>
      </c>
      <c r="H52" s="2" t="s">
        <v>1474</v>
      </c>
      <c r="I52" s="2">
        <v>0</v>
      </c>
      <c r="J52" s="2">
        <v>0</v>
      </c>
      <c r="K52" s="2">
        <v>0</v>
      </c>
      <c r="L52" s="2">
        <v>1</v>
      </c>
      <c r="M52" s="2">
        <v>1</v>
      </c>
      <c r="P52" t="str">
        <f t="shared" si="0"/>
        <v>(50,'default',0,0,0,1,1),</v>
      </c>
      <c r="R52" t="str">
        <f t="shared" ref="R52:R78" si="2">CONCATENATE("(",A52,",",K52,"),")</f>
        <v>(50,0),</v>
      </c>
      <c r="X52" s="50">
        <v>21916</v>
      </c>
      <c r="Y52" s="50">
        <v>21916</v>
      </c>
    </row>
    <row r="53" spans="1:25" ht="24.95" customHeight="1" x14ac:dyDescent="0.3">
      <c r="A53" s="1">
        <v>51</v>
      </c>
      <c r="B53" s="2" t="s">
        <v>1319</v>
      </c>
      <c r="C53" s="47" t="s">
        <v>1268</v>
      </c>
      <c r="D53" s="48">
        <v>43132</v>
      </c>
      <c r="E53" s="48">
        <v>43132</v>
      </c>
      <c r="F53" s="48"/>
      <c r="G53" s="2">
        <v>1</v>
      </c>
      <c r="H53" s="2" t="s">
        <v>1474</v>
      </c>
      <c r="I53" s="2">
        <v>0</v>
      </c>
      <c r="J53" s="2">
        <v>0</v>
      </c>
      <c r="K53" s="2">
        <v>0</v>
      </c>
      <c r="L53" s="2">
        <v>1</v>
      </c>
      <c r="M53" s="2">
        <v>1</v>
      </c>
      <c r="N53" t="s">
        <v>1432</v>
      </c>
      <c r="P53" t="str">
        <f t="shared" si="0"/>
        <v>(51,'default',0,0,0,1,1),</v>
      </c>
      <c r="R53" t="str">
        <f t="shared" si="2"/>
        <v>(51,0),</v>
      </c>
      <c r="X53" s="50">
        <v>37622</v>
      </c>
      <c r="Y53" s="50">
        <v>37622</v>
      </c>
    </row>
    <row r="54" spans="1:25" ht="24.95" customHeight="1" x14ac:dyDescent="0.3">
      <c r="A54" s="1">
        <v>52</v>
      </c>
      <c r="B54" s="2" t="s">
        <v>1320</v>
      </c>
      <c r="C54" s="47" t="s">
        <v>1269</v>
      </c>
      <c r="D54" s="48">
        <v>35065</v>
      </c>
      <c r="E54" s="48">
        <v>35065</v>
      </c>
      <c r="F54" s="48"/>
      <c r="G54" s="2">
        <v>1</v>
      </c>
      <c r="H54" s="2" t="s">
        <v>1474</v>
      </c>
      <c r="I54" s="2">
        <v>0</v>
      </c>
      <c r="J54" s="2">
        <v>0</v>
      </c>
      <c r="K54" s="2">
        <v>0</v>
      </c>
      <c r="L54" s="2">
        <v>1</v>
      </c>
      <c r="M54" s="2">
        <v>1</v>
      </c>
      <c r="P54" t="str">
        <f t="shared" si="0"/>
        <v>(52,'default',0,0,0,1,1),</v>
      </c>
      <c r="R54" t="str">
        <f t="shared" si="2"/>
        <v>(52,0),</v>
      </c>
      <c r="X54" s="50">
        <v>43647</v>
      </c>
      <c r="Y54" s="50">
        <v>43647</v>
      </c>
    </row>
    <row r="55" spans="1:25" ht="24.95" customHeight="1" x14ac:dyDescent="0.3">
      <c r="A55" s="1">
        <v>53</v>
      </c>
      <c r="B55" s="2" t="s">
        <v>1325</v>
      </c>
      <c r="C55" s="47" t="s">
        <v>1321</v>
      </c>
      <c r="D55" s="48">
        <v>23743</v>
      </c>
      <c r="E55" s="48">
        <v>23743</v>
      </c>
      <c r="F55" s="48">
        <v>42248</v>
      </c>
      <c r="G55" s="2">
        <v>8</v>
      </c>
      <c r="H55" s="2" t="s">
        <v>1474</v>
      </c>
      <c r="I55" s="2">
        <v>0</v>
      </c>
      <c r="J55" s="2">
        <v>0</v>
      </c>
      <c r="K55" s="2">
        <v>0</v>
      </c>
      <c r="L55" s="2">
        <v>1</v>
      </c>
      <c r="M55" s="2">
        <v>1</v>
      </c>
      <c r="P55" t="str">
        <f t="shared" si="0"/>
        <v>(53,'default',0,0,0,1,1),</v>
      </c>
      <c r="R55" t="str">
        <f t="shared" si="2"/>
        <v>(53,0),</v>
      </c>
      <c r="X55" s="50">
        <v>35065</v>
      </c>
      <c r="Y55" s="50">
        <v>35065</v>
      </c>
    </row>
    <row r="56" spans="1:25" ht="24.95" customHeight="1" x14ac:dyDescent="0.3">
      <c r="A56" s="1">
        <v>54</v>
      </c>
      <c r="B56" s="2" t="s">
        <v>1326</v>
      </c>
      <c r="C56" s="47" t="s">
        <v>1322</v>
      </c>
      <c r="D56" s="48">
        <v>26299</v>
      </c>
      <c r="E56" s="48">
        <v>26299</v>
      </c>
      <c r="F56" s="48">
        <v>42248</v>
      </c>
      <c r="G56" s="2">
        <v>8</v>
      </c>
      <c r="H56" s="2" t="s">
        <v>1474</v>
      </c>
      <c r="I56" s="2">
        <v>0</v>
      </c>
      <c r="J56" s="2">
        <v>0</v>
      </c>
      <c r="K56" s="2">
        <v>0</v>
      </c>
      <c r="L56" s="2">
        <v>1</v>
      </c>
      <c r="M56" s="2">
        <v>1</v>
      </c>
      <c r="P56" t="str">
        <f t="shared" si="0"/>
        <v>(54,'default',0,0,0,1,1),</v>
      </c>
      <c r="R56" t="str">
        <f t="shared" si="2"/>
        <v>(54,0),</v>
      </c>
      <c r="X56" s="50">
        <v>39684</v>
      </c>
      <c r="Y56" s="50">
        <v>39684</v>
      </c>
    </row>
    <row r="57" spans="1:25" ht="24.95" customHeight="1" x14ac:dyDescent="0.3">
      <c r="A57" s="1">
        <v>55</v>
      </c>
      <c r="B57" s="2" t="s">
        <v>1327</v>
      </c>
      <c r="C57" s="47" t="s">
        <v>1323</v>
      </c>
      <c r="D57" s="48">
        <v>23743</v>
      </c>
      <c r="E57" s="48">
        <v>23743</v>
      </c>
      <c r="F57" s="48">
        <v>42248</v>
      </c>
      <c r="G57" s="2">
        <v>8</v>
      </c>
      <c r="H57" s="2" t="s">
        <v>1474</v>
      </c>
      <c r="I57" s="2">
        <v>0</v>
      </c>
      <c r="J57" s="2">
        <v>0</v>
      </c>
      <c r="K57" s="2">
        <v>0</v>
      </c>
      <c r="L57" s="2">
        <v>1</v>
      </c>
      <c r="M57" s="2">
        <v>1</v>
      </c>
      <c r="P57" t="str">
        <f t="shared" si="0"/>
        <v>(55,'default',0,0,0,1,1),</v>
      </c>
      <c r="R57" t="str">
        <f t="shared" si="2"/>
        <v>(55,0),</v>
      </c>
      <c r="X57" s="50">
        <v>37721</v>
      </c>
      <c r="Y57" s="50">
        <v>39448</v>
      </c>
    </row>
    <row r="58" spans="1:25" ht="24.95" customHeight="1" x14ac:dyDescent="0.3">
      <c r="A58" s="1">
        <v>56</v>
      </c>
      <c r="B58" s="2" t="s">
        <v>1328</v>
      </c>
      <c r="C58" s="47" t="s">
        <v>1324</v>
      </c>
      <c r="D58" s="48">
        <v>26299</v>
      </c>
      <c r="E58" s="48">
        <v>26299</v>
      </c>
      <c r="F58" s="48">
        <v>42248</v>
      </c>
      <c r="G58" s="2">
        <v>8</v>
      </c>
      <c r="H58" s="2" t="s">
        <v>1474</v>
      </c>
      <c r="I58" s="2">
        <v>0</v>
      </c>
      <c r="J58" s="2">
        <v>0</v>
      </c>
      <c r="K58" s="2">
        <v>0</v>
      </c>
      <c r="L58" s="2">
        <v>1</v>
      </c>
      <c r="M58" s="2">
        <v>1</v>
      </c>
      <c r="P58" t="str">
        <f t="shared" si="0"/>
        <v>(56,'default',0,0,0,1,1),</v>
      </c>
      <c r="R58" t="str">
        <f t="shared" si="2"/>
        <v>(56,0),</v>
      </c>
      <c r="X58" s="50">
        <v>27760</v>
      </c>
      <c r="Y58" s="50">
        <v>27760</v>
      </c>
    </row>
    <row r="59" spans="1:25" ht="24.95" customHeight="1" x14ac:dyDescent="0.3">
      <c r="A59" s="1">
        <v>57</v>
      </c>
      <c r="B59" s="2" t="s">
        <v>1333</v>
      </c>
      <c r="C59" s="47" t="s">
        <v>1329</v>
      </c>
      <c r="D59" s="48">
        <v>28856</v>
      </c>
      <c r="E59" s="48">
        <v>28856</v>
      </c>
      <c r="F59" s="48"/>
      <c r="G59" s="2">
        <v>1</v>
      </c>
      <c r="H59" s="2" t="s">
        <v>1474</v>
      </c>
      <c r="I59" s="2">
        <v>0</v>
      </c>
      <c r="J59" s="2">
        <v>0</v>
      </c>
      <c r="K59" s="2">
        <v>0</v>
      </c>
      <c r="L59" s="2">
        <v>1</v>
      </c>
      <c r="M59" s="2">
        <v>1</v>
      </c>
      <c r="P59" t="str">
        <f t="shared" si="0"/>
        <v>(57,'default',0,0,0,1,1),</v>
      </c>
      <c r="R59" t="str">
        <f t="shared" si="2"/>
        <v>(57,0),</v>
      </c>
      <c r="X59" s="50">
        <v>21916</v>
      </c>
      <c r="Y59" s="50">
        <v>21916</v>
      </c>
    </row>
    <row r="60" spans="1:25" ht="24.95" customHeight="1" x14ac:dyDescent="0.3">
      <c r="A60" s="1">
        <v>58</v>
      </c>
      <c r="B60" s="2" t="s">
        <v>1334</v>
      </c>
      <c r="C60" s="47" t="s">
        <v>1330</v>
      </c>
      <c r="D60" s="48">
        <v>28491</v>
      </c>
      <c r="E60" s="48">
        <v>28491</v>
      </c>
      <c r="F60" s="48"/>
      <c r="G60" s="2">
        <v>1</v>
      </c>
      <c r="H60" s="2" t="s">
        <v>1474</v>
      </c>
      <c r="I60" s="2">
        <v>0</v>
      </c>
      <c r="J60" s="2">
        <v>0</v>
      </c>
      <c r="K60" s="2">
        <v>0</v>
      </c>
      <c r="L60" s="2">
        <v>1</v>
      </c>
      <c r="M60" s="2">
        <v>1</v>
      </c>
      <c r="P60" t="str">
        <f t="shared" si="0"/>
        <v>(58,'default',0,0,0,1,1),</v>
      </c>
      <c r="R60" t="str">
        <f t="shared" si="2"/>
        <v>(58,0),</v>
      </c>
      <c r="X60" s="50">
        <v>37987</v>
      </c>
      <c r="Y60" s="50">
        <v>37987</v>
      </c>
    </row>
    <row r="61" spans="1:25" ht="24.95" customHeight="1" x14ac:dyDescent="0.3">
      <c r="A61" s="1">
        <v>59</v>
      </c>
      <c r="B61" s="2" t="s">
        <v>1335</v>
      </c>
      <c r="C61" s="47" t="s">
        <v>1322</v>
      </c>
      <c r="D61" s="48">
        <v>28856</v>
      </c>
      <c r="E61" s="48">
        <v>28856</v>
      </c>
      <c r="F61" s="48"/>
      <c r="G61" s="2">
        <v>1</v>
      </c>
      <c r="H61" s="2" t="s">
        <v>1474</v>
      </c>
      <c r="I61" s="2">
        <v>0</v>
      </c>
      <c r="J61" s="2">
        <v>0</v>
      </c>
      <c r="K61" s="2">
        <v>0</v>
      </c>
      <c r="L61" s="2">
        <v>1</v>
      </c>
      <c r="M61" s="2">
        <v>1</v>
      </c>
      <c r="P61" t="str">
        <f t="shared" si="0"/>
        <v>(59,'default',0,0,0,1,1),</v>
      </c>
      <c r="R61" t="str">
        <f t="shared" si="2"/>
        <v>(59,0),</v>
      </c>
      <c r="X61" s="50">
        <v>38353</v>
      </c>
      <c r="Y61" s="50">
        <v>38353</v>
      </c>
    </row>
    <row r="62" spans="1:25" ht="24.95" customHeight="1" x14ac:dyDescent="0.3">
      <c r="A62" s="1">
        <v>60</v>
      </c>
      <c r="B62" s="2" t="s">
        <v>1336</v>
      </c>
      <c r="C62" s="47" t="s">
        <v>1331</v>
      </c>
      <c r="D62" s="48">
        <v>28491</v>
      </c>
      <c r="E62" s="48">
        <v>28491</v>
      </c>
      <c r="F62" s="48"/>
      <c r="G62" s="2">
        <v>1</v>
      </c>
      <c r="H62" s="2" t="s">
        <v>1474</v>
      </c>
      <c r="I62" s="2">
        <v>0</v>
      </c>
      <c r="J62" s="2">
        <v>0</v>
      </c>
      <c r="K62" s="2">
        <v>0</v>
      </c>
      <c r="L62" s="2">
        <v>1</v>
      </c>
      <c r="M62" s="2">
        <v>1</v>
      </c>
      <c r="P62" t="str">
        <f t="shared" si="0"/>
        <v>(60,'default',0,0,0,1,1),</v>
      </c>
      <c r="R62" t="str">
        <f t="shared" si="2"/>
        <v>(60,0),</v>
      </c>
      <c r="X62" s="50">
        <v>39814</v>
      </c>
      <c r="Y62" s="50">
        <v>39814</v>
      </c>
    </row>
    <row r="63" spans="1:25" ht="24.95" customHeight="1" x14ac:dyDescent="0.3">
      <c r="A63" s="1">
        <v>61</v>
      </c>
      <c r="B63" s="2" t="s">
        <v>1337</v>
      </c>
      <c r="C63" s="47" t="s">
        <v>1332</v>
      </c>
      <c r="D63" s="48">
        <v>28856</v>
      </c>
      <c r="E63" s="48">
        <v>28856</v>
      </c>
      <c r="F63" s="48"/>
      <c r="G63" s="2">
        <v>1</v>
      </c>
      <c r="H63" s="2" t="s">
        <v>1474</v>
      </c>
      <c r="I63" s="2">
        <v>0</v>
      </c>
      <c r="J63" s="2">
        <v>0</v>
      </c>
      <c r="K63" s="2">
        <v>0</v>
      </c>
      <c r="L63" s="2">
        <v>1</v>
      </c>
      <c r="M63" s="2">
        <v>1</v>
      </c>
      <c r="P63" t="str">
        <f t="shared" si="0"/>
        <v>(61,'default',0,0,0,1,1),</v>
      </c>
      <c r="R63" t="str">
        <f t="shared" si="2"/>
        <v>(61,0),</v>
      </c>
      <c r="X63" s="50">
        <v>39448</v>
      </c>
      <c r="Y63" s="50">
        <v>39448</v>
      </c>
    </row>
    <row r="64" spans="1:25" ht="24.95" customHeight="1" x14ac:dyDescent="0.3">
      <c r="A64" s="1">
        <v>62</v>
      </c>
      <c r="B64" s="2" t="s">
        <v>1339</v>
      </c>
      <c r="C64" s="47" t="s">
        <v>1338</v>
      </c>
      <c r="D64" s="48">
        <v>38031</v>
      </c>
      <c r="E64" s="48">
        <v>38031</v>
      </c>
      <c r="F64" s="48"/>
      <c r="G64" s="2">
        <v>1</v>
      </c>
      <c r="H64" s="2" t="s">
        <v>1474</v>
      </c>
      <c r="I64" s="2">
        <v>0</v>
      </c>
      <c r="J64" s="2">
        <v>0</v>
      </c>
      <c r="K64" s="2">
        <v>0</v>
      </c>
      <c r="L64" s="2">
        <v>1</v>
      </c>
      <c r="M64" s="2">
        <v>1</v>
      </c>
      <c r="P64" t="str">
        <f t="shared" si="0"/>
        <v>(62,'default',0,0,0,1,1),</v>
      </c>
      <c r="R64" t="str">
        <f t="shared" si="2"/>
        <v>(62,0),</v>
      </c>
      <c r="X64" s="50">
        <v>26299</v>
      </c>
      <c r="Y64" s="50">
        <v>26299</v>
      </c>
    </row>
    <row r="65" spans="1:25" ht="24.95" customHeight="1" x14ac:dyDescent="0.3">
      <c r="A65" s="1">
        <v>63</v>
      </c>
      <c r="B65" s="2" t="s">
        <v>1340</v>
      </c>
      <c r="C65" s="47" t="s">
        <v>1345</v>
      </c>
      <c r="D65" s="48">
        <v>28856</v>
      </c>
      <c r="E65" s="48">
        <v>28856</v>
      </c>
      <c r="F65" s="48"/>
      <c r="G65" s="2">
        <v>1</v>
      </c>
      <c r="H65" s="2" t="s">
        <v>1474</v>
      </c>
      <c r="I65" s="2">
        <v>0</v>
      </c>
      <c r="J65" s="2">
        <v>0</v>
      </c>
      <c r="K65" s="2">
        <v>0</v>
      </c>
      <c r="L65" s="2">
        <v>1</v>
      </c>
      <c r="M65" s="2">
        <v>1</v>
      </c>
      <c r="P65" t="str">
        <f t="shared" si="0"/>
        <v>(63,'default',0,0,0,1,1),</v>
      </c>
      <c r="R65" t="str">
        <f t="shared" si="2"/>
        <v>(63,0),</v>
      </c>
      <c r="X65" s="50">
        <v>37622</v>
      </c>
      <c r="Y65" s="50">
        <v>37622</v>
      </c>
    </row>
    <row r="66" spans="1:25" ht="24.95" customHeight="1" x14ac:dyDescent="0.3">
      <c r="A66" s="1">
        <v>64</v>
      </c>
      <c r="B66" s="2" t="s">
        <v>1341</v>
      </c>
      <c r="C66" s="47" t="s">
        <v>1346</v>
      </c>
      <c r="D66" s="48">
        <v>28491</v>
      </c>
      <c r="E66" s="48">
        <v>28491</v>
      </c>
      <c r="F66" s="48"/>
      <c r="G66" s="2">
        <v>1</v>
      </c>
      <c r="H66" s="2" t="s">
        <v>1474</v>
      </c>
      <c r="I66" s="2">
        <v>0</v>
      </c>
      <c r="J66" s="2">
        <v>0</v>
      </c>
      <c r="K66" s="2">
        <v>0</v>
      </c>
      <c r="L66" s="2">
        <v>1</v>
      </c>
      <c r="M66" s="2">
        <v>1</v>
      </c>
      <c r="P66" t="str">
        <f t="shared" si="0"/>
        <v>(64,'default',0,0,0,1,1),</v>
      </c>
      <c r="R66" t="str">
        <f t="shared" si="2"/>
        <v>(64,0),</v>
      </c>
      <c r="X66" s="50">
        <v>28795</v>
      </c>
      <c r="Y66" s="50">
        <v>28795</v>
      </c>
    </row>
    <row r="67" spans="1:25" ht="24.95" customHeight="1" x14ac:dyDescent="0.3">
      <c r="A67" s="1">
        <v>65</v>
      </c>
      <c r="B67" s="2" t="s">
        <v>1342</v>
      </c>
      <c r="C67" s="47" t="s">
        <v>1347</v>
      </c>
      <c r="D67" s="48">
        <v>28856</v>
      </c>
      <c r="E67" s="48">
        <v>28856</v>
      </c>
      <c r="F67" s="48"/>
      <c r="G67" s="2">
        <v>1</v>
      </c>
      <c r="H67" s="2" t="s">
        <v>1474</v>
      </c>
      <c r="I67" s="2">
        <v>0</v>
      </c>
      <c r="J67" s="2">
        <v>0</v>
      </c>
      <c r="K67" s="2">
        <v>0</v>
      </c>
      <c r="L67" s="2">
        <v>1</v>
      </c>
      <c r="M67" s="2">
        <v>1</v>
      </c>
      <c r="P67" t="str">
        <f t="shared" si="0"/>
        <v>(65,'default',0,0,0,1,1),</v>
      </c>
      <c r="R67" t="str">
        <f t="shared" si="2"/>
        <v>(65,0),</v>
      </c>
      <c r="X67" s="50">
        <v>27760</v>
      </c>
      <c r="Y67" s="50">
        <v>27760</v>
      </c>
    </row>
    <row r="68" spans="1:25" ht="24.95" customHeight="1" x14ac:dyDescent="0.3">
      <c r="A68" s="1">
        <v>66</v>
      </c>
      <c r="B68" s="2" t="s">
        <v>1343</v>
      </c>
      <c r="C68" s="47" t="s">
        <v>1348</v>
      </c>
      <c r="D68" s="48">
        <v>28491</v>
      </c>
      <c r="E68" s="48">
        <v>28491</v>
      </c>
      <c r="F68" s="48"/>
      <c r="G68" s="2">
        <v>1</v>
      </c>
      <c r="H68" s="2" t="s">
        <v>1474</v>
      </c>
      <c r="I68" s="2">
        <v>0</v>
      </c>
      <c r="J68" s="2">
        <v>0</v>
      </c>
      <c r="K68" s="2">
        <v>0</v>
      </c>
      <c r="L68" s="2">
        <v>1</v>
      </c>
      <c r="M68" s="2">
        <v>1</v>
      </c>
      <c r="P68" t="str">
        <f t="shared" ref="P68:P101" si="3">CONCATENATE("(",A68,",'",H68,"',",I68,",",J68,",",K68,",",L68,",",M68,"),")</f>
        <v>(66,'default',0,0,0,1,1),</v>
      </c>
      <c r="R68" t="str">
        <f t="shared" si="2"/>
        <v>(66,0),</v>
      </c>
      <c r="X68" s="50">
        <v>37987</v>
      </c>
      <c r="Y68" s="50">
        <v>37987</v>
      </c>
    </row>
    <row r="69" spans="1:25" ht="24.95" customHeight="1" x14ac:dyDescent="0.3">
      <c r="A69" s="1">
        <v>67</v>
      </c>
      <c r="B69" s="2" t="s">
        <v>1344</v>
      </c>
      <c r="C69" s="47" t="s">
        <v>1349</v>
      </c>
      <c r="D69" s="48">
        <v>28856</v>
      </c>
      <c r="E69" s="48">
        <v>28856</v>
      </c>
      <c r="F69" s="48"/>
      <c r="G69" s="2">
        <v>1</v>
      </c>
      <c r="H69" s="2" t="s">
        <v>1474</v>
      </c>
      <c r="I69" s="2">
        <v>0</v>
      </c>
      <c r="J69" s="2">
        <v>0</v>
      </c>
      <c r="K69" s="2">
        <v>0</v>
      </c>
      <c r="L69" s="2">
        <v>1</v>
      </c>
      <c r="M69" s="2">
        <v>1</v>
      </c>
      <c r="P69" t="str">
        <f t="shared" si="3"/>
        <v>(67,'default',0,0,0,1,1),</v>
      </c>
      <c r="R69" t="str">
        <f t="shared" si="2"/>
        <v>(67,0),</v>
      </c>
      <c r="X69" s="50">
        <v>28795</v>
      </c>
      <c r="Y69" s="50">
        <v>28795</v>
      </c>
    </row>
    <row r="70" spans="1:25" ht="24.95" customHeight="1" x14ac:dyDescent="0.3">
      <c r="A70" s="1">
        <v>68</v>
      </c>
      <c r="B70" s="2" t="s">
        <v>1351</v>
      </c>
      <c r="C70" s="47" t="s">
        <v>1350</v>
      </c>
      <c r="D70" s="48">
        <v>35065</v>
      </c>
      <c r="E70" s="48">
        <v>35065</v>
      </c>
      <c r="F70" s="48"/>
      <c r="G70" s="2">
        <v>1</v>
      </c>
      <c r="H70" s="2" t="s">
        <v>1474</v>
      </c>
      <c r="I70" s="2">
        <v>0</v>
      </c>
      <c r="J70" s="2">
        <v>0</v>
      </c>
      <c r="K70" s="2">
        <v>0</v>
      </c>
      <c r="L70" s="2">
        <v>1</v>
      </c>
      <c r="M70" s="2">
        <v>1</v>
      </c>
      <c r="P70" t="str">
        <f t="shared" si="3"/>
        <v>(68,'default',0,0,0,1,1),</v>
      </c>
      <c r="R70" t="str">
        <f t="shared" si="2"/>
        <v>(68,0),</v>
      </c>
      <c r="X70" s="50">
        <v>37622</v>
      </c>
      <c r="Y70" s="50">
        <v>37622</v>
      </c>
    </row>
    <row r="71" spans="1:25" ht="24.95" customHeight="1" x14ac:dyDescent="0.3">
      <c r="A71" s="1">
        <v>69</v>
      </c>
      <c r="B71" s="2" t="s">
        <v>1353</v>
      </c>
      <c r="C71" s="47" t="s">
        <v>1352</v>
      </c>
      <c r="D71" s="48">
        <v>38961</v>
      </c>
      <c r="E71" s="48">
        <v>38961</v>
      </c>
      <c r="F71" s="48"/>
      <c r="G71" s="2">
        <v>1</v>
      </c>
      <c r="H71" s="2" t="s">
        <v>1474</v>
      </c>
      <c r="I71" s="2">
        <v>0</v>
      </c>
      <c r="J71" s="2">
        <v>0</v>
      </c>
      <c r="K71" s="2">
        <v>0</v>
      </c>
      <c r="L71" s="2">
        <v>1</v>
      </c>
      <c r="M71" s="2">
        <v>1</v>
      </c>
      <c r="P71" t="str">
        <f t="shared" si="3"/>
        <v>(69,'default',0,0,0,1,1),</v>
      </c>
      <c r="R71" t="str">
        <f t="shared" si="2"/>
        <v>(69,0),</v>
      </c>
      <c r="X71" s="50">
        <v>28795</v>
      </c>
      <c r="Y71" s="50">
        <v>28795</v>
      </c>
    </row>
    <row r="72" spans="1:25" ht="24.95" customHeight="1" x14ac:dyDescent="0.3">
      <c r="A72" s="1">
        <v>70</v>
      </c>
      <c r="B72" s="2" t="s">
        <v>1354</v>
      </c>
      <c r="C72" s="47" t="s">
        <v>1359</v>
      </c>
      <c r="D72" s="48">
        <v>39234</v>
      </c>
      <c r="E72" s="48">
        <v>39234</v>
      </c>
      <c r="F72" s="48"/>
      <c r="G72" s="2">
        <v>1</v>
      </c>
      <c r="H72" s="2" t="s">
        <v>1474</v>
      </c>
      <c r="I72" s="2">
        <v>0</v>
      </c>
      <c r="J72" s="2">
        <v>0</v>
      </c>
      <c r="K72" s="2">
        <v>0</v>
      </c>
      <c r="L72" s="2">
        <v>1</v>
      </c>
      <c r="M72" s="2">
        <v>1</v>
      </c>
      <c r="P72" t="str">
        <f t="shared" si="3"/>
        <v>(70,'default',0,0,0,1,1),</v>
      </c>
      <c r="R72" t="str">
        <f t="shared" si="2"/>
        <v>(70,0),</v>
      </c>
      <c r="X72" s="50">
        <v>37987</v>
      </c>
      <c r="Y72" s="50">
        <v>37987</v>
      </c>
    </row>
    <row r="73" spans="1:25" ht="24.95" customHeight="1" x14ac:dyDescent="0.3">
      <c r="A73" s="1">
        <v>71</v>
      </c>
      <c r="B73" s="2" t="s">
        <v>1355</v>
      </c>
      <c r="C73" s="47" t="s">
        <v>1360</v>
      </c>
      <c r="D73" s="48">
        <v>38899</v>
      </c>
      <c r="E73" s="48">
        <v>38899</v>
      </c>
      <c r="F73" s="48"/>
      <c r="G73" s="2">
        <v>1</v>
      </c>
      <c r="H73" s="2" t="s">
        <v>1474</v>
      </c>
      <c r="I73" s="2">
        <v>0</v>
      </c>
      <c r="J73" s="2">
        <v>0</v>
      </c>
      <c r="K73" s="2">
        <v>0</v>
      </c>
      <c r="L73" s="2">
        <v>1</v>
      </c>
      <c r="M73" s="2">
        <v>1</v>
      </c>
      <c r="P73" t="str">
        <f t="shared" si="3"/>
        <v>(71,'default',0,0,0,1,1),</v>
      </c>
      <c r="R73" t="str">
        <f t="shared" si="2"/>
        <v>(71,0),</v>
      </c>
      <c r="X73" s="50">
        <v>36462</v>
      </c>
      <c r="Y73" s="50">
        <v>36462</v>
      </c>
    </row>
    <row r="74" spans="1:25" ht="24.95" customHeight="1" x14ac:dyDescent="0.3">
      <c r="A74" s="1">
        <v>72</v>
      </c>
      <c r="B74" s="2" t="s">
        <v>1356</v>
      </c>
      <c r="C74" s="47" t="s">
        <v>1361</v>
      </c>
      <c r="D74" s="48">
        <v>37898</v>
      </c>
      <c r="E74" s="48">
        <v>37898</v>
      </c>
      <c r="F74" s="48"/>
      <c r="G74" s="2">
        <v>1</v>
      </c>
      <c r="H74" s="2" t="s">
        <v>1474</v>
      </c>
      <c r="I74" s="2">
        <v>0</v>
      </c>
      <c r="J74" s="2">
        <v>0</v>
      </c>
      <c r="K74" s="2">
        <v>0</v>
      </c>
      <c r="L74" s="2">
        <v>1</v>
      </c>
      <c r="M74" s="2">
        <v>1</v>
      </c>
      <c r="P74" t="str">
        <f t="shared" si="3"/>
        <v>(72,'default',0,0,0,1,1),</v>
      </c>
      <c r="R74" t="str">
        <f t="shared" si="2"/>
        <v>(72,0),</v>
      </c>
    </row>
    <row r="75" spans="1:25" ht="24.95" customHeight="1" x14ac:dyDescent="0.3">
      <c r="A75" s="1">
        <v>73</v>
      </c>
      <c r="B75" s="2" t="s">
        <v>1357</v>
      </c>
      <c r="C75" s="47" t="s">
        <v>1362</v>
      </c>
      <c r="D75" s="48">
        <v>38718</v>
      </c>
      <c r="E75" s="48">
        <v>38718</v>
      </c>
      <c r="F75" s="48"/>
      <c r="G75" s="2">
        <v>1</v>
      </c>
      <c r="H75" s="2" t="s">
        <v>1474</v>
      </c>
      <c r="I75" s="2">
        <v>0</v>
      </c>
      <c r="J75" s="2">
        <v>0</v>
      </c>
      <c r="K75" s="2">
        <v>0</v>
      </c>
      <c r="L75" s="2">
        <v>1</v>
      </c>
      <c r="M75" s="2">
        <v>1</v>
      </c>
      <c r="P75" t="str">
        <f t="shared" si="3"/>
        <v>(73,'default',0,0,0,1,1),</v>
      </c>
      <c r="R75" t="str">
        <f t="shared" si="2"/>
        <v>(73,0),</v>
      </c>
    </row>
    <row r="76" spans="1:25" ht="24.95" customHeight="1" x14ac:dyDescent="0.3">
      <c r="A76" s="1">
        <v>74</v>
      </c>
      <c r="B76" s="2" t="s">
        <v>1358</v>
      </c>
      <c r="C76" s="47" t="s">
        <v>1363</v>
      </c>
      <c r="D76" s="48">
        <v>31413</v>
      </c>
      <c r="E76" s="48">
        <v>31413</v>
      </c>
      <c r="F76" s="48">
        <v>36526</v>
      </c>
      <c r="G76" s="2">
        <v>8</v>
      </c>
      <c r="H76" s="2" t="s">
        <v>1474</v>
      </c>
      <c r="I76" s="2">
        <v>0</v>
      </c>
      <c r="J76" s="2">
        <v>0</v>
      </c>
      <c r="K76" s="2">
        <v>0</v>
      </c>
      <c r="L76" s="2">
        <v>1</v>
      </c>
      <c r="M76" s="2">
        <v>1</v>
      </c>
      <c r="P76" t="str">
        <f t="shared" si="3"/>
        <v>(74,'default',0,0,0,1,1),</v>
      </c>
      <c r="R76" t="str">
        <f t="shared" si="2"/>
        <v>(74,0),</v>
      </c>
    </row>
    <row r="77" spans="1:25" ht="24.95" customHeight="1" x14ac:dyDescent="0.3">
      <c r="A77" s="1">
        <v>75</v>
      </c>
      <c r="B77" s="2" t="s">
        <v>1364</v>
      </c>
      <c r="C77" s="47" t="s">
        <v>1363</v>
      </c>
      <c r="D77" s="48">
        <v>43101</v>
      </c>
      <c r="E77" s="48">
        <v>43101</v>
      </c>
      <c r="F77" s="48"/>
      <c r="G77" s="2">
        <v>1</v>
      </c>
      <c r="H77" s="2" t="s">
        <v>1474</v>
      </c>
      <c r="I77" s="2">
        <v>0</v>
      </c>
      <c r="J77" s="2">
        <v>0</v>
      </c>
      <c r="K77" s="2">
        <v>0</v>
      </c>
      <c r="L77" s="2">
        <v>1</v>
      </c>
      <c r="M77" s="2">
        <v>1</v>
      </c>
      <c r="P77" t="str">
        <f t="shared" si="3"/>
        <v>(75,'default',0,0,0,1,1),</v>
      </c>
      <c r="R77" t="str">
        <f t="shared" si="2"/>
        <v>(75,0),</v>
      </c>
    </row>
    <row r="78" spans="1:25" ht="24.95" customHeight="1" x14ac:dyDescent="0.3">
      <c r="A78" s="1">
        <v>76</v>
      </c>
      <c r="B78" s="2" t="s">
        <v>1366</v>
      </c>
      <c r="C78" s="47" t="s">
        <v>1363</v>
      </c>
      <c r="D78" s="48">
        <v>42736</v>
      </c>
      <c r="E78" s="48">
        <v>42736</v>
      </c>
      <c r="F78" s="48"/>
      <c r="G78" s="2">
        <v>1</v>
      </c>
      <c r="H78" s="2" t="s">
        <v>1474</v>
      </c>
      <c r="I78" s="2">
        <v>0</v>
      </c>
      <c r="J78" s="2">
        <v>0</v>
      </c>
      <c r="K78" s="2">
        <v>0</v>
      </c>
      <c r="L78" s="2">
        <v>1</v>
      </c>
      <c r="M78" s="2">
        <v>1</v>
      </c>
      <c r="P78" t="str">
        <f t="shared" si="3"/>
        <v>(76,'default',0,0,0,1,1),</v>
      </c>
      <c r="R78" t="str">
        <f t="shared" si="2"/>
        <v>(76,0),</v>
      </c>
    </row>
    <row r="79" spans="1:25" ht="24.95" customHeight="1" x14ac:dyDescent="0.3">
      <c r="A79" s="1">
        <v>77</v>
      </c>
      <c r="B79" s="2" t="s">
        <v>1439</v>
      </c>
      <c r="C79" s="47" t="s">
        <v>1438</v>
      </c>
      <c r="D79" s="48">
        <v>35065</v>
      </c>
      <c r="E79" s="48">
        <v>35065</v>
      </c>
      <c r="F79" s="48"/>
      <c r="G79" s="2">
        <v>1</v>
      </c>
      <c r="H79" s="2" t="s">
        <v>122</v>
      </c>
      <c r="I79" s="2" t="s">
        <v>1642</v>
      </c>
      <c r="J79" s="2" t="s">
        <v>1643</v>
      </c>
      <c r="K79" s="2">
        <v>980</v>
      </c>
      <c r="L79" s="2">
        <v>39</v>
      </c>
      <c r="M79" s="2">
        <v>414</v>
      </c>
      <c r="P79" t="str">
        <f t="shared" si="3"/>
        <v>(77,'El Aricha',35.77,-1.83,980,39,414),</v>
      </c>
    </row>
    <row r="80" spans="1:25" ht="24.95" customHeight="1" x14ac:dyDescent="0.3">
      <c r="A80" s="1">
        <v>78</v>
      </c>
      <c r="B80" s="2" t="s">
        <v>1441</v>
      </c>
      <c r="C80" s="47" t="s">
        <v>1440</v>
      </c>
      <c r="D80" s="48">
        <v>44197</v>
      </c>
      <c r="E80" s="48">
        <v>44197</v>
      </c>
      <c r="F80" s="48"/>
      <c r="G80" s="2">
        <v>1</v>
      </c>
      <c r="H80" s="2" t="s">
        <v>1626</v>
      </c>
      <c r="I80" s="2" t="s">
        <v>1624</v>
      </c>
      <c r="J80" s="2" t="s">
        <v>1645</v>
      </c>
      <c r="K80" s="2">
        <v>10</v>
      </c>
      <c r="L80" s="2">
        <v>39</v>
      </c>
      <c r="M80" s="2">
        <v>1469</v>
      </c>
      <c r="P80" t="str">
        <f t="shared" si="3"/>
        <v>(78,'Béni Saf',35.30,-1.63,10,39,1469),</v>
      </c>
    </row>
    <row r="81" spans="1:16" ht="24.95" customHeight="1" x14ac:dyDescent="0.3">
      <c r="A81" s="1">
        <v>79</v>
      </c>
      <c r="B81" s="2" t="s">
        <v>1443</v>
      </c>
      <c r="C81" s="47" t="s">
        <v>1442</v>
      </c>
      <c r="D81" s="48">
        <v>22282</v>
      </c>
      <c r="E81" s="48">
        <v>22282</v>
      </c>
      <c r="F81" s="48"/>
      <c r="G81" s="2">
        <v>1</v>
      </c>
      <c r="H81" s="2" t="s">
        <v>1647</v>
      </c>
      <c r="I81" s="2" t="s">
        <v>1648</v>
      </c>
      <c r="J81" s="2" t="s">
        <v>1649</v>
      </c>
      <c r="K81" s="2">
        <v>50</v>
      </c>
      <c r="L81" s="2">
        <v>39</v>
      </c>
      <c r="M81" s="2">
        <v>1203</v>
      </c>
      <c r="P81" t="str">
        <f t="shared" si="3"/>
        <v>(79,'Bordj Menaïel',36.74,3.72,50,39,1203),</v>
      </c>
    </row>
    <row r="82" spans="1:16" ht="24.95" customHeight="1" x14ac:dyDescent="0.3">
      <c r="A82" s="1">
        <v>80</v>
      </c>
      <c r="B82" s="2" t="s">
        <v>1445</v>
      </c>
      <c r="C82" s="47" t="s">
        <v>1444</v>
      </c>
      <c r="D82" s="48"/>
      <c r="E82" s="48"/>
      <c r="F82" s="48"/>
      <c r="G82" s="2">
        <v>1</v>
      </c>
      <c r="H82" s="2" t="s">
        <v>1474</v>
      </c>
      <c r="I82" s="2">
        <v>0</v>
      </c>
      <c r="J82" s="2">
        <v>0</v>
      </c>
      <c r="K82" s="2">
        <v>0</v>
      </c>
      <c r="L82" s="2">
        <v>1</v>
      </c>
      <c r="M82" s="2">
        <v>1</v>
      </c>
      <c r="P82" t="str">
        <f t="shared" si="3"/>
        <v>(80,'default',0,0,0,1,1),</v>
      </c>
    </row>
    <row r="83" spans="1:16" ht="24.95" customHeight="1" x14ac:dyDescent="0.3">
      <c r="A83" s="1">
        <v>124</v>
      </c>
      <c r="B83" s="2" t="s">
        <v>201</v>
      </c>
      <c r="C83" s="47" t="s">
        <v>1495</v>
      </c>
      <c r="D83" s="48">
        <v>22832</v>
      </c>
      <c r="E83" s="48">
        <v>22832</v>
      </c>
      <c r="F83" s="48"/>
      <c r="G83" s="2">
        <v>1</v>
      </c>
      <c r="H83" s="2" t="s">
        <v>1478</v>
      </c>
      <c r="I83" s="2" t="s">
        <v>1511</v>
      </c>
      <c r="J83" s="2" t="s">
        <v>1512</v>
      </c>
      <c r="K83" s="2">
        <v>0</v>
      </c>
      <c r="L83" s="2">
        <v>1</v>
      </c>
      <c r="M83" s="2">
        <v>76</v>
      </c>
      <c r="P83" t="str">
        <f t="shared" si="3"/>
        <v>(124,'Hassi R’Mel',32.95,3.17,0,1,76),</v>
      </c>
    </row>
    <row r="84" spans="1:16" ht="24.95" customHeight="1" x14ac:dyDescent="0.3">
      <c r="A84" s="1">
        <v>125</v>
      </c>
      <c r="B84" s="2" t="s">
        <v>1560</v>
      </c>
      <c r="C84" s="47" t="s">
        <v>1496</v>
      </c>
      <c r="D84" s="48">
        <v>22832</v>
      </c>
      <c r="E84" s="48">
        <v>22832</v>
      </c>
      <c r="F84" s="48"/>
      <c r="G84" s="2">
        <v>1</v>
      </c>
      <c r="H84" s="2" t="s">
        <v>1479</v>
      </c>
      <c r="I84" s="2" t="s">
        <v>1513</v>
      </c>
      <c r="J84" s="2" t="s">
        <v>1514</v>
      </c>
      <c r="K84" s="2">
        <v>0</v>
      </c>
      <c r="L84" s="2">
        <v>1</v>
      </c>
      <c r="M84" s="2">
        <v>1162</v>
      </c>
      <c r="P84" t="str">
        <f t="shared" si="3"/>
        <v>(125,'Rhourde Nouss',29.65,6.45,0,1,1162),</v>
      </c>
    </row>
    <row r="85" spans="1:16" ht="24.95" customHeight="1" x14ac:dyDescent="0.3">
      <c r="A85" s="1">
        <v>126</v>
      </c>
      <c r="B85" s="2" t="s">
        <v>104</v>
      </c>
      <c r="C85" s="47" t="s">
        <v>1497</v>
      </c>
      <c r="D85" s="48">
        <v>22832</v>
      </c>
      <c r="E85" s="48">
        <v>22832</v>
      </c>
      <c r="F85" s="48"/>
      <c r="G85" s="2">
        <v>1</v>
      </c>
      <c r="H85" s="2" t="s">
        <v>104</v>
      </c>
      <c r="I85" s="2" t="s">
        <v>1515</v>
      </c>
      <c r="J85" s="2" t="s">
        <v>1516</v>
      </c>
      <c r="K85" s="2">
        <v>0</v>
      </c>
      <c r="L85" s="2">
        <v>1</v>
      </c>
      <c r="M85" s="2">
        <v>1162</v>
      </c>
      <c r="P85" t="str">
        <f t="shared" si="3"/>
        <v>(126,'Alrar',28.56,9.65,0,1,1162),</v>
      </c>
    </row>
    <row r="86" spans="1:16" ht="24.95" customHeight="1" x14ac:dyDescent="0.3">
      <c r="A86" s="1">
        <v>127</v>
      </c>
      <c r="B86" s="2" t="s">
        <v>271</v>
      </c>
      <c r="C86" s="47" t="s">
        <v>1498</v>
      </c>
      <c r="D86" s="48">
        <v>22832</v>
      </c>
      <c r="E86" s="48">
        <v>22832</v>
      </c>
      <c r="F86" s="48"/>
      <c r="G86" s="2">
        <v>1</v>
      </c>
      <c r="H86" s="2" t="s">
        <v>1481</v>
      </c>
      <c r="I86" s="2" t="s">
        <v>1517</v>
      </c>
      <c r="J86" s="2" t="s">
        <v>1518</v>
      </c>
      <c r="K86" s="2">
        <v>0</v>
      </c>
      <c r="L86" s="2">
        <v>1</v>
      </c>
      <c r="M86" s="2">
        <v>1162</v>
      </c>
      <c r="P86" t="str">
        <f t="shared" si="3"/>
        <v>(127,'TFT area',28.55,7.22,0,1,1162),</v>
      </c>
    </row>
    <row r="87" spans="1:16" ht="24.95" customHeight="1" x14ac:dyDescent="0.3">
      <c r="A87" s="1">
        <v>128</v>
      </c>
      <c r="B87" s="2" t="s">
        <v>1559</v>
      </c>
      <c r="C87" s="47" t="s">
        <v>1499</v>
      </c>
      <c r="D87" s="48">
        <v>22832</v>
      </c>
      <c r="E87" s="48">
        <v>22832</v>
      </c>
      <c r="F87" s="48"/>
      <c r="G87" s="2">
        <v>1</v>
      </c>
      <c r="H87" s="2" t="s">
        <v>103</v>
      </c>
      <c r="I87" s="2" t="s">
        <v>1561</v>
      </c>
      <c r="J87" s="2" t="s">
        <v>1519</v>
      </c>
      <c r="K87" s="2">
        <v>0</v>
      </c>
      <c r="L87" s="2">
        <v>1</v>
      </c>
      <c r="M87" s="2">
        <v>1162</v>
      </c>
      <c r="P87" t="str">
        <f t="shared" si="3"/>
        <v>(128,'Ohanet',28.7,8.72,0,1,1162),</v>
      </c>
    </row>
    <row r="88" spans="1:16" ht="24.95" customHeight="1" x14ac:dyDescent="0.3">
      <c r="A88" s="1">
        <v>129</v>
      </c>
      <c r="B88" s="2" t="s">
        <v>1558</v>
      </c>
      <c r="C88" s="47" t="s">
        <v>1500</v>
      </c>
      <c r="D88" s="48">
        <v>22832</v>
      </c>
      <c r="E88" s="48">
        <v>22832</v>
      </c>
      <c r="F88" s="48"/>
      <c r="G88" s="2">
        <v>1</v>
      </c>
      <c r="H88" s="2" t="s">
        <v>92</v>
      </c>
      <c r="I88" s="2" t="s">
        <v>1521</v>
      </c>
      <c r="J88" s="2" t="s">
        <v>1522</v>
      </c>
      <c r="K88" s="2">
        <v>0</v>
      </c>
      <c r="L88" s="2">
        <v>1</v>
      </c>
      <c r="M88" s="2">
        <v>1162</v>
      </c>
      <c r="P88" t="str">
        <f t="shared" si="3"/>
        <v>(129,'In Amenas',27.85,9.13,0,1,1162),</v>
      </c>
    </row>
    <row r="89" spans="1:16" ht="24.95" customHeight="1" x14ac:dyDescent="0.3">
      <c r="A89" s="1">
        <v>130</v>
      </c>
      <c r="B89" s="2" t="s">
        <v>1546</v>
      </c>
      <c r="C89" s="47" t="s">
        <v>1501</v>
      </c>
      <c r="D89" s="48">
        <v>22832</v>
      </c>
      <c r="E89" s="48">
        <v>22832</v>
      </c>
      <c r="F89" s="48"/>
      <c r="G89" s="2">
        <v>1</v>
      </c>
      <c r="H89" s="2" t="s">
        <v>289</v>
      </c>
      <c r="I89" s="2" t="s">
        <v>1562</v>
      </c>
      <c r="J89" s="2" t="s">
        <v>1563</v>
      </c>
      <c r="K89" s="2">
        <v>0</v>
      </c>
      <c r="L89" s="2">
        <v>1</v>
      </c>
      <c r="M89" s="2">
        <v>357</v>
      </c>
      <c r="P89" t="str">
        <f t="shared" si="3"/>
        <v>(130,'In Salah',28.2,2.4,0,1,357),</v>
      </c>
    </row>
    <row r="90" spans="1:16" ht="24.95" customHeight="1" x14ac:dyDescent="0.3">
      <c r="A90" s="1">
        <v>131</v>
      </c>
      <c r="B90" s="2" t="s">
        <v>1557</v>
      </c>
      <c r="C90" s="47" t="s">
        <v>1502</v>
      </c>
      <c r="D90" s="48">
        <v>22832</v>
      </c>
      <c r="E90" s="48">
        <v>22832</v>
      </c>
      <c r="F90" s="48"/>
      <c r="G90" s="2">
        <v>1</v>
      </c>
      <c r="H90" s="2" t="s">
        <v>1524</v>
      </c>
      <c r="I90" s="2" t="s">
        <v>1525</v>
      </c>
      <c r="J90" s="2" t="s">
        <v>1526</v>
      </c>
      <c r="K90" s="2">
        <v>0</v>
      </c>
      <c r="L90" s="2">
        <v>1</v>
      </c>
      <c r="M90" s="2">
        <v>24</v>
      </c>
      <c r="P90" t="str">
        <f t="shared" si="3"/>
        <v>(131,'Timimoun basin',28.24,1.69,0,1,24),</v>
      </c>
    </row>
    <row r="91" spans="1:16" ht="24.95" customHeight="1" x14ac:dyDescent="0.3">
      <c r="A91" s="1">
        <v>132</v>
      </c>
      <c r="B91" s="2" t="s">
        <v>1556</v>
      </c>
      <c r="C91" s="47" t="s">
        <v>1503</v>
      </c>
      <c r="D91" s="48">
        <v>22832</v>
      </c>
      <c r="E91" s="48">
        <v>22832</v>
      </c>
      <c r="F91" s="48"/>
      <c r="G91" s="2">
        <v>1</v>
      </c>
      <c r="H91" s="2" t="s">
        <v>1528</v>
      </c>
      <c r="I91" s="2" t="s">
        <v>1529</v>
      </c>
      <c r="J91" s="2" t="s">
        <v>1530</v>
      </c>
      <c r="K91" s="2">
        <v>0</v>
      </c>
      <c r="L91" s="2">
        <v>1</v>
      </c>
      <c r="M91" s="2">
        <v>1162</v>
      </c>
      <c r="P91" t="str">
        <f t="shared" si="3"/>
        <v>(132,'Isarène area',27.69,8.01,0,1,1162),</v>
      </c>
    </row>
    <row r="92" spans="1:16" ht="24.95" customHeight="1" x14ac:dyDescent="0.3">
      <c r="A92" s="1">
        <v>133</v>
      </c>
      <c r="B92" s="2" t="s">
        <v>1555</v>
      </c>
      <c r="C92" s="47" t="s">
        <v>1504</v>
      </c>
      <c r="D92" s="48">
        <v>22832</v>
      </c>
      <c r="E92" s="48">
        <v>22832</v>
      </c>
      <c r="F92" s="48"/>
      <c r="G92" s="2">
        <v>1</v>
      </c>
      <c r="H92" s="2" t="s">
        <v>1531</v>
      </c>
      <c r="I92" s="2" t="s">
        <v>1532</v>
      </c>
      <c r="J92" s="2" t="s">
        <v>1533</v>
      </c>
      <c r="K92" s="2">
        <v>0</v>
      </c>
      <c r="L92" s="2">
        <v>1</v>
      </c>
      <c r="M92" s="2">
        <v>1096</v>
      </c>
      <c r="P92" t="str">
        <f t="shared" si="3"/>
        <v>(133,'Near Hassi Messaoud',30.52,6.47,0,1,1096),</v>
      </c>
    </row>
    <row r="93" spans="1:16" ht="24.95" customHeight="1" x14ac:dyDescent="0.3">
      <c r="A93" s="1">
        <v>134</v>
      </c>
      <c r="B93" s="2" t="s">
        <v>1547</v>
      </c>
      <c r="C93" s="47" t="s">
        <v>1505</v>
      </c>
      <c r="D93" s="48">
        <v>22832</v>
      </c>
      <c r="E93" s="48">
        <v>22832</v>
      </c>
      <c r="F93" s="48"/>
      <c r="G93" s="2">
        <v>1</v>
      </c>
      <c r="H93" s="2" t="s">
        <v>102</v>
      </c>
      <c r="I93" s="2" t="s">
        <v>1534</v>
      </c>
      <c r="J93" s="2" t="s">
        <v>1535</v>
      </c>
      <c r="K93" s="2">
        <v>0</v>
      </c>
      <c r="L93" s="2">
        <v>1</v>
      </c>
      <c r="M93" s="2">
        <v>1096</v>
      </c>
      <c r="P93" t="str">
        <f t="shared" si="3"/>
        <v>(134,'Hassi Messaoud',31.61,5.92,0,1,1096),</v>
      </c>
    </row>
    <row r="94" spans="1:16" ht="24.95" customHeight="1" x14ac:dyDescent="0.3">
      <c r="A94" s="1">
        <v>135</v>
      </c>
      <c r="B94" s="2" t="s">
        <v>1548</v>
      </c>
      <c r="C94" s="47" t="s">
        <v>1506</v>
      </c>
      <c r="D94" s="48">
        <v>22832</v>
      </c>
      <c r="E94" s="48">
        <v>22832</v>
      </c>
      <c r="F94" s="48"/>
      <c r="G94" s="2">
        <v>1</v>
      </c>
      <c r="H94" s="2" t="s">
        <v>1536</v>
      </c>
      <c r="I94" s="2" t="s">
        <v>1564</v>
      </c>
      <c r="J94" s="2" t="s">
        <v>1537</v>
      </c>
      <c r="K94" s="2">
        <v>0</v>
      </c>
      <c r="L94" s="2">
        <v>1</v>
      </c>
      <c r="M94" s="2">
        <v>1101</v>
      </c>
      <c r="P94" t="str">
        <f t="shared" si="3"/>
        <v>(135,'Haoud Berkaoui',31.4,5.75,0,1,1101),</v>
      </c>
    </row>
    <row r="95" spans="1:16" ht="24.95" customHeight="1" x14ac:dyDescent="0.3">
      <c r="A95" s="1">
        <v>136</v>
      </c>
      <c r="B95" s="2" t="s">
        <v>1549</v>
      </c>
      <c r="C95" s="47" t="s">
        <v>1507</v>
      </c>
      <c r="D95" s="48">
        <v>22832</v>
      </c>
      <c r="E95" s="48">
        <v>22832</v>
      </c>
      <c r="F95" s="48"/>
      <c r="G95" s="2">
        <v>1</v>
      </c>
      <c r="H95" s="2" t="s">
        <v>1487</v>
      </c>
      <c r="I95" s="2" t="s">
        <v>1538</v>
      </c>
      <c r="J95" s="2" t="s">
        <v>1565</v>
      </c>
      <c r="K95" s="2">
        <v>0</v>
      </c>
      <c r="L95" s="2">
        <v>1</v>
      </c>
      <c r="M95" s="2">
        <v>1496</v>
      </c>
      <c r="P95" t="str">
        <f t="shared" si="3"/>
        <v>(136,'Oued Noumer',32.61,3.7,0,1,1496),</v>
      </c>
    </row>
    <row r="96" spans="1:16" ht="24.95" customHeight="1" x14ac:dyDescent="0.3">
      <c r="A96" s="1">
        <v>137</v>
      </c>
      <c r="B96" s="2" t="s">
        <v>277</v>
      </c>
      <c r="C96" s="47" t="s">
        <v>1508</v>
      </c>
      <c r="D96" s="48">
        <v>22832</v>
      </c>
      <c r="E96" s="48">
        <v>22832</v>
      </c>
      <c r="F96" s="48"/>
      <c r="G96" s="2">
        <v>1</v>
      </c>
      <c r="H96" s="2" t="s">
        <v>1486</v>
      </c>
      <c r="I96" s="2" t="s">
        <v>1566</v>
      </c>
      <c r="J96" s="2" t="s">
        <v>1567</v>
      </c>
      <c r="K96" s="2">
        <v>0</v>
      </c>
      <c r="L96" s="2">
        <v>1</v>
      </c>
      <c r="M96" s="2">
        <v>1101</v>
      </c>
      <c r="P96" t="str">
        <f t="shared" si="3"/>
        <v>(137,'R. El Baguel',31.5,6.7,0,1,1101),</v>
      </c>
    </row>
    <row r="97" spans="1:16" ht="24.95" customHeight="1" x14ac:dyDescent="0.3">
      <c r="A97" s="1">
        <v>138</v>
      </c>
      <c r="B97" s="2" t="s">
        <v>1550</v>
      </c>
      <c r="C97" s="47" t="s">
        <v>1509</v>
      </c>
      <c r="D97" s="48">
        <v>22832</v>
      </c>
      <c r="E97" s="48">
        <v>22832</v>
      </c>
      <c r="F97" s="48"/>
      <c r="G97" s="2">
        <v>1</v>
      </c>
      <c r="H97" s="2" t="s">
        <v>1484</v>
      </c>
      <c r="I97" s="2" t="s">
        <v>1566</v>
      </c>
      <c r="J97" s="2" t="s">
        <v>1568</v>
      </c>
      <c r="K97" s="2">
        <v>0</v>
      </c>
      <c r="L97" s="2">
        <v>1</v>
      </c>
      <c r="M97" s="2">
        <v>1101</v>
      </c>
      <c r="P97" t="str">
        <f t="shared" si="3"/>
        <v>(138,'Ourhoud',31.5,6.3,0,1,1101),</v>
      </c>
    </row>
    <row r="98" spans="1:16" ht="24.95" customHeight="1" x14ac:dyDescent="0.3">
      <c r="A98" s="1">
        <v>139</v>
      </c>
      <c r="B98" s="2" t="s">
        <v>1551</v>
      </c>
      <c r="C98" s="47" t="s">
        <v>1510</v>
      </c>
      <c r="D98" s="48">
        <v>22832</v>
      </c>
      <c r="E98" s="48">
        <v>22832</v>
      </c>
      <c r="F98" s="48"/>
      <c r="G98" s="2">
        <v>1</v>
      </c>
      <c r="H98" s="2" t="s">
        <v>1539</v>
      </c>
      <c r="I98" s="2" t="s">
        <v>1569</v>
      </c>
      <c r="J98" s="2" t="s">
        <v>1540</v>
      </c>
      <c r="K98" s="2">
        <v>0</v>
      </c>
      <c r="L98" s="2">
        <v>1</v>
      </c>
      <c r="M98" s="2">
        <v>1101</v>
      </c>
      <c r="P98" t="str">
        <f t="shared" si="3"/>
        <v>(139,'Bir Berkine sector',30.8,8.03,0,1,1101),</v>
      </c>
    </row>
    <row r="99" spans="1:16" ht="24.95" customHeight="1" x14ac:dyDescent="0.3">
      <c r="A99" s="1">
        <v>140</v>
      </c>
      <c r="B99" s="2" t="s">
        <v>1552</v>
      </c>
      <c r="C99" s="47" t="s">
        <v>1510</v>
      </c>
      <c r="D99" s="48">
        <v>22832</v>
      </c>
      <c r="E99" s="48">
        <v>22832</v>
      </c>
      <c r="F99" s="48"/>
      <c r="G99" s="2">
        <v>1</v>
      </c>
      <c r="H99" s="2" t="s">
        <v>1541</v>
      </c>
      <c r="I99" s="2" t="s">
        <v>1542</v>
      </c>
      <c r="J99" s="2" t="s">
        <v>1543</v>
      </c>
      <c r="K99" s="2">
        <v>0</v>
      </c>
      <c r="L99" s="2">
        <v>1</v>
      </c>
      <c r="M99" s="2">
        <v>1163</v>
      </c>
      <c r="P99" t="str">
        <f t="shared" si="3"/>
        <v>(140,'Zarzaitine',28.01,9.67,0,1,1163),</v>
      </c>
    </row>
    <row r="100" spans="1:16" ht="24.95" customHeight="1" x14ac:dyDescent="0.3">
      <c r="A100" s="1">
        <v>141</v>
      </c>
      <c r="B100" s="2" t="s">
        <v>1553</v>
      </c>
      <c r="C100" s="47" t="s">
        <v>1510</v>
      </c>
      <c r="D100" s="48">
        <v>22832</v>
      </c>
      <c r="E100" s="48">
        <v>22832</v>
      </c>
      <c r="F100" s="48"/>
      <c r="G100" s="2">
        <v>1</v>
      </c>
      <c r="H100" s="2" t="s">
        <v>1544</v>
      </c>
      <c r="I100" s="2" t="s">
        <v>1569</v>
      </c>
      <c r="J100" s="2" t="s">
        <v>1540</v>
      </c>
      <c r="K100" s="2">
        <v>0</v>
      </c>
      <c r="L100" s="2">
        <v>1</v>
      </c>
      <c r="M100" s="2">
        <v>1101</v>
      </c>
      <c r="P100" t="str">
        <f t="shared" si="3"/>
        <v>(141,'Zemlet el Arbi',30.8,8.03,0,1,1101),</v>
      </c>
    </row>
    <row r="101" spans="1:16" ht="24.95" customHeight="1" x14ac:dyDescent="0.3">
      <c r="A101" s="1">
        <v>142</v>
      </c>
      <c r="B101" s="2" t="s">
        <v>1554</v>
      </c>
      <c r="C101" s="47" t="s">
        <v>1510</v>
      </c>
      <c r="D101" s="48">
        <v>22832</v>
      </c>
      <c r="E101" s="48">
        <v>22832</v>
      </c>
      <c r="F101" s="48"/>
      <c r="G101" s="2">
        <v>1</v>
      </c>
      <c r="H101" s="2" t="s">
        <v>1483</v>
      </c>
      <c r="I101" s="2">
        <v>28</v>
      </c>
      <c r="J101" s="2" t="s">
        <v>1570</v>
      </c>
      <c r="K101" s="2">
        <v>0</v>
      </c>
      <c r="L101" s="2">
        <v>1</v>
      </c>
      <c r="M101" s="2">
        <v>1162</v>
      </c>
      <c r="P101" t="str">
        <f t="shared" si="3"/>
        <v>(142,'Near In Amenas',28,9.4,0,1,1162),</v>
      </c>
    </row>
    <row r="102" spans="1:16" ht="24.95" customHeight="1" x14ac:dyDescent="0.3">
      <c r="A102" s="1">
        <v>100</v>
      </c>
      <c r="B102" s="2"/>
      <c r="C102" s="47"/>
      <c r="D102" s="48"/>
      <c r="E102" s="48"/>
      <c r="F102" s="48"/>
      <c r="G102" s="2"/>
      <c r="H102" s="2"/>
      <c r="I102" s="2"/>
      <c r="J102" s="2"/>
      <c r="K102" s="2"/>
      <c r="L102" s="2"/>
      <c r="M102" s="2"/>
    </row>
    <row r="103" spans="1:16" ht="24.95" customHeight="1" x14ac:dyDescent="0.3">
      <c r="A103" s="1">
        <v>101</v>
      </c>
      <c r="B103" s="2"/>
      <c r="C103" s="47"/>
      <c r="D103" s="48"/>
      <c r="E103" s="48"/>
      <c r="F103" s="48"/>
      <c r="G103" s="2"/>
      <c r="H103" s="2"/>
      <c r="I103" s="2"/>
      <c r="J103" s="2"/>
      <c r="K103" s="2"/>
      <c r="L103" s="2"/>
      <c r="M103" s="2"/>
    </row>
    <row r="104" spans="1:16" ht="24.95" customHeight="1" x14ac:dyDescent="0.3">
      <c r="A104" s="1">
        <v>102</v>
      </c>
      <c r="B104" s="2"/>
      <c r="C104" s="47"/>
      <c r="D104" s="48"/>
      <c r="E104" s="48"/>
      <c r="F104" s="48"/>
      <c r="G104" s="2"/>
      <c r="H104" s="2"/>
      <c r="I104" s="2"/>
      <c r="J104" s="2"/>
      <c r="K104" s="2"/>
      <c r="L104" s="2"/>
      <c r="M104" s="2"/>
    </row>
    <row r="105" spans="1:16" ht="24.95" customHeight="1" x14ac:dyDescent="0.3">
      <c r="A105" s="1">
        <v>103</v>
      </c>
      <c r="B105" s="2"/>
      <c r="C105" s="47"/>
      <c r="D105" s="48"/>
      <c r="E105" s="48"/>
      <c r="F105" s="48"/>
      <c r="G105" s="2"/>
      <c r="H105" s="2"/>
      <c r="I105" s="2"/>
      <c r="J105" s="2"/>
      <c r="K105" s="2"/>
      <c r="L105" s="2"/>
      <c r="M105" s="2"/>
    </row>
    <row r="106" spans="1:16" ht="24.95" customHeight="1" x14ac:dyDescent="0.3">
      <c r="A106" s="1">
        <v>104</v>
      </c>
      <c r="B106" s="2"/>
      <c r="C106" s="47"/>
      <c r="D106" s="48"/>
      <c r="E106" s="48"/>
      <c r="F106" s="48"/>
      <c r="G106" s="2"/>
      <c r="H106" s="2"/>
      <c r="I106" s="2"/>
      <c r="J106" s="2"/>
      <c r="K106" s="2"/>
      <c r="L106" s="2"/>
      <c r="M106" s="2"/>
    </row>
    <row r="107" spans="1:16" ht="24.95" customHeight="1" x14ac:dyDescent="0.3">
      <c r="A107" s="1">
        <v>105</v>
      </c>
      <c r="B107" s="2"/>
      <c r="C107" s="47"/>
      <c r="D107" s="48"/>
      <c r="E107" s="48"/>
      <c r="F107" s="48"/>
      <c r="G107" s="2"/>
      <c r="H107" s="2"/>
      <c r="I107" s="2"/>
      <c r="J107" s="2"/>
      <c r="K107" s="2"/>
      <c r="L107" s="2"/>
      <c r="M107" s="2"/>
    </row>
    <row r="108" spans="1:16" ht="24.95" customHeight="1" x14ac:dyDescent="0.3">
      <c r="A108" s="1">
        <v>106</v>
      </c>
      <c r="B108" s="2"/>
      <c r="C108" s="47"/>
      <c r="D108" s="48"/>
      <c r="E108" s="48"/>
      <c r="F108" s="48"/>
      <c r="G108" s="2"/>
      <c r="H108" s="2"/>
      <c r="I108" s="2"/>
      <c r="J108" s="2"/>
      <c r="K108" s="2"/>
      <c r="L108" s="2"/>
      <c r="M108" s="2"/>
    </row>
    <row r="109" spans="1:16" ht="24.95" customHeight="1" x14ac:dyDescent="0.3">
      <c r="A109" s="1">
        <v>107</v>
      </c>
      <c r="B109" s="2"/>
      <c r="C109" s="47"/>
      <c r="D109" s="48"/>
      <c r="E109" s="48"/>
      <c r="F109" s="48"/>
      <c r="G109" s="2"/>
      <c r="H109" s="2"/>
      <c r="I109" s="2"/>
      <c r="J109" s="2"/>
      <c r="K109" s="2"/>
      <c r="L109" s="2"/>
      <c r="M109" s="2"/>
    </row>
    <row r="110" spans="1:16" ht="24.95" customHeight="1" x14ac:dyDescent="0.3">
      <c r="A110" s="1">
        <v>108</v>
      </c>
      <c r="B110" s="2"/>
      <c r="C110" s="47"/>
      <c r="D110" s="48"/>
      <c r="E110" s="48"/>
      <c r="F110" s="48"/>
      <c r="G110" s="2"/>
      <c r="H110" s="2"/>
      <c r="I110" s="2"/>
      <c r="J110" s="2"/>
      <c r="K110" s="2"/>
      <c r="L110" s="2"/>
      <c r="M110" s="2"/>
    </row>
    <row r="111" spans="1:16" ht="24.95" customHeight="1" x14ac:dyDescent="0.3">
      <c r="A111" s="1">
        <v>109</v>
      </c>
      <c r="B111" s="2"/>
      <c r="C111" s="47"/>
      <c r="D111" s="48"/>
      <c r="E111" s="48"/>
      <c r="F111" s="48"/>
      <c r="G111" s="2"/>
      <c r="H111" s="2"/>
      <c r="I111" s="2"/>
      <c r="J111" s="2"/>
      <c r="K111" s="2"/>
      <c r="L111" s="2"/>
      <c r="M111" s="2"/>
    </row>
    <row r="112" spans="1:16" ht="24.95" customHeight="1" x14ac:dyDescent="0.3">
      <c r="A112" s="1">
        <v>110</v>
      </c>
      <c r="B112" s="2"/>
      <c r="C112" s="47"/>
      <c r="D112" s="48"/>
      <c r="E112" s="48"/>
      <c r="F112" s="48"/>
      <c r="G112" s="2"/>
      <c r="H112" s="2"/>
      <c r="I112" s="2"/>
      <c r="J112" s="2"/>
      <c r="K112" s="2"/>
      <c r="L112" s="2"/>
      <c r="M112" s="2"/>
    </row>
    <row r="113" spans="1:13" ht="24.95" customHeight="1" x14ac:dyDescent="0.3">
      <c r="A113" s="1">
        <v>111</v>
      </c>
      <c r="B113" s="2"/>
      <c r="C113" s="47"/>
      <c r="D113" s="48"/>
      <c r="E113" s="48"/>
      <c r="F113" s="48"/>
      <c r="G113" s="2"/>
      <c r="H113" s="2"/>
      <c r="I113" s="2"/>
      <c r="J113" s="2"/>
      <c r="K113" s="2"/>
      <c r="L113" s="2"/>
      <c r="M113" s="2"/>
    </row>
    <row r="114" spans="1:13" ht="24.95" customHeight="1" x14ac:dyDescent="0.3">
      <c r="A114" s="1">
        <v>112</v>
      </c>
      <c r="B114" s="2"/>
      <c r="C114" s="47"/>
      <c r="D114" s="48"/>
      <c r="E114" s="48"/>
      <c r="F114" s="48"/>
      <c r="G114" s="2"/>
      <c r="H114" s="2"/>
      <c r="I114" s="2"/>
      <c r="J114" s="2"/>
      <c r="K114" s="2"/>
      <c r="L114" s="2"/>
      <c r="M114" s="2"/>
    </row>
    <row r="115" spans="1:13" ht="24.95" customHeight="1" x14ac:dyDescent="0.3">
      <c r="A115" s="1">
        <v>113</v>
      </c>
      <c r="B115" s="2"/>
      <c r="C115" s="47"/>
      <c r="D115" s="48"/>
      <c r="E115" s="48"/>
      <c r="F115" s="48"/>
      <c r="G115" s="2"/>
      <c r="H115" s="2"/>
      <c r="I115" s="2"/>
      <c r="J115" s="2"/>
      <c r="K115" s="2"/>
      <c r="L115" s="2"/>
      <c r="M115" s="2"/>
    </row>
    <row r="116" spans="1:13" ht="24.95" customHeight="1" x14ac:dyDescent="0.3">
      <c r="A116" s="1">
        <v>114</v>
      </c>
      <c r="B116" s="2"/>
      <c r="C116" s="47"/>
      <c r="D116" s="48"/>
      <c r="E116" s="48"/>
      <c r="F116" s="48"/>
      <c r="G116" s="2"/>
      <c r="H116" s="2"/>
      <c r="I116" s="2"/>
      <c r="J116" s="2"/>
      <c r="K116" s="2"/>
      <c r="L116" s="2"/>
      <c r="M116" s="2"/>
    </row>
    <row r="117" spans="1:13" ht="24.95" customHeight="1" x14ac:dyDescent="0.3">
      <c r="A117" s="1">
        <v>115</v>
      </c>
      <c r="B117" s="2"/>
      <c r="C117" s="47"/>
      <c r="D117" s="48"/>
      <c r="E117" s="48"/>
      <c r="F117" s="48"/>
      <c r="G117" s="2"/>
      <c r="H117" s="2"/>
      <c r="I117" s="2"/>
      <c r="J117" s="2"/>
      <c r="K117" s="2"/>
      <c r="L117" s="2"/>
      <c r="M117" s="2"/>
    </row>
    <row r="118" spans="1:13" ht="24.95" customHeight="1" x14ac:dyDescent="0.3">
      <c r="A118" s="1">
        <v>116</v>
      </c>
      <c r="B118" s="2"/>
      <c r="C118" s="47"/>
      <c r="D118" s="48"/>
      <c r="E118" s="48"/>
      <c r="F118" s="48"/>
      <c r="G118" s="2"/>
      <c r="H118" s="2"/>
      <c r="I118" s="2"/>
      <c r="J118" s="2"/>
      <c r="K118" s="2"/>
      <c r="L118" s="2"/>
      <c r="M118" s="2"/>
    </row>
    <row r="119" spans="1:13" ht="24.95" customHeight="1" x14ac:dyDescent="0.3">
      <c r="A119" s="1">
        <v>117</v>
      </c>
      <c r="B119" s="2"/>
      <c r="C119" s="47"/>
      <c r="D119" s="48"/>
      <c r="E119" s="48"/>
      <c r="F119" s="48"/>
      <c r="G119" s="2"/>
      <c r="H119" s="2"/>
      <c r="I119" s="2"/>
      <c r="J119" s="2"/>
      <c r="K119" s="2"/>
      <c r="L119" s="2"/>
      <c r="M119" s="2"/>
    </row>
    <row r="120" spans="1:13" ht="24.95" customHeight="1" x14ac:dyDescent="0.3">
      <c r="A120" s="1">
        <v>118</v>
      </c>
      <c r="B120" s="2"/>
      <c r="C120" s="47"/>
      <c r="D120" s="48"/>
      <c r="E120" s="48"/>
      <c r="F120" s="48"/>
      <c r="G120" s="2"/>
      <c r="H120" s="2"/>
      <c r="I120" s="2"/>
      <c r="J120" s="2"/>
      <c r="K120" s="2"/>
      <c r="L120" s="2"/>
      <c r="M120" s="2"/>
    </row>
    <row r="121" spans="1:13" ht="24.95" customHeight="1" x14ac:dyDescent="0.3">
      <c r="A121" s="1">
        <v>119</v>
      </c>
      <c r="B121" s="2"/>
      <c r="C121" s="47"/>
      <c r="D121" s="48"/>
      <c r="E121" s="48"/>
      <c r="F121" s="48"/>
      <c r="G121" s="2"/>
      <c r="H121" s="2"/>
      <c r="I121" s="2"/>
      <c r="J121" s="2"/>
      <c r="K121" s="2"/>
      <c r="L121" s="2"/>
      <c r="M121" s="2"/>
    </row>
    <row r="122" spans="1:13" ht="24.95" customHeight="1" x14ac:dyDescent="0.3">
      <c r="A122" s="1">
        <v>120</v>
      </c>
      <c r="B122" s="2"/>
      <c r="C122" s="47"/>
      <c r="D122" s="48"/>
      <c r="E122" s="48"/>
      <c r="F122" s="48"/>
      <c r="G122" s="2"/>
      <c r="H122" s="2"/>
      <c r="I122" s="2"/>
      <c r="J122" s="2"/>
      <c r="K122" s="2"/>
      <c r="L122" s="2"/>
      <c r="M122" s="2"/>
    </row>
    <row r="123" spans="1:13" ht="24.95" customHeight="1" x14ac:dyDescent="0.3">
      <c r="A123" s="1">
        <v>121</v>
      </c>
      <c r="B123" s="2"/>
      <c r="C123" s="47"/>
      <c r="D123" s="48"/>
      <c r="E123" s="48"/>
      <c r="F123" s="48"/>
      <c r="G123" s="2"/>
      <c r="H123" s="2"/>
      <c r="I123" s="2"/>
      <c r="J123" s="2"/>
      <c r="K123" s="2"/>
      <c r="L123" s="2"/>
      <c r="M123" s="2"/>
    </row>
    <row r="124" spans="1:13" ht="24.95" customHeight="1" x14ac:dyDescent="0.3">
      <c r="A124" s="1">
        <v>122</v>
      </c>
      <c r="B124" s="2"/>
      <c r="C124" s="47"/>
      <c r="D124" s="48"/>
      <c r="E124" s="48"/>
      <c r="F124" s="48"/>
      <c r="G124" s="2"/>
      <c r="H124" s="2"/>
      <c r="I124" s="2"/>
      <c r="J124" s="2"/>
      <c r="K124" s="2"/>
      <c r="L124" s="2"/>
      <c r="M124" s="2"/>
    </row>
    <row r="125" spans="1:13" ht="24.95" customHeight="1" x14ac:dyDescent="0.3">
      <c r="A125" s="1">
        <v>123</v>
      </c>
      <c r="B125" s="2"/>
      <c r="C125" s="47"/>
      <c r="D125" s="48"/>
      <c r="E125" s="48"/>
      <c r="F125" s="48"/>
      <c r="G125" s="2"/>
      <c r="H125" s="2"/>
      <c r="I125" s="2"/>
      <c r="J125" s="2"/>
      <c r="K125" s="2"/>
      <c r="L125" s="2"/>
      <c r="M125" s="2"/>
    </row>
    <row r="126" spans="1:13" ht="24.95" customHeight="1" x14ac:dyDescent="0.3">
      <c r="A126" s="1">
        <v>124</v>
      </c>
      <c r="B126" s="2"/>
      <c r="C126" s="47"/>
      <c r="D126" s="48"/>
      <c r="E126" s="48"/>
      <c r="F126" s="48"/>
      <c r="G126" s="2"/>
      <c r="H126" s="2"/>
      <c r="I126" s="2"/>
      <c r="J126" s="2"/>
      <c r="K126" s="2"/>
      <c r="L126" s="2"/>
      <c r="M126" s="2"/>
    </row>
    <row r="127" spans="1:13" ht="24.95" customHeight="1" x14ac:dyDescent="0.3">
      <c r="A127" s="1">
        <v>125</v>
      </c>
      <c r="B127" s="2"/>
      <c r="C127" s="47"/>
      <c r="D127" s="48"/>
      <c r="E127" s="48"/>
      <c r="F127" s="48"/>
      <c r="G127" s="2"/>
      <c r="H127" s="2"/>
      <c r="I127" s="2"/>
      <c r="J127" s="2"/>
      <c r="K127" s="2"/>
      <c r="L127" s="2"/>
      <c r="M127" s="2"/>
    </row>
    <row r="128" spans="1:13" ht="24.95" customHeight="1" x14ac:dyDescent="0.3">
      <c r="A128" s="1">
        <v>126</v>
      </c>
      <c r="B128" s="2"/>
      <c r="C128" s="47"/>
      <c r="D128" s="48"/>
      <c r="E128" s="48"/>
      <c r="F128" s="48"/>
      <c r="G128" s="2"/>
      <c r="H128" s="2"/>
      <c r="I128" s="2"/>
      <c r="J128" s="2"/>
      <c r="K128" s="2"/>
      <c r="L128" s="2"/>
      <c r="M128" s="2"/>
    </row>
    <row r="129" spans="1:13" ht="24.95" customHeight="1" x14ac:dyDescent="0.3">
      <c r="A129" s="1">
        <v>127</v>
      </c>
      <c r="B129" s="2"/>
      <c r="C129" s="47"/>
      <c r="D129" s="48"/>
      <c r="E129" s="48"/>
      <c r="F129" s="48"/>
      <c r="G129" s="2"/>
      <c r="H129" s="2"/>
      <c r="I129" s="2"/>
      <c r="J129" s="2"/>
      <c r="K129" s="2"/>
      <c r="L129" s="2"/>
      <c r="M129" s="2"/>
    </row>
    <row r="130" spans="1:13" ht="24.95" customHeight="1" x14ac:dyDescent="0.3">
      <c r="A130" s="1">
        <v>128</v>
      </c>
      <c r="B130" s="2"/>
      <c r="C130" s="47"/>
      <c r="D130" s="48"/>
      <c r="E130" s="48"/>
      <c r="F130" s="48"/>
      <c r="G130" s="2"/>
      <c r="H130" s="2"/>
      <c r="I130" s="2"/>
      <c r="J130" s="2"/>
      <c r="K130" s="2"/>
      <c r="L130" s="2"/>
      <c r="M130" s="2"/>
    </row>
    <row r="131" spans="1:13" ht="24.95" customHeight="1" x14ac:dyDescent="0.3">
      <c r="A131" s="1">
        <v>129</v>
      </c>
      <c r="B131" s="2"/>
      <c r="C131" s="47"/>
      <c r="D131" s="48"/>
      <c r="E131" s="48"/>
      <c r="F131" s="48"/>
      <c r="G131" s="2"/>
      <c r="H131" s="2"/>
      <c r="I131" s="2"/>
      <c r="J131" s="2"/>
      <c r="K131" s="2"/>
      <c r="L131" s="2"/>
      <c r="M131" s="2"/>
    </row>
    <row r="132" spans="1:13" ht="24.95" customHeight="1" x14ac:dyDescent="0.3">
      <c r="A132" s="1">
        <v>130</v>
      </c>
      <c r="B132" s="2"/>
      <c r="C132" s="47"/>
      <c r="D132" s="48"/>
      <c r="E132" s="48"/>
      <c r="F132" s="48"/>
      <c r="G132" s="2"/>
      <c r="H132" s="2"/>
      <c r="I132" s="2"/>
      <c r="J132" s="2"/>
      <c r="K132" s="2"/>
      <c r="L132" s="2"/>
      <c r="M132" s="2"/>
    </row>
    <row r="133" spans="1:13" ht="24.95" customHeight="1" x14ac:dyDescent="0.3">
      <c r="A133" s="1">
        <v>131</v>
      </c>
      <c r="B133" s="2"/>
      <c r="C133" s="47"/>
      <c r="D133" s="48"/>
      <c r="E133" s="48"/>
      <c r="F133" s="48"/>
      <c r="G133" s="2"/>
      <c r="H133" s="2"/>
      <c r="I133" s="2"/>
      <c r="J133" s="2"/>
      <c r="K133" s="2"/>
      <c r="L133" s="2"/>
      <c r="M133" s="2"/>
    </row>
    <row r="134" spans="1:13" ht="24.95" customHeight="1" x14ac:dyDescent="0.3">
      <c r="A134" s="1">
        <v>132</v>
      </c>
      <c r="B134" s="2"/>
      <c r="C134" s="47"/>
      <c r="D134" s="48"/>
      <c r="E134" s="48"/>
      <c r="F134" s="48"/>
      <c r="G134" s="2"/>
      <c r="H134" s="2"/>
      <c r="I134" s="2"/>
      <c r="J134" s="2"/>
      <c r="K134" s="2"/>
      <c r="L134" s="2"/>
      <c r="M134" s="2"/>
    </row>
    <row r="135" spans="1:13" ht="24.95" customHeight="1" x14ac:dyDescent="0.3">
      <c r="A135" s="1">
        <v>133</v>
      </c>
      <c r="B135" s="2"/>
      <c r="C135" s="47"/>
      <c r="D135" s="48"/>
      <c r="E135" s="48"/>
      <c r="F135" s="48"/>
      <c r="G135" s="2"/>
      <c r="H135" s="2"/>
      <c r="I135" s="2"/>
      <c r="J135" s="2"/>
      <c r="K135" s="2"/>
      <c r="L135" s="2"/>
      <c r="M135" s="2"/>
    </row>
    <row r="136" spans="1:13" ht="24.95" customHeight="1" x14ac:dyDescent="0.3">
      <c r="A136" s="1">
        <v>134</v>
      </c>
      <c r="B136" s="2"/>
      <c r="C136" s="47"/>
      <c r="D136" s="48"/>
      <c r="E136" s="48"/>
      <c r="F136" s="48"/>
      <c r="G136" s="2"/>
      <c r="H136" s="2"/>
      <c r="I136" s="2"/>
      <c r="J136" s="2"/>
      <c r="K136" s="2"/>
      <c r="L136" s="2"/>
      <c r="M136" s="2"/>
    </row>
    <row r="137" spans="1:13" ht="24.95" customHeight="1" x14ac:dyDescent="0.3">
      <c r="A137" s="1">
        <v>135</v>
      </c>
      <c r="B137" s="2"/>
      <c r="C137" s="47"/>
      <c r="D137" s="48"/>
      <c r="E137" s="48"/>
      <c r="F137" s="48"/>
      <c r="G137" s="2"/>
      <c r="H137" s="2"/>
      <c r="I137" s="2"/>
      <c r="J137" s="2"/>
      <c r="K137" s="2"/>
      <c r="L137" s="2"/>
      <c r="M137" s="2"/>
    </row>
    <row r="138" spans="1:13" ht="24.95" customHeight="1" x14ac:dyDescent="0.3">
      <c r="A138" s="1">
        <v>136</v>
      </c>
      <c r="B138" s="2"/>
      <c r="C138" s="47"/>
      <c r="D138" s="48"/>
      <c r="E138" s="48"/>
      <c r="F138" s="48"/>
      <c r="G138" s="2"/>
      <c r="H138" s="2"/>
      <c r="I138" s="2"/>
      <c r="J138" s="2"/>
      <c r="K138" s="2"/>
      <c r="L138" s="2"/>
      <c r="M138" s="2"/>
    </row>
    <row r="139" spans="1:13" ht="24.95" customHeight="1" x14ac:dyDescent="0.3">
      <c r="A139" s="1">
        <v>137</v>
      </c>
      <c r="B139" s="2"/>
      <c r="C139" s="47"/>
      <c r="D139" s="48"/>
      <c r="E139" s="48"/>
      <c r="F139" s="48"/>
      <c r="G139" s="2"/>
      <c r="H139" s="2"/>
      <c r="I139" s="2"/>
      <c r="J139" s="2"/>
      <c r="K139" s="2"/>
      <c r="L139" s="2"/>
      <c r="M139" s="2"/>
    </row>
    <row r="140" spans="1:13" ht="24.95" customHeight="1" x14ac:dyDescent="0.3">
      <c r="A140" s="1">
        <v>138</v>
      </c>
      <c r="B140" s="2"/>
      <c r="C140" s="47"/>
      <c r="D140" s="48"/>
      <c r="E140" s="48"/>
      <c r="F140" s="48"/>
      <c r="G140" s="2"/>
      <c r="H140" s="2"/>
      <c r="I140" s="2"/>
      <c r="J140" s="2"/>
      <c r="K140" s="2"/>
      <c r="L140" s="2"/>
      <c r="M140" s="2"/>
    </row>
    <row r="141" spans="1:13" ht="24.95" customHeight="1" x14ac:dyDescent="0.3">
      <c r="A141" s="1">
        <v>139</v>
      </c>
      <c r="B141" s="2"/>
      <c r="C141" s="47"/>
      <c r="D141" s="48"/>
      <c r="E141" s="48"/>
      <c r="F141" s="48"/>
      <c r="G141" s="2"/>
      <c r="H141" s="2"/>
      <c r="I141" s="2"/>
      <c r="J141" s="2"/>
      <c r="K141" s="2"/>
      <c r="L141" s="2"/>
      <c r="M141" s="2"/>
    </row>
    <row r="142" spans="1:13" ht="24.95" customHeight="1" x14ac:dyDescent="0.3">
      <c r="A142" s="1">
        <v>140</v>
      </c>
      <c r="B142" s="2"/>
      <c r="C142" s="47"/>
      <c r="D142" s="48"/>
      <c r="E142" s="48"/>
      <c r="F142" s="48"/>
      <c r="G142" s="2"/>
      <c r="H142" s="2"/>
      <c r="I142" s="2"/>
      <c r="J142" s="2"/>
      <c r="K142" s="2"/>
      <c r="L142" s="2"/>
      <c r="M142" s="2"/>
    </row>
    <row r="143" spans="1:13" ht="24.95" customHeight="1" x14ac:dyDescent="0.3">
      <c r="A143" s="1">
        <v>141</v>
      </c>
      <c r="B143" s="2"/>
      <c r="C143" s="47"/>
      <c r="D143" s="48"/>
      <c r="E143" s="48"/>
      <c r="F143" s="48"/>
      <c r="G143" s="2"/>
      <c r="H143" s="2"/>
      <c r="I143" s="2"/>
      <c r="J143" s="2"/>
      <c r="K143" s="2"/>
      <c r="L143" s="2"/>
      <c r="M143" s="2"/>
    </row>
    <row r="144" spans="1:13" ht="24.95" customHeight="1" x14ac:dyDescent="0.3">
      <c r="A144" s="1">
        <v>142</v>
      </c>
      <c r="B144" s="2"/>
      <c r="C144" s="47"/>
      <c r="D144" s="48"/>
      <c r="E144" s="48"/>
      <c r="F144" s="48"/>
      <c r="G144" s="2"/>
      <c r="H144" s="2"/>
      <c r="I144" s="2"/>
      <c r="J144" s="2"/>
      <c r="K144" s="2"/>
      <c r="L144" s="2"/>
      <c r="M144" s="2"/>
    </row>
    <row r="145" spans="1:13" ht="24.95" customHeight="1" x14ac:dyDescent="0.3">
      <c r="A145" s="1">
        <v>143</v>
      </c>
      <c r="B145" s="2"/>
      <c r="C145" s="47"/>
      <c r="D145" s="48"/>
      <c r="E145" s="48"/>
      <c r="F145" s="48"/>
      <c r="G145" s="2"/>
      <c r="H145" s="2"/>
      <c r="I145" s="2"/>
      <c r="J145" s="2"/>
      <c r="K145" s="2"/>
      <c r="L145" s="2"/>
      <c r="M145" s="2"/>
    </row>
    <row r="146" spans="1:13" ht="24.95" customHeight="1" x14ac:dyDescent="0.3">
      <c r="A146" s="1">
        <v>144</v>
      </c>
      <c r="B146" s="2"/>
      <c r="C146" s="47"/>
      <c r="D146" s="48"/>
      <c r="E146" s="48"/>
      <c r="F146" s="48"/>
      <c r="G146" s="2"/>
      <c r="H146" s="2"/>
      <c r="I146" s="2"/>
      <c r="J146" s="2"/>
      <c r="K146" s="2"/>
      <c r="L146" s="2"/>
      <c r="M146" s="2"/>
    </row>
    <row r="147" spans="1:13" ht="24.95" customHeight="1" x14ac:dyDescent="0.3">
      <c r="A147" s="1">
        <v>145</v>
      </c>
      <c r="B147" s="2"/>
      <c r="C147" s="47"/>
      <c r="D147" s="48"/>
      <c r="E147" s="48"/>
      <c r="F147" s="48"/>
      <c r="G147" s="2"/>
      <c r="H147" s="2"/>
      <c r="I147" s="2"/>
      <c r="J147" s="2"/>
      <c r="K147" s="2"/>
      <c r="L147" s="2"/>
      <c r="M147" s="2"/>
    </row>
    <row r="148" spans="1:13" ht="24.95" customHeight="1" x14ac:dyDescent="0.3">
      <c r="A148" s="1">
        <v>146</v>
      </c>
      <c r="B148" s="2"/>
      <c r="C148" s="47"/>
      <c r="D148" s="48"/>
      <c r="E148" s="48"/>
      <c r="F148" s="48"/>
      <c r="G148" s="2"/>
      <c r="H148" s="2"/>
      <c r="I148" s="2"/>
      <c r="J148" s="2"/>
      <c r="K148" s="2"/>
      <c r="L148" s="2"/>
      <c r="M148" s="2"/>
    </row>
    <row r="149" spans="1:13" ht="24.95" customHeight="1" x14ac:dyDescent="0.3">
      <c r="A149" s="1">
        <v>147</v>
      </c>
      <c r="B149" s="2"/>
      <c r="C149" s="47"/>
      <c r="D149" s="48"/>
      <c r="E149" s="48"/>
      <c r="F149" s="48"/>
      <c r="G149" s="2"/>
      <c r="H149" s="2"/>
      <c r="I149" s="2"/>
      <c r="J149" s="2"/>
      <c r="K149" s="2"/>
      <c r="L149" s="2"/>
      <c r="M149" s="2"/>
    </row>
    <row r="150" spans="1:13" ht="24.95" customHeight="1" x14ac:dyDescent="0.3">
      <c r="A150" s="1">
        <v>148</v>
      </c>
      <c r="B150" s="2"/>
      <c r="C150" s="47"/>
      <c r="D150" s="48"/>
      <c r="E150" s="48"/>
      <c r="F150" s="48"/>
      <c r="G150" s="2"/>
      <c r="H150" s="2"/>
      <c r="I150" s="2"/>
      <c r="J150" s="2"/>
      <c r="K150" s="2"/>
      <c r="L150" s="2"/>
      <c r="M150" s="2"/>
    </row>
    <row r="151" spans="1:13" ht="24.95" customHeight="1" x14ac:dyDescent="0.3">
      <c r="A151" s="1">
        <v>149</v>
      </c>
      <c r="B151" s="2"/>
      <c r="C151" s="47"/>
      <c r="D151" s="48"/>
      <c r="E151" s="48"/>
      <c r="F151" s="48"/>
      <c r="G151" s="2"/>
      <c r="H151" s="2"/>
      <c r="I151" s="2"/>
      <c r="J151" s="2"/>
      <c r="K151" s="2"/>
      <c r="L151" s="2"/>
      <c r="M151" s="2"/>
    </row>
    <row r="152" spans="1:13" ht="24.95" customHeight="1" x14ac:dyDescent="0.3">
      <c r="A152" s="1">
        <v>150</v>
      </c>
      <c r="B152" s="2"/>
      <c r="C152" s="47"/>
      <c r="D152" s="48"/>
      <c r="E152" s="48"/>
      <c r="F152" s="48"/>
      <c r="G152" s="2"/>
      <c r="H152" s="2"/>
      <c r="I152" s="2"/>
      <c r="J152" s="2"/>
      <c r="K152" s="2"/>
      <c r="L152" s="2"/>
      <c r="M152" s="2"/>
    </row>
    <row r="153" spans="1:13" ht="24.95" customHeight="1" x14ac:dyDescent="0.3">
      <c r="A153" s="1">
        <v>151</v>
      </c>
      <c r="B153" s="2"/>
      <c r="C153" s="47"/>
      <c r="D153" s="48"/>
      <c r="E153" s="48"/>
      <c r="F153" s="48"/>
      <c r="G153" s="2"/>
      <c r="H153" s="2"/>
      <c r="I153" s="2"/>
      <c r="J153" s="2"/>
      <c r="K153" s="2"/>
      <c r="L153" s="2"/>
      <c r="M153" s="2"/>
    </row>
    <row r="154" spans="1:13" ht="24.95" customHeight="1" x14ac:dyDescent="0.3">
      <c r="A154" s="1">
        <v>152</v>
      </c>
      <c r="B154" s="2"/>
      <c r="C154" s="47"/>
      <c r="D154" s="48"/>
      <c r="E154" s="48"/>
      <c r="F154" s="48"/>
      <c r="G154" s="2"/>
      <c r="H154" s="2"/>
      <c r="I154" s="2"/>
      <c r="J154" s="2"/>
      <c r="K154" s="2"/>
      <c r="L154" s="2"/>
      <c r="M154" s="2"/>
    </row>
    <row r="155" spans="1:13" ht="24.95" customHeight="1" x14ac:dyDescent="0.3">
      <c r="A155" s="1">
        <v>153</v>
      </c>
      <c r="B155" s="2"/>
      <c r="C155" s="47"/>
      <c r="D155" s="48"/>
      <c r="E155" s="48"/>
      <c r="F155" s="48"/>
      <c r="G155" s="2"/>
      <c r="H155" s="2"/>
      <c r="I155" s="2"/>
      <c r="J155" s="2"/>
      <c r="K155" s="2"/>
      <c r="L155" s="2"/>
      <c r="M155" s="2"/>
    </row>
    <row r="156" spans="1:13" ht="24.95" customHeight="1" x14ac:dyDescent="0.3">
      <c r="A156" s="1">
        <v>154</v>
      </c>
      <c r="B156" s="2"/>
      <c r="C156" s="47"/>
      <c r="D156" s="48"/>
      <c r="E156" s="48"/>
      <c r="F156" s="48"/>
      <c r="G156" s="2"/>
      <c r="H156" s="2"/>
      <c r="I156" s="2"/>
      <c r="J156" s="2"/>
      <c r="K156" s="2"/>
      <c r="L156" s="2"/>
      <c r="M156" s="2"/>
    </row>
    <row r="157" spans="1:13" ht="24.95" customHeight="1" x14ac:dyDescent="0.3">
      <c r="A157" s="1">
        <v>155</v>
      </c>
      <c r="B157" s="2"/>
      <c r="C157" s="47"/>
      <c r="D157" s="48"/>
      <c r="E157" s="48"/>
      <c r="F157" s="48"/>
      <c r="G157" s="2"/>
      <c r="H157" s="2"/>
      <c r="I157" s="2"/>
      <c r="J157" s="2"/>
      <c r="K157" s="2"/>
      <c r="L157" s="2"/>
      <c r="M157" s="2"/>
    </row>
    <row r="158" spans="1:13" ht="24.95" customHeight="1" x14ac:dyDescent="0.3">
      <c r="A158" s="1">
        <v>156</v>
      </c>
      <c r="B158" s="2"/>
      <c r="C158" s="47"/>
      <c r="D158" s="48"/>
      <c r="E158" s="48"/>
      <c r="F158" s="48"/>
      <c r="G158" s="2"/>
      <c r="H158" s="2"/>
      <c r="I158" s="2"/>
      <c r="J158" s="2"/>
      <c r="K158" s="2"/>
      <c r="L158" s="2"/>
      <c r="M158" s="2"/>
    </row>
    <row r="159" spans="1:13" ht="24.95" customHeight="1" x14ac:dyDescent="0.3">
      <c r="A159" s="1">
        <v>157</v>
      </c>
      <c r="B159" s="2"/>
      <c r="C159" s="47"/>
      <c r="D159" s="48"/>
      <c r="E159" s="48"/>
      <c r="F159" s="48"/>
      <c r="G159" s="2"/>
      <c r="H159" s="2"/>
      <c r="I159" s="2"/>
      <c r="J159" s="2"/>
      <c r="K159" s="2"/>
      <c r="L159" s="2"/>
      <c r="M159" s="2"/>
    </row>
    <row r="160" spans="1:13" ht="24.95" customHeight="1" x14ac:dyDescent="0.3">
      <c r="A160" s="1">
        <v>158</v>
      </c>
      <c r="B160" s="2"/>
      <c r="C160" s="47"/>
      <c r="D160" s="48"/>
      <c r="E160" s="48"/>
      <c r="F160" s="48"/>
      <c r="G160" s="2"/>
      <c r="H160" s="2"/>
      <c r="I160" s="2"/>
      <c r="J160" s="2"/>
      <c r="K160" s="2"/>
      <c r="L160" s="2"/>
      <c r="M160" s="2"/>
    </row>
    <row r="161" spans="1:13" ht="24.95" customHeight="1" x14ac:dyDescent="0.3">
      <c r="A161" s="1">
        <v>159</v>
      </c>
      <c r="B161" s="2"/>
      <c r="C161" s="47"/>
      <c r="D161" s="48"/>
      <c r="E161" s="48"/>
      <c r="F161" s="48"/>
      <c r="G161" s="2"/>
      <c r="H161" s="2"/>
      <c r="I161" s="2"/>
      <c r="J161" s="2"/>
      <c r="K161" s="2"/>
      <c r="L161" s="2"/>
      <c r="M161" s="2"/>
    </row>
    <row r="162" spans="1:13" ht="24.95" customHeight="1" x14ac:dyDescent="0.3">
      <c r="A162" s="1">
        <v>160</v>
      </c>
      <c r="B162" s="2"/>
      <c r="C162" s="47"/>
      <c r="D162" s="48"/>
      <c r="E162" s="48"/>
      <c r="F162" s="48"/>
      <c r="G162" s="2"/>
      <c r="H162" s="2"/>
      <c r="I162" s="2"/>
      <c r="J162" s="2"/>
      <c r="K162" s="2"/>
      <c r="L162" s="2"/>
      <c r="M162" s="2"/>
    </row>
    <row r="163" spans="1:13" ht="24.95" customHeight="1" x14ac:dyDescent="0.3">
      <c r="A163" s="1">
        <v>161</v>
      </c>
      <c r="B163" s="2"/>
      <c r="C163" s="47"/>
      <c r="D163" s="48"/>
      <c r="E163" s="48"/>
      <c r="F163" s="48"/>
      <c r="G163" s="2"/>
      <c r="H163" s="2"/>
      <c r="I163" s="2"/>
      <c r="J163" s="2"/>
      <c r="K163" s="2"/>
      <c r="L163" s="2"/>
      <c r="M163" s="2"/>
    </row>
    <row r="164" spans="1:13" ht="24.95" customHeight="1" x14ac:dyDescent="0.3">
      <c r="A164" s="1">
        <v>162</v>
      </c>
      <c r="B164" s="2"/>
      <c r="C164" s="47"/>
      <c r="D164" s="48"/>
      <c r="E164" s="48"/>
      <c r="F164" s="48"/>
      <c r="G164" s="2"/>
      <c r="H164" s="2"/>
      <c r="I164" s="2"/>
      <c r="J164" s="2"/>
      <c r="K164" s="2"/>
      <c r="L164" s="2"/>
      <c r="M164" s="2"/>
    </row>
    <row r="165" spans="1:13" ht="24.95" customHeight="1" x14ac:dyDescent="0.3">
      <c r="A165" s="1">
        <v>163</v>
      </c>
      <c r="B165" s="2"/>
      <c r="C165" s="47"/>
      <c r="D165" s="48"/>
      <c r="E165" s="48"/>
      <c r="F165" s="48"/>
      <c r="G165" s="2"/>
      <c r="H165" s="2"/>
      <c r="I165" s="2"/>
      <c r="J165" s="2"/>
      <c r="K165" s="2"/>
      <c r="L165" s="2"/>
      <c r="M165" s="2"/>
    </row>
    <row r="166" spans="1:13" ht="24.95" customHeight="1" x14ac:dyDescent="0.3">
      <c r="A166" s="1">
        <v>164</v>
      </c>
      <c r="B166" s="2"/>
      <c r="C166" s="47"/>
      <c r="D166" s="48"/>
      <c r="E166" s="48"/>
      <c r="F166" s="48"/>
      <c r="G166" s="2"/>
      <c r="H166" s="2"/>
      <c r="I166" s="2"/>
      <c r="J166" s="2"/>
      <c r="K166" s="2"/>
      <c r="L166" s="2"/>
      <c r="M166" s="2"/>
    </row>
    <row r="167" spans="1:13" ht="24.95" customHeight="1" x14ac:dyDescent="0.3">
      <c r="A167" s="1">
        <v>165</v>
      </c>
      <c r="B167" s="2"/>
      <c r="C167" s="47"/>
      <c r="D167" s="48"/>
      <c r="E167" s="48"/>
      <c r="F167" s="48"/>
      <c r="G167" s="2"/>
      <c r="H167" s="2"/>
      <c r="I167" s="2"/>
      <c r="J167" s="2"/>
      <c r="K167" s="2"/>
      <c r="L167" s="2"/>
      <c r="M167" s="2"/>
    </row>
    <row r="168" spans="1:13" ht="24.95" customHeight="1" x14ac:dyDescent="0.3">
      <c r="A168" s="1">
        <v>166</v>
      </c>
      <c r="B168" s="2"/>
      <c r="C168" s="47"/>
      <c r="D168" s="48"/>
      <c r="E168" s="48"/>
      <c r="F168" s="48"/>
      <c r="G168" s="2"/>
      <c r="H168" s="2"/>
      <c r="I168" s="2"/>
      <c r="J168" s="2"/>
      <c r="K168" s="2"/>
      <c r="L168" s="2"/>
      <c r="M168" s="2"/>
    </row>
    <row r="169" spans="1:13" ht="24.95" customHeight="1" x14ac:dyDescent="0.3">
      <c r="A169" s="1">
        <v>167</v>
      </c>
      <c r="B169" s="2"/>
      <c r="C169" s="47"/>
      <c r="D169" s="48"/>
      <c r="E169" s="48"/>
      <c r="F169" s="48"/>
      <c r="G169" s="2"/>
      <c r="H169" s="2"/>
      <c r="I169" s="2"/>
      <c r="J169" s="2"/>
      <c r="K169" s="2"/>
      <c r="L169" s="2"/>
      <c r="M169" s="2"/>
    </row>
    <row r="170" spans="1:13" ht="24.95" customHeight="1" x14ac:dyDescent="0.3">
      <c r="A170" s="1">
        <v>168</v>
      </c>
      <c r="B170" s="2"/>
      <c r="C170" s="47"/>
      <c r="D170" s="48"/>
      <c r="E170" s="48"/>
      <c r="F170" s="48"/>
      <c r="G170" s="2"/>
      <c r="H170" s="2"/>
      <c r="I170" s="2"/>
      <c r="J170" s="2"/>
      <c r="K170" s="2"/>
      <c r="L170" s="2"/>
      <c r="M170" s="2"/>
    </row>
    <row r="171" spans="1:13" ht="24.95" customHeight="1" x14ac:dyDescent="0.3">
      <c r="A171" s="1">
        <v>169</v>
      </c>
      <c r="B171" s="2"/>
      <c r="C171" s="47"/>
      <c r="D171" s="48"/>
      <c r="E171" s="48"/>
      <c r="F171" s="48"/>
      <c r="G171" s="2"/>
      <c r="H171" s="2"/>
      <c r="I171" s="2"/>
      <c r="J171" s="2"/>
      <c r="K171" s="2"/>
      <c r="L171" s="2"/>
      <c r="M171" s="2"/>
    </row>
    <row r="172" spans="1:13" ht="24.95" customHeight="1" x14ac:dyDescent="0.3">
      <c r="A172" s="1">
        <v>170</v>
      </c>
      <c r="B172" s="2"/>
      <c r="C172" s="47"/>
      <c r="D172" s="48"/>
      <c r="E172" s="48"/>
      <c r="F172" s="48"/>
      <c r="G172" s="2"/>
      <c r="H172" s="2"/>
      <c r="I172" s="2"/>
      <c r="J172" s="2"/>
      <c r="K172" s="2"/>
      <c r="L172" s="2"/>
      <c r="M172" s="2"/>
    </row>
    <row r="173" spans="1:13" ht="24.95" customHeight="1" x14ac:dyDescent="0.3">
      <c r="A173" s="1">
        <v>171</v>
      </c>
      <c r="B173" s="2"/>
      <c r="C173" s="47"/>
      <c r="D173" s="48"/>
      <c r="E173" s="48"/>
      <c r="F173" s="48"/>
      <c r="G173" s="2"/>
      <c r="H173" s="2"/>
      <c r="I173" s="2"/>
      <c r="J173" s="2"/>
      <c r="K173" s="2"/>
      <c r="L173" s="2"/>
      <c r="M173" s="2"/>
    </row>
    <row r="174" spans="1:13" ht="24.95" customHeight="1" x14ac:dyDescent="0.3">
      <c r="A174" s="1">
        <v>172</v>
      </c>
      <c r="B174" s="2"/>
      <c r="C174" s="47"/>
      <c r="D174" s="48"/>
      <c r="E174" s="48"/>
      <c r="F174" s="48"/>
      <c r="G174" s="2"/>
      <c r="H174" s="2"/>
      <c r="I174" s="2"/>
      <c r="J174" s="2"/>
      <c r="K174" s="2"/>
      <c r="L174" s="2"/>
      <c r="M174" s="2"/>
    </row>
    <row r="175" spans="1:13" ht="24.95" customHeight="1" x14ac:dyDescent="0.3">
      <c r="A175" s="1">
        <v>173</v>
      </c>
      <c r="B175" s="2"/>
      <c r="C175" s="47"/>
      <c r="D175" s="48"/>
      <c r="E175" s="48"/>
      <c r="F175" s="48"/>
      <c r="G175" s="2"/>
      <c r="H175" s="2"/>
      <c r="I175" s="2"/>
      <c r="J175" s="2"/>
      <c r="K175" s="2"/>
      <c r="L175" s="2"/>
      <c r="M175" s="2"/>
    </row>
    <row r="176" spans="1:13" ht="24.95" customHeight="1" x14ac:dyDescent="0.3">
      <c r="A176" s="1">
        <v>174</v>
      </c>
      <c r="B176" s="2"/>
      <c r="C176" s="47"/>
      <c r="D176" s="48"/>
      <c r="E176" s="48"/>
      <c r="F176" s="48"/>
      <c r="G176" s="2"/>
      <c r="H176" s="2"/>
      <c r="I176" s="2"/>
      <c r="J176" s="2"/>
      <c r="K176" s="2"/>
      <c r="L176" s="2"/>
      <c r="M176" s="2"/>
    </row>
    <row r="177" spans="1:13" ht="24.95" customHeight="1" x14ac:dyDescent="0.3">
      <c r="A177" s="1">
        <v>175</v>
      </c>
      <c r="B177" s="2"/>
      <c r="C177" s="47"/>
      <c r="D177" s="48"/>
      <c r="E177" s="48"/>
      <c r="F177" s="48"/>
      <c r="G177" s="2"/>
      <c r="H177" s="2"/>
      <c r="I177" s="2"/>
      <c r="J177" s="2"/>
      <c r="K177" s="2"/>
      <c r="L177" s="2"/>
      <c r="M177" s="2"/>
    </row>
    <row r="178" spans="1:13" ht="24.95" customHeight="1" x14ac:dyDescent="0.3">
      <c r="A178" s="1">
        <v>176</v>
      </c>
      <c r="B178" s="2"/>
      <c r="C178" s="47"/>
      <c r="D178" s="48"/>
      <c r="E178" s="48"/>
      <c r="F178" s="48"/>
      <c r="G178" s="2"/>
      <c r="H178" s="2"/>
      <c r="I178" s="2"/>
      <c r="J178" s="2"/>
      <c r="K178" s="2"/>
      <c r="L178" s="2"/>
      <c r="M178" s="2"/>
    </row>
    <row r="179" spans="1:13" ht="24.95" customHeight="1" x14ac:dyDescent="0.3">
      <c r="A179" s="1">
        <v>177</v>
      </c>
      <c r="B179" s="2"/>
      <c r="C179" s="47"/>
      <c r="D179" s="48"/>
      <c r="E179" s="48"/>
      <c r="F179" s="48"/>
      <c r="G179" s="2"/>
      <c r="H179" s="2"/>
      <c r="I179" s="2"/>
      <c r="J179" s="2"/>
      <c r="K179" s="2"/>
      <c r="L179" s="2"/>
      <c r="M179" s="2"/>
    </row>
    <row r="180" spans="1:13" ht="24.95" customHeight="1" x14ac:dyDescent="0.3">
      <c r="A180" s="1">
        <v>178</v>
      </c>
      <c r="B180" s="2"/>
      <c r="C180" s="47"/>
      <c r="D180" s="48"/>
      <c r="E180" s="48"/>
      <c r="F180" s="48"/>
      <c r="G180" s="2"/>
      <c r="H180" s="2"/>
      <c r="I180" s="2"/>
      <c r="J180" s="2"/>
      <c r="K180" s="2"/>
      <c r="L180" s="2"/>
      <c r="M180" s="2"/>
    </row>
    <row r="181" spans="1:13" ht="24.95" customHeight="1" x14ac:dyDescent="0.3">
      <c r="A181" s="1">
        <v>179</v>
      </c>
      <c r="B181" s="2"/>
      <c r="C181" s="47"/>
      <c r="D181" s="48"/>
      <c r="E181" s="48"/>
      <c r="F181" s="48"/>
      <c r="G181" s="2"/>
      <c r="H181" s="2"/>
      <c r="I181" s="2"/>
      <c r="J181" s="2"/>
      <c r="K181" s="2"/>
      <c r="L181" s="2"/>
      <c r="M181" s="2"/>
    </row>
    <row r="182" spans="1:13" ht="24.95" customHeight="1" x14ac:dyDescent="0.3">
      <c r="A182" s="1">
        <v>180</v>
      </c>
      <c r="B182" s="2"/>
      <c r="C182" s="47"/>
      <c r="D182" s="48"/>
      <c r="E182" s="48"/>
      <c r="F182" s="48"/>
      <c r="G182" s="2"/>
      <c r="H182" s="2"/>
      <c r="I182" s="2"/>
      <c r="J182" s="2"/>
      <c r="K182" s="2"/>
      <c r="L182" s="2"/>
      <c r="M182" s="2"/>
    </row>
    <row r="183" spans="1:13" ht="24.95" customHeight="1" x14ac:dyDescent="0.3">
      <c r="A183" s="1">
        <v>181</v>
      </c>
      <c r="B183" s="2"/>
      <c r="C183" s="47"/>
      <c r="D183" s="48"/>
      <c r="E183" s="48"/>
      <c r="F183" s="48"/>
      <c r="G183" s="2"/>
      <c r="H183" s="2"/>
      <c r="I183" s="2"/>
      <c r="J183" s="2"/>
      <c r="K183" s="2"/>
      <c r="L183" s="2"/>
      <c r="M183" s="2"/>
    </row>
    <row r="184" spans="1:13" ht="24.95" customHeight="1" x14ac:dyDescent="0.3">
      <c r="A184" s="1">
        <v>182</v>
      </c>
      <c r="B184" s="2"/>
      <c r="C184" s="47"/>
      <c r="D184" s="48"/>
      <c r="E184" s="48"/>
      <c r="F184" s="48"/>
      <c r="G184" s="2"/>
      <c r="H184" s="2"/>
      <c r="I184" s="2"/>
      <c r="J184" s="2"/>
      <c r="K184" s="2"/>
      <c r="L184" s="2"/>
      <c r="M184" s="2"/>
    </row>
    <row r="185" spans="1:13" ht="24.95" customHeight="1" x14ac:dyDescent="0.3">
      <c r="A185" s="1">
        <v>183</v>
      </c>
      <c r="B185" s="2"/>
      <c r="C185" s="47"/>
      <c r="D185" s="48"/>
      <c r="E185" s="48"/>
      <c r="F185" s="48"/>
      <c r="G185" s="2"/>
      <c r="H185" s="2"/>
      <c r="I185" s="2"/>
      <c r="J185" s="2"/>
      <c r="K185" s="2"/>
      <c r="L185" s="2"/>
      <c r="M185" s="2"/>
    </row>
    <row r="186" spans="1:13" ht="24.95" customHeight="1" x14ac:dyDescent="0.3">
      <c r="A186" s="1">
        <v>184</v>
      </c>
      <c r="B186" s="2"/>
      <c r="C186" s="47"/>
      <c r="D186" s="48"/>
      <c r="E186" s="48"/>
      <c r="F186" s="48"/>
      <c r="G186" s="2"/>
      <c r="H186" s="2"/>
      <c r="I186" s="2"/>
      <c r="J186" s="2"/>
      <c r="K186" s="2"/>
      <c r="L186" s="2"/>
      <c r="M186" s="2"/>
    </row>
    <row r="187" spans="1:13" ht="24.95" customHeight="1" x14ac:dyDescent="0.3">
      <c r="A187" s="1">
        <v>185</v>
      </c>
      <c r="B187" s="2"/>
      <c r="C187" s="47"/>
      <c r="D187" s="48"/>
      <c r="E187" s="48"/>
      <c r="F187" s="48"/>
      <c r="G187" s="2"/>
      <c r="H187" s="2"/>
      <c r="I187" s="2"/>
      <c r="J187" s="2"/>
      <c r="K187" s="2"/>
      <c r="L187" s="2"/>
      <c r="M187" s="2"/>
    </row>
    <row r="188" spans="1:13" ht="24.95" customHeight="1" x14ac:dyDescent="0.3">
      <c r="A188" s="1">
        <v>186</v>
      </c>
      <c r="B188" s="2"/>
      <c r="C188" s="47"/>
      <c r="D188" s="48"/>
      <c r="E188" s="48"/>
      <c r="F188" s="48"/>
      <c r="G188" s="2"/>
      <c r="H188" s="2"/>
      <c r="I188" s="2"/>
      <c r="J188" s="2"/>
      <c r="K188" s="2"/>
      <c r="L188" s="2"/>
      <c r="M188" s="2"/>
    </row>
    <row r="189" spans="1:13" ht="24.95" customHeight="1" x14ac:dyDescent="0.3">
      <c r="A189" s="1">
        <v>187</v>
      </c>
      <c r="B189" s="2"/>
      <c r="C189" s="47"/>
      <c r="D189" s="48"/>
      <c r="E189" s="48"/>
      <c r="F189" s="48"/>
      <c r="G189" s="2"/>
      <c r="H189" s="2"/>
      <c r="I189" s="2"/>
      <c r="J189" s="2"/>
      <c r="K189" s="2"/>
      <c r="L189" s="2"/>
      <c r="M189" s="2"/>
    </row>
    <row r="190" spans="1:13" ht="24.95" customHeight="1" x14ac:dyDescent="0.3">
      <c r="A190" s="1">
        <v>188</v>
      </c>
      <c r="B190" s="2"/>
      <c r="C190" s="47"/>
      <c r="D190" s="48"/>
      <c r="E190" s="48"/>
      <c r="F190" s="48"/>
      <c r="G190" s="2"/>
      <c r="H190" s="2"/>
      <c r="I190" s="2"/>
      <c r="J190" s="2"/>
      <c r="K190" s="2"/>
      <c r="L190" s="2"/>
      <c r="M190" s="2"/>
    </row>
    <row r="191" spans="1:13" ht="24.95" customHeight="1" x14ac:dyDescent="0.3">
      <c r="A191" s="1">
        <v>189</v>
      </c>
      <c r="B191" s="2"/>
      <c r="C191" s="47"/>
      <c r="D191" s="48"/>
      <c r="E191" s="48"/>
      <c r="F191" s="48"/>
      <c r="G191" s="2"/>
      <c r="H191" s="2"/>
      <c r="I191" s="2"/>
      <c r="J191" s="2"/>
      <c r="K191" s="2"/>
      <c r="L191" s="2"/>
      <c r="M191" s="2"/>
    </row>
    <row r="192" spans="1:13" ht="24.95" customHeight="1" x14ac:dyDescent="0.3">
      <c r="A192" s="1">
        <v>190</v>
      </c>
      <c r="B192" s="2"/>
      <c r="C192" s="47"/>
      <c r="D192" s="48"/>
      <c r="E192" s="48"/>
      <c r="F192" s="48"/>
      <c r="G192" s="2"/>
      <c r="H192" s="2"/>
      <c r="I192" s="2"/>
      <c r="J192" s="2"/>
      <c r="K192" s="2"/>
      <c r="L192" s="2"/>
      <c r="M192" s="2"/>
    </row>
    <row r="193" spans="1:16" ht="24.95" customHeight="1" x14ac:dyDescent="0.3">
      <c r="A193" s="1">
        <v>191</v>
      </c>
      <c r="B193" s="2"/>
      <c r="C193" s="47"/>
      <c r="D193" s="48"/>
      <c r="E193" s="48"/>
      <c r="F193" s="48"/>
      <c r="G193" s="2"/>
      <c r="H193" s="2"/>
      <c r="I193" s="2"/>
      <c r="J193" s="2"/>
      <c r="K193" s="2"/>
      <c r="L193" s="2"/>
      <c r="M193" s="2"/>
    </row>
    <row r="194" spans="1:16" ht="24.95" customHeight="1" x14ac:dyDescent="0.3">
      <c r="A194" s="1">
        <v>192</v>
      </c>
      <c r="B194" s="2"/>
      <c r="C194" s="47"/>
      <c r="D194" s="48"/>
      <c r="E194" s="48"/>
      <c r="F194" s="48"/>
      <c r="G194" s="2"/>
      <c r="H194" s="2"/>
      <c r="I194" s="2"/>
      <c r="J194" s="2"/>
      <c r="K194" s="2"/>
      <c r="L194" s="2"/>
      <c r="M194" s="2"/>
    </row>
    <row r="195" spans="1:16" ht="24.95" customHeight="1" x14ac:dyDescent="0.3">
      <c r="A195" s="1">
        <v>193</v>
      </c>
      <c r="B195" s="2"/>
      <c r="C195" s="47"/>
      <c r="D195" s="48"/>
      <c r="E195" s="48"/>
      <c r="F195" s="48"/>
      <c r="G195" s="2"/>
      <c r="H195" s="2"/>
      <c r="I195" s="2"/>
      <c r="J195" s="2"/>
      <c r="K195" s="2"/>
      <c r="L195" s="2"/>
      <c r="M195" s="2"/>
    </row>
    <row r="196" spans="1:16" ht="24.95" customHeight="1" x14ac:dyDescent="0.3">
      <c r="A196" s="1">
        <v>194</v>
      </c>
      <c r="B196" s="2"/>
      <c r="C196" s="47"/>
      <c r="D196" s="48"/>
      <c r="E196" s="48"/>
      <c r="F196" s="48"/>
      <c r="G196" s="2"/>
      <c r="H196" s="2"/>
      <c r="I196" s="2"/>
      <c r="J196" s="2"/>
      <c r="K196" s="2"/>
      <c r="L196" s="2"/>
      <c r="M196" s="2"/>
    </row>
    <row r="197" spans="1:16" ht="24.95" customHeight="1" x14ac:dyDescent="0.3">
      <c r="A197" s="1">
        <v>195</v>
      </c>
      <c r="B197" s="2"/>
      <c r="C197" s="47"/>
      <c r="D197" s="48"/>
      <c r="E197" s="48"/>
      <c r="F197" s="48"/>
      <c r="G197" s="2"/>
      <c r="H197" s="2"/>
      <c r="I197" s="2"/>
      <c r="J197" s="2"/>
      <c r="K197" s="2"/>
      <c r="L197" s="2"/>
      <c r="M197" s="2"/>
    </row>
    <row r="198" spans="1:16" ht="24.95" customHeight="1" x14ac:dyDescent="0.3">
      <c r="A198" s="1">
        <v>196</v>
      </c>
      <c r="B198" s="2"/>
      <c r="C198" s="47"/>
      <c r="D198" s="48"/>
      <c r="E198" s="48"/>
      <c r="F198" s="48"/>
      <c r="G198" s="2"/>
      <c r="H198" s="2"/>
      <c r="I198" s="2"/>
      <c r="J198" s="2"/>
      <c r="K198" s="2"/>
      <c r="L198" s="2"/>
      <c r="M198" s="2"/>
    </row>
    <row r="199" spans="1:16" ht="24.95" customHeight="1" x14ac:dyDescent="0.3">
      <c r="A199" s="1">
        <v>197</v>
      </c>
      <c r="B199" s="2"/>
      <c r="C199" s="47"/>
      <c r="D199" s="48"/>
      <c r="E199" s="48"/>
      <c r="F199" s="48"/>
      <c r="G199" s="2"/>
      <c r="H199" s="2"/>
      <c r="I199" s="2"/>
      <c r="J199" s="2"/>
      <c r="K199" s="2"/>
      <c r="L199" s="2"/>
      <c r="M199" s="2"/>
    </row>
    <row r="200" spans="1:16" ht="24.95" customHeight="1" x14ac:dyDescent="0.3">
      <c r="A200" s="1">
        <v>198</v>
      </c>
      <c r="B200" s="2"/>
      <c r="C200" s="47"/>
      <c r="D200" s="48"/>
      <c r="E200" s="48"/>
      <c r="F200" s="48"/>
      <c r="G200" s="2"/>
      <c r="H200" s="2"/>
      <c r="I200" s="2"/>
      <c r="J200" s="2"/>
      <c r="K200" s="2"/>
      <c r="L200" s="2"/>
      <c r="M200" s="2"/>
    </row>
    <row r="201" spans="1:16" ht="24.95" customHeight="1" x14ac:dyDescent="0.3">
      <c r="A201" s="1">
        <v>199</v>
      </c>
      <c r="B201" s="2"/>
      <c r="C201" s="47"/>
      <c r="D201" s="48"/>
      <c r="E201" s="48"/>
      <c r="F201" s="48"/>
      <c r="G201" s="2"/>
      <c r="H201" s="2"/>
      <c r="I201" s="2"/>
      <c r="J201" s="2"/>
      <c r="K201" s="2"/>
      <c r="L201" s="2"/>
      <c r="M201" s="2"/>
    </row>
    <row r="202" spans="1:16" ht="24.95" customHeight="1" x14ac:dyDescent="0.3">
      <c r="A202" s="1">
        <v>200</v>
      </c>
      <c r="B202" s="2"/>
      <c r="C202" s="47"/>
      <c r="D202" s="48"/>
      <c r="E202" s="48"/>
      <c r="F202" s="48"/>
      <c r="G202" s="2"/>
      <c r="H202" s="2"/>
      <c r="I202" s="2"/>
      <c r="J202" s="2"/>
      <c r="K202" s="2"/>
      <c r="L202" s="2"/>
      <c r="M202" s="2"/>
    </row>
    <row r="203" spans="1:16" ht="24.95" customHeight="1" x14ac:dyDescent="0.3">
      <c r="A203" s="1">
        <v>201</v>
      </c>
      <c r="B203" s="2"/>
      <c r="C203" s="47"/>
      <c r="D203" s="48"/>
      <c r="E203" s="48"/>
      <c r="F203" s="48"/>
      <c r="G203" s="2"/>
      <c r="H203" s="2"/>
      <c r="I203" s="2"/>
      <c r="J203" s="2"/>
      <c r="K203" s="2"/>
      <c r="L203" s="2"/>
      <c r="M203" s="2"/>
    </row>
    <row r="204" spans="1:16" ht="24.95" customHeight="1" x14ac:dyDescent="0.3">
      <c r="A204" s="1">
        <v>202</v>
      </c>
      <c r="B204" s="2"/>
      <c r="C204" s="47"/>
      <c r="D204" s="48"/>
      <c r="E204" s="48"/>
      <c r="F204" s="48"/>
      <c r="G204" s="2"/>
      <c r="H204" s="2"/>
      <c r="I204" s="2"/>
      <c r="J204" s="2"/>
      <c r="K204" s="2"/>
      <c r="L204" s="2"/>
      <c r="M204" s="2"/>
    </row>
    <row r="205" spans="1:16" ht="24.95" customHeight="1" x14ac:dyDescent="0.3">
      <c r="A205" s="1">
        <v>203</v>
      </c>
      <c r="B205" s="2"/>
      <c r="C205" s="47"/>
      <c r="D205" s="48"/>
      <c r="E205" s="48"/>
      <c r="F205" s="48"/>
      <c r="G205" s="2"/>
      <c r="H205" s="2"/>
      <c r="I205" s="2"/>
      <c r="J205" s="2"/>
      <c r="K205" s="2"/>
      <c r="L205" s="2"/>
      <c r="M205" s="2"/>
    </row>
    <row r="206" spans="1:16" ht="24.95" customHeight="1" x14ac:dyDescent="0.3">
      <c r="A206" s="1">
        <v>204</v>
      </c>
      <c r="B206" s="2"/>
      <c r="C206" s="47"/>
      <c r="D206" s="48"/>
      <c r="E206" s="48"/>
      <c r="F206" s="48"/>
      <c r="G206" s="2"/>
      <c r="H206" s="2"/>
      <c r="I206" s="2"/>
      <c r="J206" s="2">
        <v>1</v>
      </c>
      <c r="K206" s="2"/>
      <c r="L206" s="2"/>
      <c r="M206" s="2"/>
      <c r="P206" t="str">
        <f>CONCATENATE("(",A206,",'",C206,"','",B206,"','",D206,"','",E206,"','",H206,"',",G206,",",I206,",",J206,") values")</f>
        <v>(204,'','','','','',,,1) values</v>
      </c>
    </row>
  </sheetData>
  <autoFilter ref="A2:P206">
    <sortState ref="A19:N78">
      <sortCondition ref="A2:A206"/>
    </sortState>
  </autoFilter>
  <phoneticPr fontId="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0000"/>
  </sheetPr>
  <dimension ref="A1:AA160"/>
  <sheetViews>
    <sheetView topLeftCell="F1" workbookViewId="0">
      <pane ySplit="2" topLeftCell="A3" activePane="bottomLeft" state="frozen"/>
      <selection activeCell="A2" sqref="A2"/>
      <selection pane="bottomLeft" activeCell="R79" sqref="R79:R81"/>
    </sheetView>
  </sheetViews>
  <sheetFormatPr baseColWidth="10" defaultRowHeight="16.5" x14ac:dyDescent="0.3"/>
  <cols>
    <col min="1" max="1" width="5.7109375" customWidth="1"/>
    <col min="2" max="2" width="34.42578125" bestFit="1" customWidth="1"/>
    <col min="3" max="3" width="40.7109375" customWidth="1"/>
    <col min="4" max="6" width="13.5703125" customWidth="1"/>
    <col min="7" max="7" width="12.5703125" customWidth="1"/>
    <col min="8" max="8" width="13.5703125" customWidth="1"/>
    <col min="9" max="14" width="15.7109375" customWidth="1"/>
    <col min="15" max="15" width="36.42578125" bestFit="1" customWidth="1"/>
    <col min="17" max="17" width="41" customWidth="1"/>
    <col min="18" max="18" width="35.5703125" bestFit="1" customWidth="1"/>
  </cols>
  <sheetData>
    <row r="1" spans="1:18" ht="30" customHeight="1" x14ac:dyDescent="0.3">
      <c r="A1" s="9" t="s">
        <v>0</v>
      </c>
      <c r="B1" s="9" t="s">
        <v>206</v>
      </c>
      <c r="C1" s="9" t="s">
        <v>203</v>
      </c>
      <c r="D1" s="14" t="s">
        <v>1121</v>
      </c>
      <c r="E1" s="14" t="s">
        <v>1122</v>
      </c>
      <c r="F1" s="14" t="s">
        <v>1123</v>
      </c>
      <c r="G1" s="14" t="s">
        <v>1124</v>
      </c>
      <c r="H1" s="14" t="s">
        <v>1469</v>
      </c>
      <c r="I1" s="9" t="s">
        <v>1470</v>
      </c>
      <c r="J1" s="9" t="s">
        <v>1471</v>
      </c>
      <c r="K1" s="9" t="s">
        <v>1472</v>
      </c>
      <c r="L1" s="9" t="s">
        <v>1456</v>
      </c>
      <c r="M1" s="9" t="s">
        <v>1473</v>
      </c>
      <c r="N1" s="9" t="s">
        <v>284</v>
      </c>
    </row>
    <row r="2" spans="1:18" ht="24.95" customHeight="1" x14ac:dyDescent="0.3">
      <c r="A2" s="9" t="s">
        <v>204</v>
      </c>
      <c r="B2" s="9" t="s">
        <v>207</v>
      </c>
      <c r="C2" s="9" t="s">
        <v>205</v>
      </c>
      <c r="D2" s="9" t="s">
        <v>208</v>
      </c>
      <c r="E2" s="9" t="s">
        <v>213</v>
      </c>
      <c r="F2" s="9" t="s">
        <v>210</v>
      </c>
      <c r="G2" s="9" t="s">
        <v>226</v>
      </c>
      <c r="H2" s="9" t="s">
        <v>227</v>
      </c>
      <c r="I2" s="9" t="s">
        <v>228</v>
      </c>
      <c r="J2" s="9" t="s">
        <v>229</v>
      </c>
      <c r="K2" s="9" t="s">
        <v>230</v>
      </c>
      <c r="L2" s="9" t="s">
        <v>231</v>
      </c>
      <c r="M2" s="9" t="s">
        <v>1125</v>
      </c>
      <c r="N2" s="9" t="s">
        <v>1126</v>
      </c>
      <c r="P2" t="s">
        <v>1476</v>
      </c>
      <c r="Q2" t="str">
        <f>CONCATENATE(P2,A2,",",N2,") values")</f>
        <v>Insert into T_03_03_03 (F_00,F_13) values</v>
      </c>
      <c r="R2" t="s">
        <v>1657</v>
      </c>
    </row>
    <row r="3" spans="1:18" ht="24.95" customHeight="1" x14ac:dyDescent="0.3">
      <c r="A3" s="1">
        <v>1</v>
      </c>
      <c r="B3" s="2" t="s">
        <v>11</v>
      </c>
      <c r="C3" s="47" t="s">
        <v>1148</v>
      </c>
      <c r="D3" s="48" t="s">
        <v>1650</v>
      </c>
      <c r="E3" s="48" t="s">
        <v>1651</v>
      </c>
      <c r="F3" s="48"/>
      <c r="G3" s="2">
        <v>1</v>
      </c>
      <c r="H3" s="2" t="s">
        <v>1478</v>
      </c>
      <c r="I3" s="2" t="s">
        <v>1511</v>
      </c>
      <c r="J3" s="2" t="s">
        <v>1512</v>
      </c>
      <c r="K3" s="2">
        <v>750</v>
      </c>
      <c r="L3" s="2">
        <v>39</v>
      </c>
      <c r="M3" s="2">
        <v>76</v>
      </c>
      <c r="N3" s="2">
        <v>12</v>
      </c>
      <c r="Q3" t="str">
        <f>CONCATENATE("(",A3,",'",H3,"',",I3,",",J3,",",K3,",",L3,",",M3,"),")</f>
        <v>(1,'Hassi R’Mel',32.95,3.17,750,39,76),</v>
      </c>
      <c r="R3" t="str">
        <f>CONCATENATE("(",A3,",",N3,"),")</f>
        <v>(1,12),</v>
      </c>
    </row>
    <row r="4" spans="1:18" ht="24.95" customHeight="1" x14ac:dyDescent="0.3">
      <c r="A4" s="1">
        <v>2</v>
      </c>
      <c r="B4" s="2" t="s">
        <v>10</v>
      </c>
      <c r="C4" s="47" t="s">
        <v>1134</v>
      </c>
      <c r="D4" s="48" t="s">
        <v>1652</v>
      </c>
      <c r="E4" s="48" t="s">
        <v>1217</v>
      </c>
      <c r="F4" s="48"/>
      <c r="G4" s="2">
        <v>1</v>
      </c>
      <c r="H4" s="2" t="s">
        <v>1425</v>
      </c>
      <c r="I4" s="2" t="s">
        <v>1534</v>
      </c>
      <c r="J4" s="2" t="s">
        <v>1535</v>
      </c>
      <c r="K4" s="2">
        <v>130</v>
      </c>
      <c r="L4" s="2">
        <v>39</v>
      </c>
      <c r="M4" s="2">
        <v>1096</v>
      </c>
      <c r="N4" s="2">
        <v>12</v>
      </c>
      <c r="Q4" t="str">
        <f t="shared" ref="Q4:Q18" si="0">CONCATENATE("(",A4,",'",H4,"',",I4,",",J4,",",K4,",",L4,",",M4,"),")</f>
        <v>(2,'Haoud El Hamra',31.61,5.92,130,39,1096),</v>
      </c>
      <c r="R4" t="str">
        <f t="shared" ref="R4:R18" si="1">CONCATENATE("(",A4,",",N4,"),")</f>
        <v>(2,12),</v>
      </c>
    </row>
    <row r="5" spans="1:18" ht="24.95" customHeight="1" x14ac:dyDescent="0.3">
      <c r="A5" s="1">
        <v>3</v>
      </c>
      <c r="B5" s="2" t="s">
        <v>1139</v>
      </c>
      <c r="C5" s="47" t="s">
        <v>1140</v>
      </c>
      <c r="D5" s="48" t="s">
        <v>1653</v>
      </c>
      <c r="E5" s="48" t="s">
        <v>1654</v>
      </c>
      <c r="F5" s="48"/>
      <c r="G5" s="2">
        <v>1</v>
      </c>
      <c r="H5" s="2" t="s">
        <v>83</v>
      </c>
      <c r="I5" s="2" t="s">
        <v>1609</v>
      </c>
      <c r="J5" s="2" t="s">
        <v>1610</v>
      </c>
      <c r="K5" s="2">
        <v>5</v>
      </c>
      <c r="L5" s="2">
        <v>39</v>
      </c>
      <c r="M5" s="2">
        <v>1113</v>
      </c>
      <c r="N5" s="2">
        <v>8</v>
      </c>
      <c r="Q5" t="str">
        <f t="shared" si="0"/>
        <v>(3,'Arzew',35.82,-0.28,5,39,1113),</v>
      </c>
      <c r="R5" t="str">
        <f t="shared" si="1"/>
        <v>(3,8),</v>
      </c>
    </row>
    <row r="6" spans="1:18" ht="24.95" customHeight="1" x14ac:dyDescent="0.3">
      <c r="A6" s="1">
        <v>4</v>
      </c>
      <c r="B6" s="2" t="s">
        <v>1142</v>
      </c>
      <c r="C6" s="47" t="s">
        <v>1141</v>
      </c>
      <c r="D6" s="48" t="s">
        <v>1655</v>
      </c>
      <c r="E6" s="48" t="s">
        <v>1241</v>
      </c>
      <c r="F6" s="48"/>
      <c r="G6" s="2">
        <v>1</v>
      </c>
      <c r="H6" s="2" t="s">
        <v>84</v>
      </c>
      <c r="I6" s="2" t="s">
        <v>1612</v>
      </c>
      <c r="J6" s="2" t="s">
        <v>1613</v>
      </c>
      <c r="K6" s="2">
        <v>6</v>
      </c>
      <c r="L6" s="2">
        <v>39</v>
      </c>
      <c r="M6" s="2">
        <v>785</v>
      </c>
      <c r="N6" s="2">
        <v>8</v>
      </c>
      <c r="Q6" t="str">
        <f t="shared" si="0"/>
        <v>(4,'Skikda',36.89,6.92,6,39,785),</v>
      </c>
      <c r="R6" t="str">
        <f t="shared" si="1"/>
        <v>(4,8),</v>
      </c>
    </row>
    <row r="7" spans="1:18" ht="24.95" customHeight="1" x14ac:dyDescent="0.3">
      <c r="A7" s="1">
        <v>5</v>
      </c>
      <c r="B7" s="2" t="s">
        <v>1144</v>
      </c>
      <c r="C7" s="47" t="s">
        <v>1143</v>
      </c>
      <c r="D7" s="48" t="s">
        <v>1216</v>
      </c>
      <c r="E7" s="48" t="s">
        <v>1230</v>
      </c>
      <c r="F7" s="48"/>
      <c r="G7" s="2">
        <v>1</v>
      </c>
      <c r="H7" s="2" t="s">
        <v>1161</v>
      </c>
      <c r="I7" s="2" t="s">
        <v>1615</v>
      </c>
      <c r="J7" s="2" t="s">
        <v>1616</v>
      </c>
      <c r="K7" s="2">
        <v>3</v>
      </c>
      <c r="L7" s="2">
        <v>39</v>
      </c>
      <c r="M7" s="2">
        <v>187</v>
      </c>
      <c r="N7" s="2">
        <v>8</v>
      </c>
      <c r="Q7" t="str">
        <f t="shared" si="0"/>
        <v>(5,'Béjaïa',36.75,5.09,3,39,187),</v>
      </c>
      <c r="R7" t="str">
        <f t="shared" si="1"/>
        <v>(5,8),</v>
      </c>
    </row>
    <row r="8" spans="1:18" ht="24.95" customHeight="1" x14ac:dyDescent="0.3">
      <c r="A8" s="1">
        <v>6</v>
      </c>
      <c r="B8" s="2" t="s">
        <v>1146</v>
      </c>
      <c r="C8" s="47" t="s">
        <v>1145</v>
      </c>
      <c r="D8" s="48" t="s">
        <v>1653</v>
      </c>
      <c r="E8" s="48" t="s">
        <v>1653</v>
      </c>
      <c r="F8" s="48"/>
      <c r="G8" s="2">
        <v>1</v>
      </c>
      <c r="H8" s="2" t="s">
        <v>83</v>
      </c>
      <c r="I8" s="2" t="s">
        <v>1618</v>
      </c>
      <c r="J8" s="2" t="s">
        <v>1619</v>
      </c>
      <c r="K8" s="2">
        <v>10</v>
      </c>
      <c r="L8" s="2">
        <v>39</v>
      </c>
      <c r="M8" s="2">
        <v>1113</v>
      </c>
      <c r="N8" s="2">
        <v>14</v>
      </c>
      <c r="Q8" t="str">
        <f t="shared" si="0"/>
        <v>(6,'Arzew',35.81,-0.25,10,39,1113),</v>
      </c>
      <c r="R8" t="str">
        <f t="shared" si="1"/>
        <v>(6,14),</v>
      </c>
    </row>
    <row r="9" spans="1:18" ht="24.95" customHeight="1" x14ac:dyDescent="0.3">
      <c r="A9" s="1">
        <v>7</v>
      </c>
      <c r="B9" s="2" t="s">
        <v>1147</v>
      </c>
      <c r="C9" s="47" t="s">
        <v>1152</v>
      </c>
      <c r="D9" s="48" t="s">
        <v>1655</v>
      </c>
      <c r="E9" s="48" t="s">
        <v>1213</v>
      </c>
      <c r="F9" s="48"/>
      <c r="G9" s="2">
        <v>1</v>
      </c>
      <c r="H9" s="2" t="s">
        <v>84</v>
      </c>
      <c r="I9" s="2" t="s">
        <v>1621</v>
      </c>
      <c r="J9" s="2" t="s">
        <v>1622</v>
      </c>
      <c r="K9" s="2">
        <v>8</v>
      </c>
      <c r="L9" s="2">
        <v>39</v>
      </c>
      <c r="M9" s="2">
        <v>785</v>
      </c>
      <c r="N9" s="2">
        <v>14</v>
      </c>
      <c r="Q9" t="str">
        <f t="shared" si="0"/>
        <v>(7,'Skikda',36.87,6.97,8,39,785),</v>
      </c>
      <c r="R9" t="str">
        <f t="shared" si="1"/>
        <v>(7,14),</v>
      </c>
    </row>
    <row r="10" spans="1:18" ht="24.95" customHeight="1" x14ac:dyDescent="0.3">
      <c r="A10" s="1">
        <v>8</v>
      </c>
      <c r="B10" s="2" t="s">
        <v>1264</v>
      </c>
      <c r="C10" s="47" t="s">
        <v>1365</v>
      </c>
      <c r="D10" s="48" t="s">
        <v>1655</v>
      </c>
      <c r="E10" s="48" t="s">
        <v>1213</v>
      </c>
      <c r="F10" s="48"/>
      <c r="G10" s="2">
        <v>1</v>
      </c>
      <c r="H10" s="2" t="s">
        <v>126</v>
      </c>
      <c r="I10" s="2" t="s">
        <v>1624</v>
      </c>
      <c r="J10" s="2" t="s">
        <v>1625</v>
      </c>
      <c r="K10" s="2">
        <v>12</v>
      </c>
      <c r="L10" s="2">
        <v>39</v>
      </c>
      <c r="M10" s="2">
        <v>1469</v>
      </c>
      <c r="N10" s="2">
        <v>8</v>
      </c>
      <c r="Q10" t="str">
        <f t="shared" si="0"/>
        <v>(8,'Oued Saf Saf',35.30,-1.62,12,39,1469),</v>
      </c>
      <c r="R10" t="str">
        <f t="shared" si="1"/>
        <v>(8,8),</v>
      </c>
    </row>
    <row r="11" spans="1:18" ht="24.95" customHeight="1" x14ac:dyDescent="0.3">
      <c r="A11" s="1">
        <v>9</v>
      </c>
      <c r="B11" s="2" t="s">
        <v>1434</v>
      </c>
      <c r="C11" s="47" t="s">
        <v>1433</v>
      </c>
      <c r="D11" s="48" t="s">
        <v>1655</v>
      </c>
      <c r="E11" s="48" t="s">
        <v>1213</v>
      </c>
      <c r="F11" s="48"/>
      <c r="G11" s="2">
        <v>1</v>
      </c>
      <c r="H11" s="2" t="s">
        <v>1628</v>
      </c>
      <c r="I11" s="2" t="s">
        <v>1629</v>
      </c>
      <c r="J11" s="2" t="s">
        <v>1630</v>
      </c>
      <c r="K11" s="2">
        <v>560</v>
      </c>
      <c r="L11" s="2">
        <v>39</v>
      </c>
      <c r="M11" s="2">
        <v>1160</v>
      </c>
      <c r="N11" s="2">
        <v>8</v>
      </c>
      <c r="Q11" t="str">
        <f t="shared" si="0"/>
        <v>(9,'Debdeb',27.95,8.12,560,39,1160),</v>
      </c>
      <c r="R11" t="str">
        <f t="shared" si="1"/>
        <v>(9,8),</v>
      </c>
    </row>
    <row r="12" spans="1:18" ht="24.95" customHeight="1" x14ac:dyDescent="0.3">
      <c r="A12" s="1">
        <v>10</v>
      </c>
      <c r="B12" s="2" t="s">
        <v>1375</v>
      </c>
      <c r="C12" s="47" t="s">
        <v>319</v>
      </c>
      <c r="D12" s="48" t="s">
        <v>1230</v>
      </c>
      <c r="E12" s="48" t="s">
        <v>1653</v>
      </c>
      <c r="F12" s="48"/>
      <c r="G12" s="2">
        <v>1</v>
      </c>
      <c r="H12" s="2" t="s">
        <v>86</v>
      </c>
      <c r="I12" s="2" t="s">
        <v>1632</v>
      </c>
      <c r="J12" s="2" t="s">
        <v>1633</v>
      </c>
      <c r="K12" s="2">
        <v>25</v>
      </c>
      <c r="L12" s="2">
        <v>39</v>
      </c>
      <c r="M12" s="2">
        <v>581</v>
      </c>
      <c r="N12" s="2">
        <v>13</v>
      </c>
      <c r="Q12" t="str">
        <f t="shared" si="0"/>
        <v>(10,'Alger',36.73,3.10,25,39,581),</v>
      </c>
      <c r="R12" t="str">
        <f t="shared" si="1"/>
        <v>(10,13),</v>
      </c>
    </row>
    <row r="13" spans="1:18" ht="24.95" customHeight="1" x14ac:dyDescent="0.3">
      <c r="A13" s="1">
        <v>11</v>
      </c>
      <c r="B13" s="2" t="s">
        <v>1376</v>
      </c>
      <c r="C13" s="47" t="s">
        <v>1153</v>
      </c>
      <c r="D13" s="48" t="s">
        <v>1655</v>
      </c>
      <c r="E13" s="48" t="s">
        <v>1213</v>
      </c>
      <c r="F13" s="48"/>
      <c r="G13" s="2">
        <v>1</v>
      </c>
      <c r="H13" s="2" t="s">
        <v>83</v>
      </c>
      <c r="I13" s="2" t="s">
        <v>1618</v>
      </c>
      <c r="J13" s="2" t="s">
        <v>1635</v>
      </c>
      <c r="K13" s="2">
        <v>7</v>
      </c>
      <c r="L13" s="2">
        <v>39</v>
      </c>
      <c r="M13" s="2">
        <v>1113</v>
      </c>
      <c r="N13" s="2">
        <v>13</v>
      </c>
      <c r="Q13" t="str">
        <f t="shared" si="0"/>
        <v>(11,'Arzew',35.81,-0.26,7,39,1113),</v>
      </c>
      <c r="R13" t="str">
        <f t="shared" si="1"/>
        <v>(11,13),</v>
      </c>
    </row>
    <row r="14" spans="1:18" ht="24.95" customHeight="1" x14ac:dyDescent="0.3">
      <c r="A14" s="1">
        <v>12</v>
      </c>
      <c r="B14" s="2" t="s">
        <v>1377</v>
      </c>
      <c r="C14" s="47" t="s">
        <v>1154</v>
      </c>
      <c r="D14" s="48">
        <v>39814</v>
      </c>
      <c r="E14" s="48">
        <v>39814</v>
      </c>
      <c r="F14" s="48"/>
      <c r="G14" s="2">
        <v>1</v>
      </c>
      <c r="H14" s="2" t="s">
        <v>84</v>
      </c>
      <c r="I14" s="2" t="s">
        <v>1621</v>
      </c>
      <c r="J14" s="2" t="s">
        <v>1636</v>
      </c>
      <c r="K14" s="2">
        <v>10</v>
      </c>
      <c r="L14" s="2">
        <v>39</v>
      </c>
      <c r="M14" s="2">
        <v>785</v>
      </c>
      <c r="N14" s="2">
        <v>13</v>
      </c>
      <c r="Q14" t="str">
        <f t="shared" si="0"/>
        <v>(12,'Skikda',36.87,6.98,10,39,785),</v>
      </c>
      <c r="R14" t="str">
        <f t="shared" si="1"/>
        <v>(12,13),</v>
      </c>
    </row>
    <row r="15" spans="1:18" ht="24.95" customHeight="1" x14ac:dyDescent="0.3">
      <c r="A15" s="1">
        <v>13</v>
      </c>
      <c r="B15" s="2" t="s">
        <v>1379</v>
      </c>
      <c r="C15" s="47" t="s">
        <v>1154</v>
      </c>
      <c r="D15" s="48" t="s">
        <v>1652</v>
      </c>
      <c r="E15" s="48" t="s">
        <v>1249</v>
      </c>
      <c r="F15" s="48"/>
      <c r="G15" s="2">
        <v>1</v>
      </c>
      <c r="H15" s="2" t="s">
        <v>84</v>
      </c>
      <c r="I15" s="2" t="s">
        <v>1621</v>
      </c>
      <c r="J15" s="2" t="s">
        <v>1636</v>
      </c>
      <c r="K15" s="2">
        <v>10</v>
      </c>
      <c r="L15" s="2">
        <v>39</v>
      </c>
      <c r="M15" s="2">
        <v>785</v>
      </c>
      <c r="N15" s="2">
        <v>13</v>
      </c>
      <c r="Q15" t="str">
        <f t="shared" si="0"/>
        <v>(13,'Skikda',36.87,6.98,10,39,785),</v>
      </c>
      <c r="R15" t="str">
        <f t="shared" si="1"/>
        <v>(13,13),</v>
      </c>
    </row>
    <row r="16" spans="1:18" ht="24.95" customHeight="1" x14ac:dyDescent="0.3">
      <c r="A16" s="1">
        <v>14</v>
      </c>
      <c r="B16" s="2" t="s">
        <v>1378</v>
      </c>
      <c r="C16" s="47" t="s">
        <v>1155</v>
      </c>
      <c r="D16" s="48" t="s">
        <v>1222</v>
      </c>
      <c r="E16" s="48" t="s">
        <v>1656</v>
      </c>
      <c r="F16" s="48"/>
      <c r="G16" s="2">
        <v>1</v>
      </c>
      <c r="H16" s="2" t="s">
        <v>102</v>
      </c>
      <c r="I16" s="2" t="s">
        <v>1534</v>
      </c>
      <c r="J16" s="2" t="s">
        <v>1535</v>
      </c>
      <c r="K16" s="2">
        <v>130</v>
      </c>
      <c r="L16" s="2">
        <v>39</v>
      </c>
      <c r="M16" s="2">
        <v>1096</v>
      </c>
      <c r="N16" s="2">
        <v>13</v>
      </c>
      <c r="Q16" t="str">
        <f t="shared" si="0"/>
        <v>(14,'Hassi Messaoud',31.61,5.92,130,39,1096),</v>
      </c>
      <c r="R16" t="str">
        <f t="shared" si="1"/>
        <v>(14,13),</v>
      </c>
    </row>
    <row r="17" spans="1:27" ht="24.95" customHeight="1" x14ac:dyDescent="0.3">
      <c r="A17" s="1">
        <v>15</v>
      </c>
      <c r="B17" s="2" t="s">
        <v>1374</v>
      </c>
      <c r="C17" s="47" t="s">
        <v>1156</v>
      </c>
      <c r="D17" s="48" t="s">
        <v>1242</v>
      </c>
      <c r="E17" s="48" t="s">
        <v>1652</v>
      </c>
      <c r="F17" s="48"/>
      <c r="G17" s="2">
        <v>1</v>
      </c>
      <c r="H17" s="2" t="s">
        <v>1157</v>
      </c>
      <c r="I17" s="2" t="s">
        <v>1638</v>
      </c>
      <c r="J17" s="2" t="s">
        <v>1639</v>
      </c>
      <c r="K17" s="2">
        <v>280</v>
      </c>
      <c r="L17" s="2">
        <v>39</v>
      </c>
      <c r="M17" s="2">
        <v>1</v>
      </c>
      <c r="N17" s="2">
        <v>13</v>
      </c>
      <c r="Q17" t="str">
        <f t="shared" si="0"/>
        <v>(15,'Adrar',27.87,-0.29,280,39,1),</v>
      </c>
      <c r="R17" t="str">
        <f t="shared" si="1"/>
        <v>(15,13),</v>
      </c>
    </row>
    <row r="18" spans="1:27" ht="24.95" customHeight="1" x14ac:dyDescent="0.3">
      <c r="A18" s="1">
        <v>16</v>
      </c>
      <c r="B18" s="2" t="s">
        <v>1211</v>
      </c>
      <c r="C18" s="47" t="s">
        <v>1373</v>
      </c>
      <c r="D18" s="48">
        <v>37987</v>
      </c>
      <c r="E18" s="48">
        <v>37987</v>
      </c>
      <c r="F18" s="48"/>
      <c r="G18" s="2">
        <v>1</v>
      </c>
      <c r="H18" s="2" t="s">
        <v>84</v>
      </c>
      <c r="I18" s="2" t="s">
        <v>1640</v>
      </c>
      <c r="J18" s="2" t="s">
        <v>1636</v>
      </c>
      <c r="K18" s="2">
        <v>10</v>
      </c>
      <c r="L18" s="2">
        <v>39</v>
      </c>
      <c r="M18" s="2">
        <v>785</v>
      </c>
      <c r="N18" s="2">
        <v>13</v>
      </c>
      <c r="Q18" t="str">
        <f t="shared" si="0"/>
        <v>(16,'Skikda',36.88,6.98,10,39,785),</v>
      </c>
      <c r="R18" t="str">
        <f t="shared" si="1"/>
        <v>(16,13),</v>
      </c>
    </row>
    <row r="19" spans="1:27" ht="24.95" hidden="1" customHeight="1" x14ac:dyDescent="0.3">
      <c r="A19" s="1">
        <v>17</v>
      </c>
      <c r="B19" s="2" t="s">
        <v>1367</v>
      </c>
      <c r="C19" s="47" t="s">
        <v>1268</v>
      </c>
      <c r="D19" s="48">
        <v>37622</v>
      </c>
      <c r="E19" s="48">
        <v>37622</v>
      </c>
      <c r="F19" s="48"/>
      <c r="G19" s="2">
        <v>1</v>
      </c>
      <c r="H19" s="2" t="s">
        <v>1474</v>
      </c>
      <c r="I19" s="2">
        <v>0</v>
      </c>
      <c r="J19" s="2">
        <v>0</v>
      </c>
      <c r="K19" s="2">
        <v>0</v>
      </c>
      <c r="L19" s="2">
        <v>1</v>
      </c>
      <c r="M19" s="2">
        <v>1</v>
      </c>
      <c r="N19" s="2">
        <v>1</v>
      </c>
      <c r="O19" t="str">
        <f>TEXT(D19,"aaaa-mm-jj")</f>
        <v>Wednesday-01-jj</v>
      </c>
      <c r="Q19" t="str">
        <f>CONCATENATE("(",A19,",",N19,"),")</f>
        <v>(17,1),</v>
      </c>
      <c r="R19" t="s">
        <v>1436</v>
      </c>
      <c r="S19" t="s">
        <v>1437</v>
      </c>
      <c r="Y19" s="50">
        <v>38899</v>
      </c>
      <c r="Z19" s="50">
        <v>38899</v>
      </c>
    </row>
    <row r="20" spans="1:27" ht="24.95" hidden="1" customHeight="1" x14ac:dyDescent="0.3">
      <c r="A20" s="1">
        <v>18</v>
      </c>
      <c r="B20" s="2" t="s">
        <v>1368</v>
      </c>
      <c r="C20" s="47" t="s">
        <v>1269</v>
      </c>
      <c r="D20" s="48">
        <v>37987</v>
      </c>
      <c r="E20" s="48">
        <v>37987</v>
      </c>
      <c r="F20" s="48"/>
      <c r="G20" s="2">
        <v>1</v>
      </c>
      <c r="H20" s="2" t="s">
        <v>1474</v>
      </c>
      <c r="I20" s="2">
        <v>0</v>
      </c>
      <c r="J20" s="2">
        <v>0</v>
      </c>
      <c r="K20" s="2">
        <v>0</v>
      </c>
      <c r="L20" s="2">
        <v>1</v>
      </c>
      <c r="M20" s="2">
        <v>1</v>
      </c>
      <c r="N20" s="2">
        <v>1</v>
      </c>
      <c r="Q20" t="str">
        <f t="shared" ref="Q20:Q83" si="2">CONCATENATE("(",A20,",",N20,"),")</f>
        <v>(18,1),</v>
      </c>
      <c r="S20" t="str">
        <f t="shared" ref="S20:S78" si="3">CONCATENATE("(",A20,",",K20,"),")</f>
        <v>(18,0),</v>
      </c>
      <c r="Y20" s="50">
        <v>23743</v>
      </c>
      <c r="Z20" s="50">
        <v>23743</v>
      </c>
      <c r="AA20" s="50">
        <v>42248</v>
      </c>
    </row>
    <row r="21" spans="1:27" ht="24.95" hidden="1" customHeight="1" x14ac:dyDescent="0.3">
      <c r="A21" s="1">
        <v>19</v>
      </c>
      <c r="B21" s="2" t="s">
        <v>1369</v>
      </c>
      <c r="C21" s="47" t="s">
        <v>1270</v>
      </c>
      <c r="D21" s="48">
        <v>37622</v>
      </c>
      <c r="E21" s="48">
        <v>37622</v>
      </c>
      <c r="F21" s="48"/>
      <c r="G21" s="2">
        <v>1</v>
      </c>
      <c r="H21" s="2" t="s">
        <v>1474</v>
      </c>
      <c r="I21" s="2">
        <v>0</v>
      </c>
      <c r="J21" s="2">
        <v>0</v>
      </c>
      <c r="K21" s="2">
        <v>0</v>
      </c>
      <c r="L21" s="2">
        <v>1</v>
      </c>
      <c r="M21" s="2">
        <v>1</v>
      </c>
      <c r="N21" s="2">
        <v>1</v>
      </c>
      <c r="Q21" t="str">
        <f t="shared" si="2"/>
        <v>(19,1),</v>
      </c>
      <c r="S21" t="str">
        <f t="shared" si="3"/>
        <v>(19,0),</v>
      </c>
      <c r="Y21" s="50">
        <v>28856</v>
      </c>
      <c r="Z21" s="50">
        <v>28856</v>
      </c>
    </row>
    <row r="22" spans="1:27" ht="24.95" hidden="1" customHeight="1" x14ac:dyDescent="0.3">
      <c r="A22" s="1">
        <v>20</v>
      </c>
      <c r="B22" s="2" t="s">
        <v>1370</v>
      </c>
      <c r="C22" s="47" t="s">
        <v>1271</v>
      </c>
      <c r="D22" s="48">
        <v>37987</v>
      </c>
      <c r="E22" s="48">
        <v>37987</v>
      </c>
      <c r="F22" s="48"/>
      <c r="G22" s="2">
        <v>1</v>
      </c>
      <c r="H22" s="2" t="s">
        <v>1474</v>
      </c>
      <c r="I22" s="2">
        <v>0</v>
      </c>
      <c r="J22" s="2">
        <v>0</v>
      </c>
      <c r="K22" s="2">
        <v>0</v>
      </c>
      <c r="L22" s="2">
        <v>1</v>
      </c>
      <c r="M22" s="2">
        <v>1</v>
      </c>
      <c r="N22" s="2">
        <v>1</v>
      </c>
      <c r="Q22" t="str">
        <f t="shared" si="2"/>
        <v>(20,1),</v>
      </c>
      <c r="S22" t="str">
        <f t="shared" si="3"/>
        <v>(20,0),</v>
      </c>
      <c r="Y22" s="50">
        <v>35065</v>
      </c>
      <c r="Z22" s="50">
        <v>35065</v>
      </c>
    </row>
    <row r="23" spans="1:27" ht="24.95" hidden="1" customHeight="1" x14ac:dyDescent="0.3">
      <c r="A23" s="1">
        <v>21</v>
      </c>
      <c r="B23" s="2" t="s">
        <v>1371</v>
      </c>
      <c r="C23" s="47" t="s">
        <v>1272</v>
      </c>
      <c r="D23" s="48">
        <v>37622</v>
      </c>
      <c r="E23" s="48">
        <v>37622</v>
      </c>
      <c r="F23" s="48"/>
      <c r="G23" s="2">
        <v>1</v>
      </c>
      <c r="H23" s="2" t="s">
        <v>1474</v>
      </c>
      <c r="I23" s="2">
        <v>0</v>
      </c>
      <c r="J23" s="2">
        <v>0</v>
      </c>
      <c r="K23" s="2">
        <v>0</v>
      </c>
      <c r="L23" s="2">
        <v>1</v>
      </c>
      <c r="M23" s="2">
        <v>1</v>
      </c>
      <c r="N23" s="2">
        <v>1</v>
      </c>
      <c r="Q23" t="str">
        <f t="shared" si="2"/>
        <v>(21,1),</v>
      </c>
      <c r="S23" t="str">
        <f t="shared" si="3"/>
        <v>(21,0),</v>
      </c>
      <c r="Y23" s="50">
        <v>37898</v>
      </c>
      <c r="Z23" s="50">
        <v>37898</v>
      </c>
    </row>
    <row r="24" spans="1:27" ht="24.95" hidden="1" customHeight="1" x14ac:dyDescent="0.3">
      <c r="A24" s="1">
        <v>22</v>
      </c>
      <c r="B24" s="2" t="s">
        <v>1372</v>
      </c>
      <c r="C24" s="47" t="s">
        <v>1273</v>
      </c>
      <c r="D24" s="48">
        <v>37987</v>
      </c>
      <c r="E24" s="48">
        <v>37987</v>
      </c>
      <c r="F24" s="48"/>
      <c r="G24" s="2">
        <v>1</v>
      </c>
      <c r="H24" s="2" t="s">
        <v>1474</v>
      </c>
      <c r="I24" s="2">
        <v>0</v>
      </c>
      <c r="J24" s="2">
        <v>0</v>
      </c>
      <c r="K24" s="2">
        <v>0</v>
      </c>
      <c r="L24" s="2">
        <v>1</v>
      </c>
      <c r="M24" s="2">
        <v>1</v>
      </c>
      <c r="N24" s="2">
        <v>1</v>
      </c>
      <c r="Q24" t="str">
        <f t="shared" si="2"/>
        <v>(22,1),</v>
      </c>
      <c r="S24" t="str">
        <f t="shared" si="3"/>
        <v>(22,0),</v>
      </c>
      <c r="Y24" s="50">
        <v>26299</v>
      </c>
      <c r="Z24" s="50">
        <v>26299</v>
      </c>
      <c r="AA24" s="50">
        <v>42248</v>
      </c>
    </row>
    <row r="25" spans="1:27" ht="24.95" hidden="1" customHeight="1" x14ac:dyDescent="0.3">
      <c r="A25" s="1">
        <v>23</v>
      </c>
      <c r="B25" s="2" t="s">
        <v>1274</v>
      </c>
      <c r="C25" s="47" t="s">
        <v>1268</v>
      </c>
      <c r="D25" s="48">
        <v>26299</v>
      </c>
      <c r="E25" s="48">
        <v>26299</v>
      </c>
      <c r="F25" s="48"/>
      <c r="G25" s="2">
        <v>1</v>
      </c>
      <c r="H25" s="2" t="s">
        <v>1474</v>
      </c>
      <c r="I25" s="2">
        <v>0</v>
      </c>
      <c r="J25" s="2">
        <v>0</v>
      </c>
      <c r="K25" s="2">
        <v>0</v>
      </c>
      <c r="L25" s="2">
        <v>1</v>
      </c>
      <c r="M25" s="2">
        <v>1</v>
      </c>
      <c r="N25" s="2">
        <v>1</v>
      </c>
      <c r="Q25" t="str">
        <f t="shared" si="2"/>
        <v>(23,1),</v>
      </c>
      <c r="S25" t="str">
        <f t="shared" si="3"/>
        <v>(23,0),</v>
      </c>
      <c r="Y25" s="50">
        <v>28491</v>
      </c>
      <c r="Z25" s="50">
        <v>28491</v>
      </c>
    </row>
    <row r="26" spans="1:27" ht="24.95" hidden="1" customHeight="1" x14ac:dyDescent="0.3">
      <c r="A26" s="1">
        <v>24</v>
      </c>
      <c r="B26" s="2" t="s">
        <v>1281</v>
      </c>
      <c r="C26" s="47" t="s">
        <v>1280</v>
      </c>
      <c r="D26" s="48">
        <v>27760</v>
      </c>
      <c r="E26" s="48">
        <v>27760</v>
      </c>
      <c r="F26" s="48"/>
      <c r="G26" s="2">
        <v>1</v>
      </c>
      <c r="H26" s="2" t="s">
        <v>1474</v>
      </c>
      <c r="I26" s="2">
        <v>0</v>
      </c>
      <c r="J26" s="2">
        <v>0</v>
      </c>
      <c r="K26" s="2">
        <v>0</v>
      </c>
      <c r="L26" s="2">
        <v>1</v>
      </c>
      <c r="M26" s="2">
        <v>1</v>
      </c>
      <c r="N26" s="2">
        <v>1</v>
      </c>
      <c r="Q26" t="str">
        <f t="shared" si="2"/>
        <v>(24,1),</v>
      </c>
      <c r="S26" t="str">
        <f t="shared" si="3"/>
        <v>(24,0),</v>
      </c>
      <c r="Y26" s="50">
        <v>38961</v>
      </c>
      <c r="Z26" s="50">
        <v>38961</v>
      </c>
    </row>
    <row r="27" spans="1:27" ht="24.95" hidden="1" customHeight="1" x14ac:dyDescent="0.3">
      <c r="A27" s="1">
        <v>25</v>
      </c>
      <c r="B27" s="2" t="s">
        <v>1275</v>
      </c>
      <c r="C27" s="47" t="s">
        <v>1279</v>
      </c>
      <c r="D27" s="48">
        <v>26299</v>
      </c>
      <c r="E27" s="48">
        <v>26299</v>
      </c>
      <c r="F27" s="48"/>
      <c r="G27" s="2">
        <v>1</v>
      </c>
      <c r="H27" s="2" t="s">
        <v>1474</v>
      </c>
      <c r="I27" s="2">
        <v>0</v>
      </c>
      <c r="J27" s="2">
        <v>0</v>
      </c>
      <c r="K27" s="2">
        <v>0</v>
      </c>
      <c r="L27" s="2">
        <v>1</v>
      </c>
      <c r="M27" s="2">
        <v>1</v>
      </c>
      <c r="N27" s="2">
        <v>1</v>
      </c>
      <c r="Q27" t="str">
        <f t="shared" si="2"/>
        <v>(25,1),</v>
      </c>
      <c r="S27" t="str">
        <f t="shared" si="3"/>
        <v>(25,0),</v>
      </c>
      <c r="Y27" s="50">
        <v>38031</v>
      </c>
      <c r="Z27" s="50">
        <v>38031</v>
      </c>
    </row>
    <row r="28" spans="1:27" ht="24.95" hidden="1" customHeight="1" x14ac:dyDescent="0.3">
      <c r="A28" s="1">
        <v>26</v>
      </c>
      <c r="B28" s="2" t="s">
        <v>1276</v>
      </c>
      <c r="C28" s="47" t="s">
        <v>1279</v>
      </c>
      <c r="D28" s="48">
        <v>38353</v>
      </c>
      <c r="E28" s="48">
        <v>38353</v>
      </c>
      <c r="F28" s="48"/>
      <c r="G28" s="2">
        <v>1</v>
      </c>
      <c r="H28" s="2" t="s">
        <v>1474</v>
      </c>
      <c r="I28" s="2">
        <v>0</v>
      </c>
      <c r="J28" s="2">
        <v>0</v>
      </c>
      <c r="K28" s="2">
        <v>0</v>
      </c>
      <c r="L28" s="2">
        <v>1</v>
      </c>
      <c r="M28" s="2">
        <v>1</v>
      </c>
      <c r="N28" s="2">
        <v>1</v>
      </c>
      <c r="Q28" t="str">
        <f t="shared" si="2"/>
        <v>(26,1),</v>
      </c>
      <c r="S28" t="str">
        <f t="shared" si="3"/>
        <v>(26,0),</v>
      </c>
      <c r="Y28" s="50">
        <v>38718</v>
      </c>
      <c r="Z28" s="50">
        <v>38718</v>
      </c>
    </row>
    <row r="29" spans="1:27" ht="24.95" hidden="1" customHeight="1" x14ac:dyDescent="0.3">
      <c r="A29" s="1">
        <v>27</v>
      </c>
      <c r="B29" s="2" t="s">
        <v>1277</v>
      </c>
      <c r="C29" s="47" t="s">
        <v>1278</v>
      </c>
      <c r="D29" s="48">
        <v>27760</v>
      </c>
      <c r="E29" s="48">
        <v>27760</v>
      </c>
      <c r="F29" s="48"/>
      <c r="G29" s="2">
        <v>1</v>
      </c>
      <c r="H29" s="2" t="s">
        <v>1474</v>
      </c>
      <c r="I29" s="2">
        <v>0</v>
      </c>
      <c r="J29" s="2">
        <v>0</v>
      </c>
      <c r="K29" s="2">
        <v>0</v>
      </c>
      <c r="L29" s="2">
        <v>1</v>
      </c>
      <c r="M29" s="2">
        <v>1</v>
      </c>
      <c r="N29" s="2">
        <v>1</v>
      </c>
      <c r="Q29" t="str">
        <f t="shared" si="2"/>
        <v>(27,1),</v>
      </c>
      <c r="S29" t="str">
        <f t="shared" si="3"/>
        <v>(27,0),</v>
      </c>
      <c r="Y29" s="50">
        <v>23743</v>
      </c>
      <c r="Z29" s="50">
        <v>23743</v>
      </c>
      <c r="AA29" s="50">
        <v>42248</v>
      </c>
    </row>
    <row r="30" spans="1:27" ht="24.95" hidden="1" customHeight="1" x14ac:dyDescent="0.3">
      <c r="A30" s="1">
        <v>28</v>
      </c>
      <c r="B30" s="2" t="s">
        <v>1283</v>
      </c>
      <c r="C30" s="47" t="s">
        <v>1268</v>
      </c>
      <c r="D30" s="48">
        <v>43647</v>
      </c>
      <c r="E30" s="48">
        <v>43647</v>
      </c>
      <c r="F30" s="48"/>
      <c r="G30" s="2">
        <v>1</v>
      </c>
      <c r="H30" s="2" t="s">
        <v>1474</v>
      </c>
      <c r="I30" s="2">
        <v>0</v>
      </c>
      <c r="J30" s="2">
        <v>0</v>
      </c>
      <c r="K30" s="2">
        <v>0</v>
      </c>
      <c r="L30" s="2">
        <v>1</v>
      </c>
      <c r="M30" s="2">
        <v>1</v>
      </c>
      <c r="N30" s="2">
        <v>1</v>
      </c>
      <c r="Q30" t="str">
        <f t="shared" si="2"/>
        <v>(28,1),</v>
      </c>
      <c r="S30" t="str">
        <f t="shared" si="3"/>
        <v>(28,0),</v>
      </c>
      <c r="Y30" s="50">
        <v>28856</v>
      </c>
      <c r="Z30" s="50">
        <v>28856</v>
      </c>
    </row>
    <row r="31" spans="1:27" ht="24.95" hidden="1" customHeight="1" x14ac:dyDescent="0.3">
      <c r="A31" s="1">
        <v>29</v>
      </c>
      <c r="B31" s="2" t="s">
        <v>1285</v>
      </c>
      <c r="C31" s="47" t="s">
        <v>1280</v>
      </c>
      <c r="D31" s="48">
        <v>39083</v>
      </c>
      <c r="E31" s="48">
        <v>39083</v>
      </c>
      <c r="F31" s="48"/>
      <c r="G31" s="2">
        <v>1</v>
      </c>
      <c r="H31" s="2" t="s">
        <v>1474</v>
      </c>
      <c r="I31" s="2">
        <v>0</v>
      </c>
      <c r="J31" s="2">
        <v>0</v>
      </c>
      <c r="K31" s="2">
        <v>0</v>
      </c>
      <c r="L31" s="2">
        <v>1</v>
      </c>
      <c r="M31" s="2">
        <v>1</v>
      </c>
      <c r="N31" s="2">
        <v>1</v>
      </c>
      <c r="Q31" t="str">
        <f t="shared" si="2"/>
        <v>(29,1),</v>
      </c>
      <c r="S31" t="str">
        <f t="shared" si="3"/>
        <v>(29,0),</v>
      </c>
      <c r="Y31" s="50">
        <v>31413</v>
      </c>
      <c r="Z31" s="50">
        <v>31413</v>
      </c>
      <c r="AA31" s="50">
        <v>36526</v>
      </c>
    </row>
    <row r="32" spans="1:27" ht="24.95" hidden="1" customHeight="1" x14ac:dyDescent="0.3">
      <c r="A32" s="1">
        <v>30</v>
      </c>
      <c r="B32" s="2" t="s">
        <v>1286</v>
      </c>
      <c r="C32" s="47" t="s">
        <v>1284</v>
      </c>
      <c r="D32" s="48">
        <v>39684</v>
      </c>
      <c r="E32" s="48">
        <v>39684</v>
      </c>
      <c r="F32" s="48"/>
      <c r="G32" s="2">
        <v>1</v>
      </c>
      <c r="H32" s="2" t="s">
        <v>1474</v>
      </c>
      <c r="I32" s="2">
        <v>0</v>
      </c>
      <c r="J32" s="2">
        <v>0</v>
      </c>
      <c r="K32" s="2">
        <v>0</v>
      </c>
      <c r="L32" s="2">
        <v>1</v>
      </c>
      <c r="M32" s="2">
        <v>1</v>
      </c>
      <c r="N32" s="2">
        <v>1</v>
      </c>
      <c r="Q32" t="str">
        <f t="shared" si="2"/>
        <v>(30,1),</v>
      </c>
      <c r="S32" t="str">
        <f t="shared" si="3"/>
        <v>(30,0),</v>
      </c>
      <c r="Y32" s="50">
        <v>26299</v>
      </c>
      <c r="Z32" s="50">
        <v>26299</v>
      </c>
      <c r="AA32" s="50">
        <v>42248</v>
      </c>
    </row>
    <row r="33" spans="1:26" ht="24.95" hidden="1" customHeight="1" x14ac:dyDescent="0.3">
      <c r="A33" s="1">
        <v>31</v>
      </c>
      <c r="B33" s="2" t="s">
        <v>1287</v>
      </c>
      <c r="C33" s="47" t="s">
        <v>1288</v>
      </c>
      <c r="D33" s="48">
        <v>39448</v>
      </c>
      <c r="E33" s="48">
        <v>39448</v>
      </c>
      <c r="F33" s="48"/>
      <c r="G33" s="2">
        <v>1</v>
      </c>
      <c r="H33" s="2" t="s">
        <v>1474</v>
      </c>
      <c r="I33" s="2">
        <v>0</v>
      </c>
      <c r="J33" s="2">
        <v>0</v>
      </c>
      <c r="K33" s="2">
        <v>0</v>
      </c>
      <c r="L33" s="2">
        <v>1</v>
      </c>
      <c r="M33" s="2">
        <v>1</v>
      </c>
      <c r="N33" s="2">
        <v>1</v>
      </c>
      <c r="Q33" t="str">
        <f t="shared" si="2"/>
        <v>(31,1),</v>
      </c>
      <c r="S33" t="str">
        <f t="shared" si="3"/>
        <v>(31,0),</v>
      </c>
      <c r="Y33" s="50">
        <v>28491</v>
      </c>
      <c r="Z33" s="50">
        <v>28491</v>
      </c>
    </row>
    <row r="34" spans="1:26" ht="24.95" hidden="1" customHeight="1" x14ac:dyDescent="0.3">
      <c r="A34" s="1">
        <v>32</v>
      </c>
      <c r="B34" s="2" t="s">
        <v>1289</v>
      </c>
      <c r="C34" s="47" t="s">
        <v>1290</v>
      </c>
      <c r="D34" s="48">
        <v>38895</v>
      </c>
      <c r="E34" s="48">
        <v>38895</v>
      </c>
      <c r="F34" s="48"/>
      <c r="G34" s="2">
        <v>1</v>
      </c>
      <c r="H34" s="2" t="s">
        <v>1474</v>
      </c>
      <c r="I34" s="2">
        <v>0</v>
      </c>
      <c r="J34" s="2">
        <v>0</v>
      </c>
      <c r="K34" s="2">
        <v>0</v>
      </c>
      <c r="L34" s="2">
        <v>1</v>
      </c>
      <c r="M34" s="2">
        <v>1</v>
      </c>
      <c r="N34" s="2">
        <v>1</v>
      </c>
      <c r="Q34" t="str">
        <f t="shared" si="2"/>
        <v>(32,1),</v>
      </c>
      <c r="S34" t="str">
        <f t="shared" si="3"/>
        <v>(32,0),</v>
      </c>
      <c r="Y34" s="50">
        <v>28856</v>
      </c>
      <c r="Z34" s="50">
        <v>28856</v>
      </c>
    </row>
    <row r="35" spans="1:26" ht="24.95" hidden="1" customHeight="1" x14ac:dyDescent="0.3">
      <c r="A35" s="1">
        <v>33</v>
      </c>
      <c r="B35" s="2" t="s">
        <v>1291</v>
      </c>
      <c r="C35" s="47" t="s">
        <v>1293</v>
      </c>
      <c r="D35" s="48">
        <v>21916</v>
      </c>
      <c r="E35" s="48">
        <v>21916</v>
      </c>
      <c r="F35" s="48"/>
      <c r="G35" s="2">
        <v>1</v>
      </c>
      <c r="H35" s="2" t="s">
        <v>1474</v>
      </c>
      <c r="I35" s="2">
        <v>0</v>
      </c>
      <c r="J35" s="2">
        <v>0</v>
      </c>
      <c r="K35" s="2">
        <v>0</v>
      </c>
      <c r="L35" s="2">
        <v>1</v>
      </c>
      <c r="M35" s="2">
        <v>1</v>
      </c>
      <c r="N35" s="2">
        <v>1</v>
      </c>
      <c r="Q35" t="str">
        <f t="shared" si="2"/>
        <v>(33,1),</v>
      </c>
      <c r="S35" t="str">
        <f t="shared" si="3"/>
        <v>(33,0),</v>
      </c>
      <c r="Y35" s="50">
        <v>28856</v>
      </c>
      <c r="Z35" s="50">
        <v>28856</v>
      </c>
    </row>
    <row r="36" spans="1:26" ht="24.95" hidden="1" customHeight="1" x14ac:dyDescent="0.3">
      <c r="A36" s="1">
        <v>34</v>
      </c>
      <c r="B36" s="2" t="s">
        <v>1292</v>
      </c>
      <c r="C36" s="47" t="s">
        <v>1294</v>
      </c>
      <c r="D36" s="48">
        <v>21916</v>
      </c>
      <c r="E36" s="48">
        <v>21916</v>
      </c>
      <c r="F36" s="48"/>
      <c r="G36" s="2">
        <v>1</v>
      </c>
      <c r="H36" s="2" t="s">
        <v>1474</v>
      </c>
      <c r="I36" s="2">
        <v>0</v>
      </c>
      <c r="J36" s="2">
        <v>0</v>
      </c>
      <c r="K36" s="2">
        <v>0</v>
      </c>
      <c r="L36" s="2">
        <v>1</v>
      </c>
      <c r="M36" s="2">
        <v>1</v>
      </c>
      <c r="N36" s="2">
        <v>1</v>
      </c>
      <c r="Q36" t="str">
        <f t="shared" si="2"/>
        <v>(34,1),</v>
      </c>
      <c r="S36" t="str">
        <f t="shared" si="3"/>
        <v>(34,0),</v>
      </c>
      <c r="Y36" s="50">
        <v>28491</v>
      </c>
      <c r="Z36" s="50">
        <v>28491</v>
      </c>
    </row>
    <row r="37" spans="1:26" ht="24.95" hidden="1" customHeight="1" x14ac:dyDescent="0.3">
      <c r="A37" s="1">
        <v>35</v>
      </c>
      <c r="B37" s="2" t="s">
        <v>1295</v>
      </c>
      <c r="C37" s="47" t="s">
        <v>1298</v>
      </c>
      <c r="D37" s="48">
        <v>27395</v>
      </c>
      <c r="E37" s="48">
        <v>27395</v>
      </c>
      <c r="F37" s="48"/>
      <c r="G37" s="2">
        <v>2</v>
      </c>
      <c r="H37" s="2" t="s">
        <v>1474</v>
      </c>
      <c r="I37" s="2">
        <v>0</v>
      </c>
      <c r="J37" s="2">
        <v>0</v>
      </c>
      <c r="K37" s="2">
        <v>0</v>
      </c>
      <c r="L37" s="2">
        <v>1</v>
      </c>
      <c r="M37" s="2">
        <v>1</v>
      </c>
      <c r="N37" s="2">
        <v>1</v>
      </c>
      <c r="Q37" t="str">
        <f t="shared" si="2"/>
        <v>(35,1),</v>
      </c>
      <c r="S37" t="str">
        <f t="shared" si="3"/>
        <v>(35,0),</v>
      </c>
      <c r="Y37" s="50">
        <v>28856</v>
      </c>
      <c r="Z37" s="50">
        <v>28856</v>
      </c>
    </row>
    <row r="38" spans="1:26" ht="24.95" hidden="1" customHeight="1" x14ac:dyDescent="0.3">
      <c r="A38" s="1">
        <v>36</v>
      </c>
      <c r="B38" s="2" t="s">
        <v>1296</v>
      </c>
      <c r="C38" s="47" t="s">
        <v>1299</v>
      </c>
      <c r="D38" s="48">
        <v>27395</v>
      </c>
      <c r="E38" s="48">
        <v>27395</v>
      </c>
      <c r="F38" s="48"/>
      <c r="G38" s="2">
        <v>2</v>
      </c>
      <c r="H38" s="2" t="s">
        <v>1474</v>
      </c>
      <c r="I38" s="2">
        <v>0</v>
      </c>
      <c r="J38" s="2">
        <v>0</v>
      </c>
      <c r="K38" s="2">
        <v>0</v>
      </c>
      <c r="L38" s="2">
        <v>1</v>
      </c>
      <c r="M38" s="2">
        <v>1</v>
      </c>
      <c r="N38" s="2">
        <v>1</v>
      </c>
      <c r="Q38" t="str">
        <f t="shared" si="2"/>
        <v>(36,1),</v>
      </c>
      <c r="S38" t="str">
        <f t="shared" si="3"/>
        <v>(36,0),</v>
      </c>
      <c r="Y38" s="50">
        <v>28491</v>
      </c>
      <c r="Z38" s="50">
        <v>28491</v>
      </c>
    </row>
    <row r="39" spans="1:26" ht="24.95" hidden="1" customHeight="1" x14ac:dyDescent="0.3">
      <c r="A39" s="1">
        <v>37</v>
      </c>
      <c r="B39" s="2" t="s">
        <v>1297</v>
      </c>
      <c r="C39" s="47" t="s">
        <v>1300</v>
      </c>
      <c r="D39" s="48">
        <v>27395</v>
      </c>
      <c r="E39" s="48">
        <v>27395</v>
      </c>
      <c r="F39" s="48"/>
      <c r="G39" s="2">
        <v>2</v>
      </c>
      <c r="H39" s="2" t="s">
        <v>1474</v>
      </c>
      <c r="I39" s="2">
        <v>0</v>
      </c>
      <c r="J39" s="2">
        <v>0</v>
      </c>
      <c r="K39" s="2">
        <v>0</v>
      </c>
      <c r="L39" s="2">
        <v>1</v>
      </c>
      <c r="M39" s="2">
        <v>1</v>
      </c>
      <c r="N39" s="2">
        <v>1</v>
      </c>
      <c r="Q39" t="str">
        <f t="shared" si="2"/>
        <v>(37,1),</v>
      </c>
      <c r="S39" t="str">
        <f t="shared" si="3"/>
        <v>(37,0),</v>
      </c>
      <c r="Y39" s="50">
        <v>28856</v>
      </c>
      <c r="Z39" s="50">
        <v>28856</v>
      </c>
    </row>
    <row r="40" spans="1:26" ht="24.95" hidden="1" customHeight="1" x14ac:dyDescent="0.3">
      <c r="A40" s="1">
        <v>38</v>
      </c>
      <c r="B40" s="2" t="s">
        <v>1303</v>
      </c>
      <c r="C40" s="47" t="s">
        <v>1301</v>
      </c>
      <c r="D40" s="48">
        <v>29221</v>
      </c>
      <c r="E40" s="48">
        <v>29221</v>
      </c>
      <c r="F40" s="48"/>
      <c r="G40" s="2">
        <v>1</v>
      </c>
      <c r="H40" s="2" t="s">
        <v>1474</v>
      </c>
      <c r="I40" s="2">
        <v>0</v>
      </c>
      <c r="J40" s="2">
        <v>0</v>
      </c>
      <c r="K40" s="2">
        <v>0</v>
      </c>
      <c r="L40" s="2">
        <v>1</v>
      </c>
      <c r="M40" s="2">
        <v>1</v>
      </c>
      <c r="N40" s="2">
        <v>1</v>
      </c>
      <c r="Q40" t="str">
        <f t="shared" si="2"/>
        <v>(38,1),</v>
      </c>
      <c r="S40" t="str">
        <f t="shared" si="3"/>
        <v>(38,0),</v>
      </c>
      <c r="Y40" s="50">
        <v>43101</v>
      </c>
      <c r="Z40" s="50">
        <v>43101</v>
      </c>
    </row>
    <row r="41" spans="1:26" ht="24.95" hidden="1" customHeight="1" x14ac:dyDescent="0.3">
      <c r="A41" s="1">
        <v>39</v>
      </c>
      <c r="B41" s="2" t="s">
        <v>1304</v>
      </c>
      <c r="C41" s="47" t="s">
        <v>1302</v>
      </c>
      <c r="D41" s="48">
        <v>37691</v>
      </c>
      <c r="E41" s="48">
        <v>37691</v>
      </c>
      <c r="F41" s="48"/>
      <c r="G41" s="2">
        <v>1</v>
      </c>
      <c r="H41" s="2" t="s">
        <v>1474</v>
      </c>
      <c r="I41" s="2">
        <v>0</v>
      </c>
      <c r="J41" s="2">
        <v>0</v>
      </c>
      <c r="K41" s="2">
        <v>0</v>
      </c>
      <c r="L41" s="2">
        <v>1</v>
      </c>
      <c r="M41" s="2">
        <v>1</v>
      </c>
      <c r="N41" s="2">
        <v>1</v>
      </c>
      <c r="Q41" t="str">
        <f t="shared" si="2"/>
        <v>(39,1),</v>
      </c>
      <c r="S41" t="str">
        <f t="shared" si="3"/>
        <v>(39,0),</v>
      </c>
      <c r="Y41" s="50">
        <v>42736</v>
      </c>
      <c r="Z41" s="50">
        <v>42736</v>
      </c>
    </row>
    <row r="42" spans="1:26" ht="24.95" hidden="1" customHeight="1" x14ac:dyDescent="0.3">
      <c r="A42" s="1">
        <v>40</v>
      </c>
      <c r="B42" s="2" t="s">
        <v>1306</v>
      </c>
      <c r="C42" s="47" t="s">
        <v>1305</v>
      </c>
      <c r="D42" s="48">
        <v>37927</v>
      </c>
      <c r="E42" s="48">
        <v>37927</v>
      </c>
      <c r="F42" s="48"/>
      <c r="G42" s="2">
        <v>1</v>
      </c>
      <c r="H42" s="2" t="s">
        <v>1474</v>
      </c>
      <c r="I42" s="2">
        <v>0</v>
      </c>
      <c r="J42" s="2">
        <v>0</v>
      </c>
      <c r="K42" s="2">
        <v>0</v>
      </c>
      <c r="L42" s="2">
        <v>1</v>
      </c>
      <c r="M42" s="2">
        <v>1</v>
      </c>
      <c r="N42" s="2">
        <v>1</v>
      </c>
      <c r="Q42" t="str">
        <f t="shared" si="2"/>
        <v>(40,1),</v>
      </c>
      <c r="S42" t="str">
        <f t="shared" si="3"/>
        <v>(40,0),</v>
      </c>
      <c r="Y42" s="50">
        <v>39234</v>
      </c>
      <c r="Z42" s="50">
        <v>39234</v>
      </c>
    </row>
    <row r="43" spans="1:26" ht="24.95" hidden="1" customHeight="1" x14ac:dyDescent="0.3">
      <c r="A43" s="1">
        <v>41</v>
      </c>
      <c r="B43" s="2" t="s">
        <v>1308</v>
      </c>
      <c r="C43" s="47" t="s">
        <v>1307</v>
      </c>
      <c r="D43" s="48">
        <v>37721</v>
      </c>
      <c r="E43" s="48">
        <v>39448</v>
      </c>
      <c r="F43" s="48"/>
      <c r="G43" s="2">
        <v>1</v>
      </c>
      <c r="H43" s="2" t="s">
        <v>1474</v>
      </c>
      <c r="I43" s="2">
        <v>0</v>
      </c>
      <c r="J43" s="2">
        <v>0</v>
      </c>
      <c r="K43" s="2">
        <v>0</v>
      </c>
      <c r="L43" s="2">
        <v>1</v>
      </c>
      <c r="M43" s="2">
        <v>1</v>
      </c>
      <c r="N43" s="2">
        <v>1</v>
      </c>
      <c r="Q43" t="str">
        <f t="shared" si="2"/>
        <v>(41,1),</v>
      </c>
      <c r="S43" t="str">
        <f t="shared" si="3"/>
        <v>(41,0),</v>
      </c>
      <c r="Y43" s="50">
        <v>39083</v>
      </c>
      <c r="Z43" s="50">
        <v>39083</v>
      </c>
    </row>
    <row r="44" spans="1:26" ht="24.95" hidden="1" customHeight="1" x14ac:dyDescent="0.3">
      <c r="A44" s="1">
        <v>42</v>
      </c>
      <c r="B44" s="2" t="s">
        <v>1309</v>
      </c>
      <c r="C44" s="47" t="s">
        <v>1271</v>
      </c>
      <c r="D44" s="48">
        <v>28795</v>
      </c>
      <c r="E44" s="48">
        <v>28795</v>
      </c>
      <c r="F44" s="48"/>
      <c r="G44" s="2">
        <v>1</v>
      </c>
      <c r="H44" s="2" t="s">
        <v>1474</v>
      </c>
      <c r="I44" s="2">
        <v>0</v>
      </c>
      <c r="J44" s="2">
        <v>0</v>
      </c>
      <c r="K44" s="2">
        <v>0</v>
      </c>
      <c r="L44" s="2">
        <v>1</v>
      </c>
      <c r="M44" s="2">
        <v>1</v>
      </c>
      <c r="N44" s="2">
        <v>1</v>
      </c>
      <c r="Q44" t="str">
        <f t="shared" si="2"/>
        <v>(42,1),</v>
      </c>
      <c r="S44" t="str">
        <f t="shared" si="3"/>
        <v>(42,0),</v>
      </c>
      <c r="Y44" s="50">
        <v>43132</v>
      </c>
      <c r="Z44" s="50">
        <v>43132</v>
      </c>
    </row>
    <row r="45" spans="1:26" ht="24.95" hidden="1" customHeight="1" x14ac:dyDescent="0.3">
      <c r="A45" s="1">
        <v>43</v>
      </c>
      <c r="B45" s="2" t="s">
        <v>1310</v>
      </c>
      <c r="C45" s="47" t="s">
        <v>1272</v>
      </c>
      <c r="D45" s="48">
        <v>28795</v>
      </c>
      <c r="E45" s="48">
        <v>28795</v>
      </c>
      <c r="F45" s="48"/>
      <c r="G45" s="2">
        <v>1</v>
      </c>
      <c r="H45" s="2" t="s">
        <v>1474</v>
      </c>
      <c r="I45" s="2">
        <v>0</v>
      </c>
      <c r="J45" s="2">
        <v>0</v>
      </c>
      <c r="K45" s="2">
        <v>0</v>
      </c>
      <c r="L45" s="2">
        <v>1</v>
      </c>
      <c r="M45" s="2">
        <v>1</v>
      </c>
      <c r="N45" s="2">
        <v>1</v>
      </c>
      <c r="Q45" t="str">
        <f t="shared" si="2"/>
        <v>(43,1),</v>
      </c>
      <c r="S45" t="str">
        <f t="shared" si="3"/>
        <v>(43,0),</v>
      </c>
      <c r="Y45" s="50">
        <v>30714</v>
      </c>
      <c r="Z45" s="50">
        <v>30714</v>
      </c>
    </row>
    <row r="46" spans="1:26" ht="24.95" hidden="1" customHeight="1" x14ac:dyDescent="0.3">
      <c r="A46" s="1">
        <v>44</v>
      </c>
      <c r="B46" s="2" t="s">
        <v>1311</v>
      </c>
      <c r="C46" s="47" t="s">
        <v>1312</v>
      </c>
      <c r="D46" s="48">
        <v>28795</v>
      </c>
      <c r="E46" s="48">
        <v>28795</v>
      </c>
      <c r="F46" s="48"/>
      <c r="G46" s="2">
        <v>1</v>
      </c>
      <c r="H46" s="2" t="s">
        <v>1474</v>
      </c>
      <c r="I46" s="2">
        <v>0</v>
      </c>
      <c r="J46" s="2">
        <v>0</v>
      </c>
      <c r="K46" s="2">
        <v>0</v>
      </c>
      <c r="L46" s="2">
        <v>1</v>
      </c>
      <c r="M46" s="2">
        <v>1</v>
      </c>
      <c r="N46" s="2">
        <v>1</v>
      </c>
      <c r="Q46" t="str">
        <f t="shared" si="2"/>
        <v>(44,1),</v>
      </c>
      <c r="S46" t="str">
        <f t="shared" si="3"/>
        <v>(44,0),</v>
      </c>
      <c r="Y46" s="50">
        <v>38997</v>
      </c>
      <c r="Z46" s="50">
        <v>38997</v>
      </c>
    </row>
    <row r="47" spans="1:26" ht="24.95" hidden="1" customHeight="1" x14ac:dyDescent="0.3">
      <c r="A47" s="1">
        <v>45</v>
      </c>
      <c r="B47" s="2" t="s">
        <v>1313</v>
      </c>
      <c r="C47" s="47" t="s">
        <v>1268</v>
      </c>
      <c r="D47" s="48">
        <v>39814</v>
      </c>
      <c r="E47" s="48">
        <v>39814</v>
      </c>
      <c r="F47" s="48"/>
      <c r="G47" s="2">
        <v>1</v>
      </c>
      <c r="H47" s="2" t="s">
        <v>1474</v>
      </c>
      <c r="I47" s="2">
        <v>0</v>
      </c>
      <c r="J47" s="2">
        <v>0</v>
      </c>
      <c r="K47" s="2">
        <v>0</v>
      </c>
      <c r="L47" s="2">
        <v>1</v>
      </c>
      <c r="M47" s="2">
        <v>1</v>
      </c>
      <c r="N47" s="2">
        <v>1</v>
      </c>
      <c r="Q47" t="str">
        <f t="shared" si="2"/>
        <v>(45,1),</v>
      </c>
      <c r="S47" t="str">
        <f t="shared" si="3"/>
        <v>(45,0),</v>
      </c>
      <c r="Y47" s="50">
        <v>39387</v>
      </c>
      <c r="Z47" s="50">
        <v>39387</v>
      </c>
    </row>
    <row r="48" spans="1:26" ht="24.95" hidden="1" customHeight="1" x14ac:dyDescent="0.3">
      <c r="A48" s="1">
        <v>46</v>
      </c>
      <c r="B48" s="2" t="s">
        <v>1314</v>
      </c>
      <c r="C48" s="47" t="s">
        <v>1284</v>
      </c>
      <c r="D48" s="48">
        <v>39814</v>
      </c>
      <c r="E48" s="48">
        <v>39814</v>
      </c>
      <c r="F48" s="48"/>
      <c r="G48" s="2">
        <v>1</v>
      </c>
      <c r="H48" s="2" t="s">
        <v>1474</v>
      </c>
      <c r="I48" s="2">
        <v>0</v>
      </c>
      <c r="J48" s="2">
        <v>0</v>
      </c>
      <c r="K48" s="2">
        <v>0</v>
      </c>
      <c r="L48" s="2">
        <v>1</v>
      </c>
      <c r="M48" s="2">
        <v>1</v>
      </c>
      <c r="N48" s="2">
        <v>1</v>
      </c>
      <c r="Q48" t="str">
        <f t="shared" si="2"/>
        <v>(46,1),</v>
      </c>
      <c r="S48" t="str">
        <f t="shared" si="3"/>
        <v>(46,0),</v>
      </c>
      <c r="Y48" s="50">
        <v>39814</v>
      </c>
      <c r="Z48" s="50">
        <v>39814</v>
      </c>
    </row>
    <row r="49" spans="1:26" ht="24.95" hidden="1" customHeight="1" x14ac:dyDescent="0.3">
      <c r="A49" s="1">
        <v>47</v>
      </c>
      <c r="B49" s="2" t="s">
        <v>1315</v>
      </c>
      <c r="C49" s="47" t="s">
        <v>1271</v>
      </c>
      <c r="D49" s="48">
        <v>30714</v>
      </c>
      <c r="E49" s="48">
        <v>30714</v>
      </c>
      <c r="F49" s="48"/>
      <c r="G49" s="2">
        <v>1</v>
      </c>
      <c r="H49" s="2" t="s">
        <v>1474</v>
      </c>
      <c r="I49" s="2">
        <v>0</v>
      </c>
      <c r="J49" s="2">
        <v>0</v>
      </c>
      <c r="K49" s="2">
        <v>0</v>
      </c>
      <c r="L49" s="2">
        <v>1</v>
      </c>
      <c r="M49" s="2">
        <v>1</v>
      </c>
      <c r="N49" s="2">
        <v>1</v>
      </c>
      <c r="Q49" t="str">
        <f t="shared" si="2"/>
        <v>(47,1),</v>
      </c>
      <c r="S49" t="str">
        <f t="shared" si="3"/>
        <v>(47,0),</v>
      </c>
      <c r="Y49" s="50">
        <v>38895</v>
      </c>
      <c r="Z49" s="50">
        <v>38895</v>
      </c>
    </row>
    <row r="50" spans="1:26" ht="24.95" hidden="1" customHeight="1" x14ac:dyDescent="0.3">
      <c r="A50" s="1">
        <v>48</v>
      </c>
      <c r="B50" s="2" t="s">
        <v>1435</v>
      </c>
      <c r="C50" s="47" t="s">
        <v>1272</v>
      </c>
      <c r="D50" s="48">
        <v>38997</v>
      </c>
      <c r="E50" s="48">
        <v>38997</v>
      </c>
      <c r="F50" s="48"/>
      <c r="G50" s="2">
        <v>1</v>
      </c>
      <c r="H50" s="2" t="s">
        <v>1474</v>
      </c>
      <c r="I50" s="2">
        <v>0</v>
      </c>
      <c r="J50" s="2">
        <v>0</v>
      </c>
      <c r="K50" s="2">
        <v>0</v>
      </c>
      <c r="L50" s="2">
        <v>1</v>
      </c>
      <c r="M50" s="2">
        <v>1</v>
      </c>
      <c r="N50" s="2">
        <v>1</v>
      </c>
      <c r="Q50" t="str">
        <f t="shared" si="2"/>
        <v>(48,1),</v>
      </c>
      <c r="S50" t="str">
        <f t="shared" si="3"/>
        <v>(48,0),</v>
      </c>
      <c r="Y50" s="50">
        <v>37927</v>
      </c>
      <c r="Z50" s="50">
        <v>37927</v>
      </c>
    </row>
    <row r="51" spans="1:26" ht="24.95" hidden="1" customHeight="1" x14ac:dyDescent="0.3">
      <c r="A51" s="1">
        <v>49</v>
      </c>
      <c r="B51" s="2" t="s">
        <v>1316</v>
      </c>
      <c r="C51" s="47" t="s">
        <v>1271</v>
      </c>
      <c r="D51" s="48">
        <v>39387</v>
      </c>
      <c r="E51" s="48">
        <v>39387</v>
      </c>
      <c r="F51" s="48"/>
      <c r="G51" s="2">
        <v>1</v>
      </c>
      <c r="H51" s="2" t="s">
        <v>1474</v>
      </c>
      <c r="I51" s="2">
        <v>0</v>
      </c>
      <c r="J51" s="2">
        <v>0</v>
      </c>
      <c r="K51" s="2">
        <v>0</v>
      </c>
      <c r="L51" s="2">
        <v>1</v>
      </c>
      <c r="M51" s="2">
        <v>1</v>
      </c>
      <c r="N51" s="2">
        <v>1</v>
      </c>
      <c r="Q51" t="str">
        <f t="shared" si="2"/>
        <v>(49,1),</v>
      </c>
      <c r="S51" t="str">
        <f t="shared" si="3"/>
        <v>(49,0),</v>
      </c>
      <c r="Y51" s="50">
        <v>26299</v>
      </c>
      <c r="Z51" s="50">
        <v>26299</v>
      </c>
    </row>
    <row r="52" spans="1:26" ht="24.95" hidden="1" customHeight="1" x14ac:dyDescent="0.3">
      <c r="A52" s="1">
        <v>50</v>
      </c>
      <c r="B52" s="2" t="s">
        <v>1318</v>
      </c>
      <c r="C52" s="47" t="s">
        <v>1317</v>
      </c>
      <c r="D52" s="48">
        <v>36462</v>
      </c>
      <c r="E52" s="48">
        <v>36462</v>
      </c>
      <c r="F52" s="48"/>
      <c r="G52" s="2">
        <v>1</v>
      </c>
      <c r="H52" s="2" t="s">
        <v>1474</v>
      </c>
      <c r="I52" s="2">
        <v>0</v>
      </c>
      <c r="J52" s="2">
        <v>0</v>
      </c>
      <c r="K52" s="2">
        <v>0</v>
      </c>
      <c r="L52" s="2">
        <v>1</v>
      </c>
      <c r="M52" s="2">
        <v>1</v>
      </c>
      <c r="N52" s="2">
        <v>1</v>
      </c>
      <c r="Q52" t="str">
        <f t="shared" si="2"/>
        <v>(50,1),</v>
      </c>
      <c r="S52" t="str">
        <f t="shared" si="3"/>
        <v>(50,0),</v>
      </c>
      <c r="Y52" s="50">
        <v>21916</v>
      </c>
      <c r="Z52" s="50">
        <v>21916</v>
      </c>
    </row>
    <row r="53" spans="1:26" ht="24.95" hidden="1" customHeight="1" x14ac:dyDescent="0.3">
      <c r="A53" s="1">
        <v>51</v>
      </c>
      <c r="B53" s="2" t="s">
        <v>1319</v>
      </c>
      <c r="C53" s="47" t="s">
        <v>1268</v>
      </c>
      <c r="D53" s="48">
        <v>43132</v>
      </c>
      <c r="E53" s="48">
        <v>43132</v>
      </c>
      <c r="F53" s="48"/>
      <c r="G53" s="2">
        <v>1</v>
      </c>
      <c r="H53" s="2" t="s">
        <v>1474</v>
      </c>
      <c r="I53" s="2">
        <v>0</v>
      </c>
      <c r="J53" s="2">
        <v>0</v>
      </c>
      <c r="K53" s="2">
        <v>0</v>
      </c>
      <c r="L53" s="2">
        <v>1</v>
      </c>
      <c r="M53" s="2">
        <v>1</v>
      </c>
      <c r="N53" s="2">
        <v>1</v>
      </c>
      <c r="O53" t="s">
        <v>1432</v>
      </c>
      <c r="Q53" t="str">
        <f t="shared" si="2"/>
        <v>(51,1),</v>
      </c>
      <c r="S53" t="str">
        <f t="shared" si="3"/>
        <v>(51,0),</v>
      </c>
      <c r="Y53" s="50">
        <v>37622</v>
      </c>
      <c r="Z53" s="50">
        <v>37622</v>
      </c>
    </row>
    <row r="54" spans="1:26" ht="24.95" hidden="1" customHeight="1" x14ac:dyDescent="0.3">
      <c r="A54" s="1">
        <v>52</v>
      </c>
      <c r="B54" s="2" t="s">
        <v>1320</v>
      </c>
      <c r="C54" s="47" t="s">
        <v>1269</v>
      </c>
      <c r="D54" s="48">
        <v>35065</v>
      </c>
      <c r="E54" s="48">
        <v>35065</v>
      </c>
      <c r="F54" s="48"/>
      <c r="G54" s="2">
        <v>1</v>
      </c>
      <c r="H54" s="2" t="s">
        <v>1474</v>
      </c>
      <c r="I54" s="2">
        <v>0</v>
      </c>
      <c r="J54" s="2">
        <v>0</v>
      </c>
      <c r="K54" s="2">
        <v>0</v>
      </c>
      <c r="L54" s="2">
        <v>1</v>
      </c>
      <c r="M54" s="2">
        <v>1</v>
      </c>
      <c r="N54" s="2">
        <v>1</v>
      </c>
      <c r="Q54" t="str">
        <f t="shared" si="2"/>
        <v>(52,1),</v>
      </c>
      <c r="S54" t="str">
        <f t="shared" si="3"/>
        <v>(52,0),</v>
      </c>
      <c r="Y54" s="50">
        <v>43647</v>
      </c>
      <c r="Z54" s="50">
        <v>43647</v>
      </c>
    </row>
    <row r="55" spans="1:26" ht="24.95" hidden="1" customHeight="1" x14ac:dyDescent="0.3">
      <c r="A55" s="1">
        <v>53</v>
      </c>
      <c r="B55" s="2" t="s">
        <v>1325</v>
      </c>
      <c r="C55" s="47" t="s">
        <v>1321</v>
      </c>
      <c r="D55" s="48">
        <v>23743</v>
      </c>
      <c r="E55" s="48">
        <v>23743</v>
      </c>
      <c r="F55" s="48">
        <v>42248</v>
      </c>
      <c r="G55" s="2">
        <v>8</v>
      </c>
      <c r="H55" s="2" t="s">
        <v>1474</v>
      </c>
      <c r="I55" s="2">
        <v>0</v>
      </c>
      <c r="J55" s="2">
        <v>0</v>
      </c>
      <c r="K55" s="2">
        <v>0</v>
      </c>
      <c r="L55" s="2">
        <v>1</v>
      </c>
      <c r="M55" s="2">
        <v>1</v>
      </c>
      <c r="N55" s="2">
        <v>2</v>
      </c>
      <c r="Q55" t="str">
        <f t="shared" si="2"/>
        <v>(53,2),</v>
      </c>
      <c r="S55" t="str">
        <f t="shared" si="3"/>
        <v>(53,0),</v>
      </c>
      <c r="Y55" s="50">
        <v>35065</v>
      </c>
      <c r="Z55" s="50">
        <v>35065</v>
      </c>
    </row>
    <row r="56" spans="1:26" ht="24.95" hidden="1" customHeight="1" x14ac:dyDescent="0.3">
      <c r="A56" s="1">
        <v>54</v>
      </c>
      <c r="B56" s="2" t="s">
        <v>1326</v>
      </c>
      <c r="C56" s="47" t="s">
        <v>1322</v>
      </c>
      <c r="D56" s="48">
        <v>26299</v>
      </c>
      <c r="E56" s="48">
        <v>26299</v>
      </c>
      <c r="F56" s="48">
        <v>42248</v>
      </c>
      <c r="G56" s="2">
        <v>8</v>
      </c>
      <c r="H56" s="2" t="s">
        <v>1474</v>
      </c>
      <c r="I56" s="2">
        <v>0</v>
      </c>
      <c r="J56" s="2">
        <v>0</v>
      </c>
      <c r="K56" s="2">
        <v>0</v>
      </c>
      <c r="L56" s="2">
        <v>1</v>
      </c>
      <c r="M56" s="2">
        <v>1</v>
      </c>
      <c r="N56" s="2">
        <v>2</v>
      </c>
      <c r="Q56" t="str">
        <f t="shared" si="2"/>
        <v>(54,2),</v>
      </c>
      <c r="S56" t="str">
        <f t="shared" si="3"/>
        <v>(54,0),</v>
      </c>
      <c r="Y56" s="50">
        <v>39684</v>
      </c>
      <c r="Z56" s="50">
        <v>39684</v>
      </c>
    </row>
    <row r="57" spans="1:26" ht="24.95" hidden="1" customHeight="1" x14ac:dyDescent="0.3">
      <c r="A57" s="1">
        <v>55</v>
      </c>
      <c r="B57" s="2" t="s">
        <v>1327</v>
      </c>
      <c r="C57" s="47" t="s">
        <v>1323</v>
      </c>
      <c r="D57" s="48">
        <v>23743</v>
      </c>
      <c r="E57" s="48">
        <v>23743</v>
      </c>
      <c r="F57" s="48">
        <v>42248</v>
      </c>
      <c r="G57" s="2">
        <v>8</v>
      </c>
      <c r="H57" s="2" t="s">
        <v>1474</v>
      </c>
      <c r="I57" s="2">
        <v>0</v>
      </c>
      <c r="J57" s="2">
        <v>0</v>
      </c>
      <c r="K57" s="2">
        <v>0</v>
      </c>
      <c r="L57" s="2">
        <v>1</v>
      </c>
      <c r="M57" s="2">
        <v>1</v>
      </c>
      <c r="N57" s="2">
        <v>2</v>
      </c>
      <c r="Q57" t="str">
        <f t="shared" si="2"/>
        <v>(55,2),</v>
      </c>
      <c r="S57" t="str">
        <f t="shared" si="3"/>
        <v>(55,0),</v>
      </c>
      <c r="Y57" s="50">
        <v>37721</v>
      </c>
      <c r="Z57" s="50">
        <v>39448</v>
      </c>
    </row>
    <row r="58" spans="1:26" ht="24.95" hidden="1" customHeight="1" x14ac:dyDescent="0.3">
      <c r="A58" s="1">
        <v>56</v>
      </c>
      <c r="B58" s="2" t="s">
        <v>1328</v>
      </c>
      <c r="C58" s="47" t="s">
        <v>1324</v>
      </c>
      <c r="D58" s="48">
        <v>26299</v>
      </c>
      <c r="E58" s="48">
        <v>26299</v>
      </c>
      <c r="F58" s="48">
        <v>42248</v>
      </c>
      <c r="G58" s="2">
        <v>8</v>
      </c>
      <c r="H58" s="2" t="s">
        <v>1474</v>
      </c>
      <c r="I58" s="2">
        <v>0</v>
      </c>
      <c r="J58" s="2">
        <v>0</v>
      </c>
      <c r="K58" s="2">
        <v>0</v>
      </c>
      <c r="L58" s="2">
        <v>1</v>
      </c>
      <c r="M58" s="2">
        <v>1</v>
      </c>
      <c r="N58" s="2">
        <v>2</v>
      </c>
      <c r="Q58" t="str">
        <f t="shared" si="2"/>
        <v>(56,2),</v>
      </c>
      <c r="S58" t="str">
        <f t="shared" si="3"/>
        <v>(56,0),</v>
      </c>
      <c r="Y58" s="50">
        <v>27760</v>
      </c>
      <c r="Z58" s="50">
        <v>27760</v>
      </c>
    </row>
    <row r="59" spans="1:26" ht="24.95" hidden="1" customHeight="1" x14ac:dyDescent="0.3">
      <c r="A59" s="1">
        <v>57</v>
      </c>
      <c r="B59" s="2" t="s">
        <v>1333</v>
      </c>
      <c r="C59" s="47" t="s">
        <v>1329</v>
      </c>
      <c r="D59" s="48">
        <v>28856</v>
      </c>
      <c r="E59" s="48">
        <v>28856</v>
      </c>
      <c r="F59" s="48"/>
      <c r="G59" s="2">
        <v>1</v>
      </c>
      <c r="H59" s="2" t="s">
        <v>1474</v>
      </c>
      <c r="I59" s="2">
        <v>0</v>
      </c>
      <c r="J59" s="2">
        <v>0</v>
      </c>
      <c r="K59" s="2">
        <v>0</v>
      </c>
      <c r="L59" s="2">
        <v>1</v>
      </c>
      <c r="M59" s="2">
        <v>1</v>
      </c>
      <c r="N59" s="2">
        <v>2</v>
      </c>
      <c r="Q59" t="str">
        <f t="shared" si="2"/>
        <v>(57,2),</v>
      </c>
      <c r="S59" t="str">
        <f t="shared" si="3"/>
        <v>(57,0),</v>
      </c>
      <c r="Y59" s="50">
        <v>21916</v>
      </c>
      <c r="Z59" s="50">
        <v>21916</v>
      </c>
    </row>
    <row r="60" spans="1:26" ht="24.95" hidden="1" customHeight="1" x14ac:dyDescent="0.3">
      <c r="A60" s="1">
        <v>58</v>
      </c>
      <c r="B60" s="2" t="s">
        <v>1334</v>
      </c>
      <c r="C60" s="47" t="s">
        <v>1330</v>
      </c>
      <c r="D60" s="48">
        <v>28491</v>
      </c>
      <c r="E60" s="48">
        <v>28491</v>
      </c>
      <c r="F60" s="48"/>
      <c r="G60" s="2">
        <v>1</v>
      </c>
      <c r="H60" s="2" t="s">
        <v>1474</v>
      </c>
      <c r="I60" s="2">
        <v>0</v>
      </c>
      <c r="J60" s="2">
        <v>0</v>
      </c>
      <c r="K60" s="2">
        <v>0</v>
      </c>
      <c r="L60" s="2">
        <v>1</v>
      </c>
      <c r="M60" s="2">
        <v>1</v>
      </c>
      <c r="N60" s="2">
        <v>2</v>
      </c>
      <c r="Q60" t="str">
        <f t="shared" si="2"/>
        <v>(58,2),</v>
      </c>
      <c r="S60" t="str">
        <f t="shared" si="3"/>
        <v>(58,0),</v>
      </c>
      <c r="Y60" s="50">
        <v>37987</v>
      </c>
      <c r="Z60" s="50">
        <v>37987</v>
      </c>
    </row>
    <row r="61" spans="1:26" ht="24.95" hidden="1" customHeight="1" x14ac:dyDescent="0.3">
      <c r="A61" s="1">
        <v>59</v>
      </c>
      <c r="B61" s="2" t="s">
        <v>1335</v>
      </c>
      <c r="C61" s="47" t="s">
        <v>1322</v>
      </c>
      <c r="D61" s="48">
        <v>28856</v>
      </c>
      <c r="E61" s="48">
        <v>28856</v>
      </c>
      <c r="F61" s="48"/>
      <c r="G61" s="2">
        <v>1</v>
      </c>
      <c r="H61" s="2" t="s">
        <v>1474</v>
      </c>
      <c r="I61" s="2">
        <v>0</v>
      </c>
      <c r="J61" s="2">
        <v>0</v>
      </c>
      <c r="K61" s="2">
        <v>0</v>
      </c>
      <c r="L61" s="2">
        <v>1</v>
      </c>
      <c r="M61" s="2">
        <v>1</v>
      </c>
      <c r="N61" s="2">
        <v>2</v>
      </c>
      <c r="Q61" t="str">
        <f t="shared" si="2"/>
        <v>(59,2),</v>
      </c>
      <c r="S61" t="str">
        <f t="shared" si="3"/>
        <v>(59,0),</v>
      </c>
      <c r="Y61" s="50">
        <v>38353</v>
      </c>
      <c r="Z61" s="50">
        <v>38353</v>
      </c>
    </row>
    <row r="62" spans="1:26" ht="24.95" hidden="1" customHeight="1" x14ac:dyDescent="0.3">
      <c r="A62" s="1">
        <v>60</v>
      </c>
      <c r="B62" s="2" t="s">
        <v>1336</v>
      </c>
      <c r="C62" s="47" t="s">
        <v>1331</v>
      </c>
      <c r="D62" s="48">
        <v>28491</v>
      </c>
      <c r="E62" s="48">
        <v>28491</v>
      </c>
      <c r="F62" s="48"/>
      <c r="G62" s="2">
        <v>1</v>
      </c>
      <c r="H62" s="2" t="s">
        <v>1474</v>
      </c>
      <c r="I62" s="2">
        <v>0</v>
      </c>
      <c r="J62" s="2">
        <v>0</v>
      </c>
      <c r="K62" s="2">
        <v>0</v>
      </c>
      <c r="L62" s="2">
        <v>1</v>
      </c>
      <c r="M62" s="2">
        <v>1</v>
      </c>
      <c r="N62" s="2">
        <v>2</v>
      </c>
      <c r="Q62" t="str">
        <f t="shared" si="2"/>
        <v>(60,2),</v>
      </c>
      <c r="S62" t="str">
        <f t="shared" si="3"/>
        <v>(60,0),</v>
      </c>
      <c r="Y62" s="50">
        <v>39814</v>
      </c>
      <c r="Z62" s="50">
        <v>39814</v>
      </c>
    </row>
    <row r="63" spans="1:26" ht="24.95" hidden="1" customHeight="1" x14ac:dyDescent="0.3">
      <c r="A63" s="1">
        <v>61</v>
      </c>
      <c r="B63" s="2" t="s">
        <v>1337</v>
      </c>
      <c r="C63" s="47" t="s">
        <v>1332</v>
      </c>
      <c r="D63" s="48">
        <v>28856</v>
      </c>
      <c r="E63" s="48">
        <v>28856</v>
      </c>
      <c r="F63" s="48"/>
      <c r="G63" s="2">
        <v>1</v>
      </c>
      <c r="H63" s="2" t="s">
        <v>1474</v>
      </c>
      <c r="I63" s="2">
        <v>0</v>
      </c>
      <c r="J63" s="2">
        <v>0</v>
      </c>
      <c r="K63" s="2">
        <v>0</v>
      </c>
      <c r="L63" s="2">
        <v>1</v>
      </c>
      <c r="M63" s="2">
        <v>1</v>
      </c>
      <c r="N63" s="2">
        <v>2</v>
      </c>
      <c r="Q63" t="str">
        <f t="shared" si="2"/>
        <v>(61,2),</v>
      </c>
      <c r="S63" t="str">
        <f t="shared" si="3"/>
        <v>(61,0),</v>
      </c>
      <c r="Y63" s="50">
        <v>39448</v>
      </c>
      <c r="Z63" s="50">
        <v>39448</v>
      </c>
    </row>
    <row r="64" spans="1:26" ht="24.95" hidden="1" customHeight="1" x14ac:dyDescent="0.3">
      <c r="A64" s="1">
        <v>62</v>
      </c>
      <c r="B64" s="2" t="s">
        <v>1339</v>
      </c>
      <c r="C64" s="47" t="s">
        <v>1338</v>
      </c>
      <c r="D64" s="48">
        <v>38031</v>
      </c>
      <c r="E64" s="48">
        <v>38031</v>
      </c>
      <c r="F64" s="48"/>
      <c r="G64" s="2">
        <v>1</v>
      </c>
      <c r="H64" s="2" t="s">
        <v>1474</v>
      </c>
      <c r="I64" s="2">
        <v>0</v>
      </c>
      <c r="J64" s="2">
        <v>0</v>
      </c>
      <c r="K64" s="2">
        <v>0</v>
      </c>
      <c r="L64" s="2">
        <v>1</v>
      </c>
      <c r="M64" s="2">
        <v>1</v>
      </c>
      <c r="N64" s="2">
        <v>2</v>
      </c>
      <c r="Q64" t="str">
        <f t="shared" si="2"/>
        <v>(62,2),</v>
      </c>
      <c r="S64" t="str">
        <f t="shared" si="3"/>
        <v>(62,0),</v>
      </c>
      <c r="Y64" s="50">
        <v>26299</v>
      </c>
      <c r="Z64" s="50">
        <v>26299</v>
      </c>
    </row>
    <row r="65" spans="1:26" ht="24.95" hidden="1" customHeight="1" x14ac:dyDescent="0.3">
      <c r="A65" s="1">
        <v>63</v>
      </c>
      <c r="B65" s="2" t="s">
        <v>1340</v>
      </c>
      <c r="C65" s="47" t="s">
        <v>1345</v>
      </c>
      <c r="D65" s="48">
        <v>28856</v>
      </c>
      <c r="E65" s="48">
        <v>28856</v>
      </c>
      <c r="F65" s="48"/>
      <c r="G65" s="2">
        <v>1</v>
      </c>
      <c r="H65" s="2" t="s">
        <v>1474</v>
      </c>
      <c r="I65" s="2">
        <v>0</v>
      </c>
      <c r="J65" s="2">
        <v>0</v>
      </c>
      <c r="K65" s="2">
        <v>0</v>
      </c>
      <c r="L65" s="2">
        <v>1</v>
      </c>
      <c r="M65" s="2">
        <v>1</v>
      </c>
      <c r="N65" s="2">
        <v>2</v>
      </c>
      <c r="Q65" t="str">
        <f t="shared" si="2"/>
        <v>(63,2),</v>
      </c>
      <c r="S65" t="str">
        <f t="shared" si="3"/>
        <v>(63,0),</v>
      </c>
      <c r="Y65" s="50">
        <v>37622</v>
      </c>
      <c r="Z65" s="50">
        <v>37622</v>
      </c>
    </row>
    <row r="66" spans="1:26" ht="24.95" hidden="1" customHeight="1" x14ac:dyDescent="0.3">
      <c r="A66" s="1">
        <v>64</v>
      </c>
      <c r="B66" s="2" t="s">
        <v>1341</v>
      </c>
      <c r="C66" s="47" t="s">
        <v>1346</v>
      </c>
      <c r="D66" s="48">
        <v>28491</v>
      </c>
      <c r="E66" s="48">
        <v>28491</v>
      </c>
      <c r="F66" s="48"/>
      <c r="G66" s="2">
        <v>1</v>
      </c>
      <c r="H66" s="2" t="s">
        <v>1474</v>
      </c>
      <c r="I66" s="2">
        <v>0</v>
      </c>
      <c r="J66" s="2">
        <v>0</v>
      </c>
      <c r="K66" s="2">
        <v>0</v>
      </c>
      <c r="L66" s="2">
        <v>1</v>
      </c>
      <c r="M66" s="2">
        <v>1</v>
      </c>
      <c r="N66" s="2">
        <v>2</v>
      </c>
      <c r="Q66" t="str">
        <f t="shared" si="2"/>
        <v>(64,2),</v>
      </c>
      <c r="S66" t="str">
        <f t="shared" si="3"/>
        <v>(64,0),</v>
      </c>
      <c r="Y66" s="50">
        <v>28795</v>
      </c>
      <c r="Z66" s="50">
        <v>28795</v>
      </c>
    </row>
    <row r="67" spans="1:26" ht="24.95" hidden="1" customHeight="1" x14ac:dyDescent="0.3">
      <c r="A67" s="1">
        <v>65</v>
      </c>
      <c r="B67" s="2" t="s">
        <v>1342</v>
      </c>
      <c r="C67" s="47" t="s">
        <v>1347</v>
      </c>
      <c r="D67" s="48">
        <v>28856</v>
      </c>
      <c r="E67" s="48">
        <v>28856</v>
      </c>
      <c r="F67" s="48"/>
      <c r="G67" s="2">
        <v>1</v>
      </c>
      <c r="H67" s="2" t="s">
        <v>1474</v>
      </c>
      <c r="I67" s="2">
        <v>0</v>
      </c>
      <c r="J67" s="2">
        <v>0</v>
      </c>
      <c r="K67" s="2">
        <v>0</v>
      </c>
      <c r="L67" s="2">
        <v>1</v>
      </c>
      <c r="M67" s="2">
        <v>1</v>
      </c>
      <c r="N67" s="2">
        <v>2</v>
      </c>
      <c r="Q67" t="str">
        <f t="shared" si="2"/>
        <v>(65,2),</v>
      </c>
      <c r="S67" t="str">
        <f t="shared" si="3"/>
        <v>(65,0),</v>
      </c>
      <c r="Y67" s="50">
        <v>27760</v>
      </c>
      <c r="Z67" s="50">
        <v>27760</v>
      </c>
    </row>
    <row r="68" spans="1:26" ht="24.95" hidden="1" customHeight="1" x14ac:dyDescent="0.3">
      <c r="A68" s="1">
        <v>66</v>
      </c>
      <c r="B68" s="2" t="s">
        <v>1343</v>
      </c>
      <c r="C68" s="47" t="s">
        <v>1348</v>
      </c>
      <c r="D68" s="48">
        <v>28491</v>
      </c>
      <c r="E68" s="48">
        <v>28491</v>
      </c>
      <c r="F68" s="48"/>
      <c r="G68" s="2">
        <v>1</v>
      </c>
      <c r="H68" s="2" t="s">
        <v>1474</v>
      </c>
      <c r="I68" s="2">
        <v>0</v>
      </c>
      <c r="J68" s="2">
        <v>0</v>
      </c>
      <c r="K68" s="2">
        <v>0</v>
      </c>
      <c r="L68" s="2">
        <v>1</v>
      </c>
      <c r="M68" s="2">
        <v>1</v>
      </c>
      <c r="N68" s="2">
        <v>2</v>
      </c>
      <c r="Q68" t="str">
        <f t="shared" si="2"/>
        <v>(66,2),</v>
      </c>
      <c r="S68" t="str">
        <f t="shared" si="3"/>
        <v>(66,0),</v>
      </c>
      <c r="Y68" s="50">
        <v>37987</v>
      </c>
      <c r="Z68" s="50">
        <v>37987</v>
      </c>
    </row>
    <row r="69" spans="1:26" ht="24.95" hidden="1" customHeight="1" x14ac:dyDescent="0.3">
      <c r="A69" s="1">
        <v>67</v>
      </c>
      <c r="B69" s="2" t="s">
        <v>1344</v>
      </c>
      <c r="C69" s="47" t="s">
        <v>1349</v>
      </c>
      <c r="D69" s="48">
        <v>28856</v>
      </c>
      <c r="E69" s="48">
        <v>28856</v>
      </c>
      <c r="F69" s="48"/>
      <c r="G69" s="2">
        <v>1</v>
      </c>
      <c r="H69" s="2" t="s">
        <v>1474</v>
      </c>
      <c r="I69" s="2">
        <v>0</v>
      </c>
      <c r="J69" s="2">
        <v>0</v>
      </c>
      <c r="K69" s="2">
        <v>0</v>
      </c>
      <c r="L69" s="2">
        <v>1</v>
      </c>
      <c r="M69" s="2">
        <v>1</v>
      </c>
      <c r="N69" s="2">
        <v>2</v>
      </c>
      <c r="Q69" t="str">
        <f t="shared" si="2"/>
        <v>(67,2),</v>
      </c>
      <c r="S69" t="str">
        <f t="shared" si="3"/>
        <v>(67,0),</v>
      </c>
      <c r="Y69" s="50">
        <v>28795</v>
      </c>
      <c r="Z69" s="50">
        <v>28795</v>
      </c>
    </row>
    <row r="70" spans="1:26" ht="24.95" hidden="1" customHeight="1" x14ac:dyDescent="0.3">
      <c r="A70" s="1">
        <v>68</v>
      </c>
      <c r="B70" s="2" t="s">
        <v>1351</v>
      </c>
      <c r="C70" s="47" t="s">
        <v>1350</v>
      </c>
      <c r="D70" s="48">
        <v>35065</v>
      </c>
      <c r="E70" s="48">
        <v>35065</v>
      </c>
      <c r="F70" s="48"/>
      <c r="G70" s="2">
        <v>1</v>
      </c>
      <c r="H70" s="2" t="s">
        <v>1474</v>
      </c>
      <c r="I70" s="2">
        <v>0</v>
      </c>
      <c r="J70" s="2">
        <v>0</v>
      </c>
      <c r="K70" s="2">
        <v>0</v>
      </c>
      <c r="L70" s="2">
        <v>1</v>
      </c>
      <c r="M70" s="2">
        <v>1</v>
      </c>
      <c r="N70" s="2">
        <v>2</v>
      </c>
      <c r="Q70" t="str">
        <f t="shared" si="2"/>
        <v>(68,2),</v>
      </c>
      <c r="S70" t="str">
        <f t="shared" si="3"/>
        <v>(68,0),</v>
      </c>
      <c r="Y70" s="50">
        <v>37622</v>
      </c>
      <c r="Z70" s="50">
        <v>37622</v>
      </c>
    </row>
    <row r="71" spans="1:26" ht="24.95" hidden="1" customHeight="1" x14ac:dyDescent="0.3">
      <c r="A71" s="1">
        <v>69</v>
      </c>
      <c r="B71" s="2" t="s">
        <v>1353</v>
      </c>
      <c r="C71" s="47" t="s">
        <v>1352</v>
      </c>
      <c r="D71" s="48">
        <v>38961</v>
      </c>
      <c r="E71" s="48">
        <v>38961</v>
      </c>
      <c r="F71" s="48"/>
      <c r="G71" s="2">
        <v>1</v>
      </c>
      <c r="H71" s="2" t="s">
        <v>1474</v>
      </c>
      <c r="I71" s="2">
        <v>0</v>
      </c>
      <c r="J71" s="2">
        <v>0</v>
      </c>
      <c r="K71" s="2">
        <v>0</v>
      </c>
      <c r="L71" s="2">
        <v>1</v>
      </c>
      <c r="M71" s="2">
        <v>1</v>
      </c>
      <c r="N71" s="2">
        <v>2</v>
      </c>
      <c r="Q71" t="str">
        <f t="shared" si="2"/>
        <v>(69,2),</v>
      </c>
      <c r="S71" t="str">
        <f t="shared" si="3"/>
        <v>(69,0),</v>
      </c>
      <c r="Y71" s="50">
        <v>28795</v>
      </c>
      <c r="Z71" s="50">
        <v>28795</v>
      </c>
    </row>
    <row r="72" spans="1:26" ht="24.95" hidden="1" customHeight="1" x14ac:dyDescent="0.3">
      <c r="A72" s="1">
        <v>70</v>
      </c>
      <c r="B72" s="2" t="s">
        <v>1354</v>
      </c>
      <c r="C72" s="47" t="s">
        <v>1359</v>
      </c>
      <c r="D72" s="48">
        <v>39234</v>
      </c>
      <c r="E72" s="48">
        <v>39234</v>
      </c>
      <c r="F72" s="48"/>
      <c r="G72" s="2">
        <v>1</v>
      </c>
      <c r="H72" s="2" t="s">
        <v>1474</v>
      </c>
      <c r="I72" s="2">
        <v>0</v>
      </c>
      <c r="J72" s="2">
        <v>0</v>
      </c>
      <c r="K72" s="2">
        <v>0</v>
      </c>
      <c r="L72" s="2">
        <v>1</v>
      </c>
      <c r="M72" s="2">
        <v>1</v>
      </c>
      <c r="N72" s="2">
        <v>2</v>
      </c>
      <c r="Q72" t="str">
        <f t="shared" si="2"/>
        <v>(70,2),</v>
      </c>
      <c r="S72" t="str">
        <f t="shared" si="3"/>
        <v>(70,0),</v>
      </c>
      <c r="Y72" s="50">
        <v>37987</v>
      </c>
      <c r="Z72" s="50">
        <v>37987</v>
      </c>
    </row>
    <row r="73" spans="1:26" ht="24.95" hidden="1" customHeight="1" x14ac:dyDescent="0.3">
      <c r="A73" s="1">
        <v>71</v>
      </c>
      <c r="B73" s="2" t="s">
        <v>1355</v>
      </c>
      <c r="C73" s="47" t="s">
        <v>1360</v>
      </c>
      <c r="D73" s="48">
        <v>38899</v>
      </c>
      <c r="E73" s="48">
        <v>38899</v>
      </c>
      <c r="F73" s="48"/>
      <c r="G73" s="2">
        <v>1</v>
      </c>
      <c r="H73" s="2" t="s">
        <v>1474</v>
      </c>
      <c r="I73" s="2">
        <v>0</v>
      </c>
      <c r="J73" s="2">
        <v>0</v>
      </c>
      <c r="K73" s="2">
        <v>0</v>
      </c>
      <c r="L73" s="2">
        <v>1</v>
      </c>
      <c r="M73" s="2">
        <v>1</v>
      </c>
      <c r="N73" s="2">
        <v>2</v>
      </c>
      <c r="Q73" t="str">
        <f t="shared" si="2"/>
        <v>(71,2),</v>
      </c>
      <c r="S73" t="str">
        <f t="shared" si="3"/>
        <v>(71,0),</v>
      </c>
      <c r="Y73" s="50">
        <v>36462</v>
      </c>
      <c r="Z73" s="50">
        <v>36462</v>
      </c>
    </row>
    <row r="74" spans="1:26" ht="24.95" hidden="1" customHeight="1" x14ac:dyDescent="0.3">
      <c r="A74" s="1">
        <v>72</v>
      </c>
      <c r="B74" s="2" t="s">
        <v>1356</v>
      </c>
      <c r="C74" s="47" t="s">
        <v>1361</v>
      </c>
      <c r="D74" s="48">
        <v>37898</v>
      </c>
      <c r="E74" s="48">
        <v>37898</v>
      </c>
      <c r="F74" s="48"/>
      <c r="G74" s="2">
        <v>1</v>
      </c>
      <c r="H74" s="2" t="s">
        <v>1474</v>
      </c>
      <c r="I74" s="2">
        <v>0</v>
      </c>
      <c r="J74" s="2">
        <v>0</v>
      </c>
      <c r="K74" s="2">
        <v>0</v>
      </c>
      <c r="L74" s="2">
        <v>1</v>
      </c>
      <c r="M74" s="2">
        <v>1</v>
      </c>
      <c r="N74" s="2">
        <v>2</v>
      </c>
      <c r="Q74" t="str">
        <f t="shared" si="2"/>
        <v>(72,2),</v>
      </c>
      <c r="S74" t="str">
        <f t="shared" si="3"/>
        <v>(72,0),</v>
      </c>
    </row>
    <row r="75" spans="1:26" ht="24.95" hidden="1" customHeight="1" x14ac:dyDescent="0.3">
      <c r="A75" s="1">
        <v>73</v>
      </c>
      <c r="B75" s="2" t="s">
        <v>1357</v>
      </c>
      <c r="C75" s="47" t="s">
        <v>1362</v>
      </c>
      <c r="D75" s="48">
        <v>38718</v>
      </c>
      <c r="E75" s="48">
        <v>38718</v>
      </c>
      <c r="F75" s="48"/>
      <c r="G75" s="2">
        <v>1</v>
      </c>
      <c r="H75" s="2" t="s">
        <v>1474</v>
      </c>
      <c r="I75" s="2">
        <v>0</v>
      </c>
      <c r="J75" s="2">
        <v>0</v>
      </c>
      <c r="K75" s="2">
        <v>0</v>
      </c>
      <c r="L75" s="2">
        <v>1</v>
      </c>
      <c r="M75" s="2">
        <v>1</v>
      </c>
      <c r="N75" s="2">
        <v>2</v>
      </c>
      <c r="Q75" t="str">
        <f t="shared" si="2"/>
        <v>(73,2),</v>
      </c>
      <c r="S75" t="str">
        <f t="shared" si="3"/>
        <v>(73,0),</v>
      </c>
    </row>
    <row r="76" spans="1:26" ht="24.95" hidden="1" customHeight="1" x14ac:dyDescent="0.3">
      <c r="A76" s="1">
        <v>74</v>
      </c>
      <c r="B76" s="2" t="s">
        <v>1358</v>
      </c>
      <c r="C76" s="47" t="s">
        <v>1363</v>
      </c>
      <c r="D76" s="48">
        <v>31413</v>
      </c>
      <c r="E76" s="48">
        <v>31413</v>
      </c>
      <c r="F76" s="48">
        <v>36526</v>
      </c>
      <c r="G76" s="2">
        <v>8</v>
      </c>
      <c r="H76" s="2" t="s">
        <v>1474</v>
      </c>
      <c r="I76" s="2">
        <v>0</v>
      </c>
      <c r="J76" s="2">
        <v>0</v>
      </c>
      <c r="K76" s="2">
        <v>0</v>
      </c>
      <c r="L76" s="2">
        <v>1</v>
      </c>
      <c r="M76" s="2">
        <v>1</v>
      </c>
      <c r="N76" s="2">
        <v>2</v>
      </c>
      <c r="Q76" t="str">
        <f t="shared" si="2"/>
        <v>(74,2),</v>
      </c>
      <c r="S76" t="str">
        <f t="shared" si="3"/>
        <v>(74,0),</v>
      </c>
    </row>
    <row r="77" spans="1:26" ht="24.95" hidden="1" customHeight="1" x14ac:dyDescent="0.3">
      <c r="A77" s="1">
        <v>75</v>
      </c>
      <c r="B77" s="2" t="s">
        <v>1364</v>
      </c>
      <c r="C77" s="47" t="s">
        <v>1363</v>
      </c>
      <c r="D77" s="48">
        <v>43101</v>
      </c>
      <c r="E77" s="48">
        <v>43101</v>
      </c>
      <c r="F77" s="48"/>
      <c r="G77" s="2">
        <v>1</v>
      </c>
      <c r="H77" s="2" t="s">
        <v>1474</v>
      </c>
      <c r="I77" s="2">
        <v>0</v>
      </c>
      <c r="J77" s="2">
        <v>0</v>
      </c>
      <c r="K77" s="2">
        <v>0</v>
      </c>
      <c r="L77" s="2">
        <v>1</v>
      </c>
      <c r="M77" s="2">
        <v>1</v>
      </c>
      <c r="N77" s="2">
        <v>2</v>
      </c>
      <c r="Q77" t="str">
        <f t="shared" si="2"/>
        <v>(75,2),</v>
      </c>
      <c r="S77" t="str">
        <f t="shared" si="3"/>
        <v>(75,0),</v>
      </c>
    </row>
    <row r="78" spans="1:26" ht="24.95" hidden="1" customHeight="1" x14ac:dyDescent="0.3">
      <c r="A78" s="1">
        <v>76</v>
      </c>
      <c r="B78" s="2" t="s">
        <v>1366</v>
      </c>
      <c r="C78" s="47" t="s">
        <v>1363</v>
      </c>
      <c r="D78" s="48">
        <v>42736</v>
      </c>
      <c r="E78" s="48">
        <v>42736</v>
      </c>
      <c r="F78" s="48"/>
      <c r="G78" s="2">
        <v>1</v>
      </c>
      <c r="H78" s="2" t="s">
        <v>1474</v>
      </c>
      <c r="I78" s="2">
        <v>0</v>
      </c>
      <c r="J78" s="2">
        <v>0</v>
      </c>
      <c r="K78" s="2">
        <v>0</v>
      </c>
      <c r="L78" s="2">
        <v>1</v>
      </c>
      <c r="M78" s="2">
        <v>1</v>
      </c>
      <c r="N78" s="2">
        <v>2</v>
      </c>
      <c r="Q78" t="str">
        <f t="shared" si="2"/>
        <v>(76,2),</v>
      </c>
      <c r="S78" t="str">
        <f t="shared" si="3"/>
        <v>(76,0),</v>
      </c>
    </row>
    <row r="79" spans="1:26" ht="24.95" customHeight="1" x14ac:dyDescent="0.3">
      <c r="A79" s="1">
        <v>77</v>
      </c>
      <c r="B79" s="2" t="s">
        <v>1439</v>
      </c>
      <c r="C79" s="47" t="s">
        <v>1438</v>
      </c>
      <c r="D79" s="48">
        <v>35065</v>
      </c>
      <c r="E79" s="48">
        <v>35065</v>
      </c>
      <c r="F79" s="48"/>
      <c r="G79" s="2">
        <v>1</v>
      </c>
      <c r="H79" s="2" t="s">
        <v>122</v>
      </c>
      <c r="I79" s="2" t="s">
        <v>1642</v>
      </c>
      <c r="J79" s="2" t="s">
        <v>1643</v>
      </c>
      <c r="K79" s="2">
        <v>980</v>
      </c>
      <c r="L79" s="2">
        <v>39</v>
      </c>
      <c r="M79" s="2">
        <v>414</v>
      </c>
      <c r="N79" s="2">
        <v>8</v>
      </c>
      <c r="Q79" t="str">
        <f t="shared" si="2"/>
        <v>(77,8),</v>
      </c>
      <c r="R79" t="str">
        <f t="shared" ref="R79:R81" si="4">CONCATENATE("(",A79,",",N79,"),")</f>
        <v>(77,8),</v>
      </c>
    </row>
    <row r="80" spans="1:26" ht="24.95" customHeight="1" x14ac:dyDescent="0.3">
      <c r="A80" s="1">
        <v>78</v>
      </c>
      <c r="B80" s="2" t="s">
        <v>1441</v>
      </c>
      <c r="C80" s="47" t="s">
        <v>1440</v>
      </c>
      <c r="D80" s="48">
        <v>44197</v>
      </c>
      <c r="E80" s="48">
        <v>44197</v>
      </c>
      <c r="F80" s="48"/>
      <c r="G80" s="2">
        <v>1</v>
      </c>
      <c r="H80" s="2" t="s">
        <v>1626</v>
      </c>
      <c r="I80" s="2" t="s">
        <v>1624</v>
      </c>
      <c r="J80" s="2" t="s">
        <v>1645</v>
      </c>
      <c r="K80" s="2">
        <v>10</v>
      </c>
      <c r="L80" s="2">
        <v>39</v>
      </c>
      <c r="M80" s="2">
        <v>1469</v>
      </c>
      <c r="N80" s="2">
        <v>8</v>
      </c>
      <c r="Q80" t="str">
        <f t="shared" si="2"/>
        <v>(78,8),</v>
      </c>
      <c r="R80" t="str">
        <f t="shared" si="4"/>
        <v>(78,8),</v>
      </c>
    </row>
    <row r="81" spans="1:18" ht="24.95" customHeight="1" x14ac:dyDescent="0.3">
      <c r="A81" s="1">
        <v>79</v>
      </c>
      <c r="B81" s="2" t="s">
        <v>1443</v>
      </c>
      <c r="C81" s="47" t="s">
        <v>1442</v>
      </c>
      <c r="D81" s="48">
        <v>22282</v>
      </c>
      <c r="E81" s="48">
        <v>22282</v>
      </c>
      <c r="F81" s="48"/>
      <c r="G81" s="2">
        <v>1</v>
      </c>
      <c r="H81" s="2" t="s">
        <v>1647</v>
      </c>
      <c r="I81" s="2" t="s">
        <v>1648</v>
      </c>
      <c r="J81" s="2" t="s">
        <v>1649</v>
      </c>
      <c r="K81" s="2">
        <v>50</v>
      </c>
      <c r="L81" s="2">
        <v>39</v>
      </c>
      <c r="M81" s="2">
        <v>1203</v>
      </c>
      <c r="N81" s="2">
        <v>12</v>
      </c>
      <c r="Q81" t="str">
        <f t="shared" si="2"/>
        <v>(79,12),</v>
      </c>
      <c r="R81" t="str">
        <f t="shared" si="4"/>
        <v>(79,12),</v>
      </c>
    </row>
    <row r="82" spans="1:18" ht="24.95" hidden="1" customHeight="1" x14ac:dyDescent="0.3">
      <c r="A82" s="1">
        <v>80</v>
      </c>
      <c r="B82" s="2" t="s">
        <v>1445</v>
      </c>
      <c r="C82" s="47" t="s">
        <v>1444</v>
      </c>
      <c r="D82" s="48"/>
      <c r="E82" s="48"/>
      <c r="F82" s="48"/>
      <c r="G82" s="2">
        <v>1</v>
      </c>
      <c r="H82" s="2" t="s">
        <v>1474</v>
      </c>
      <c r="I82" s="2">
        <v>0</v>
      </c>
      <c r="J82" s="2">
        <v>0</v>
      </c>
      <c r="K82" s="2">
        <v>0</v>
      </c>
      <c r="L82" s="2">
        <v>1</v>
      </c>
      <c r="M82" s="2">
        <v>1</v>
      </c>
      <c r="N82" s="2" t="s">
        <v>1477</v>
      </c>
      <c r="Q82" t="str">
        <f t="shared" si="2"/>
        <v>(80,X),</v>
      </c>
    </row>
    <row r="83" spans="1:18" ht="24.95" hidden="1" customHeight="1" x14ac:dyDescent="0.3">
      <c r="A83" s="57">
        <v>124</v>
      </c>
      <c r="B83" s="16" t="s">
        <v>1494</v>
      </c>
      <c r="C83" s="58" t="s">
        <v>1495</v>
      </c>
      <c r="D83" s="59">
        <v>22832</v>
      </c>
      <c r="E83" s="59">
        <v>22832</v>
      </c>
      <c r="F83" s="59"/>
      <c r="G83" s="16">
        <v>1</v>
      </c>
      <c r="H83" s="16" t="s">
        <v>1494</v>
      </c>
      <c r="I83" s="16"/>
      <c r="J83" s="16"/>
      <c r="K83" s="16"/>
      <c r="L83" s="16"/>
      <c r="M83" s="16"/>
      <c r="N83" s="16">
        <v>17</v>
      </c>
      <c r="Q83" t="str">
        <f t="shared" si="2"/>
        <v>(124,17),</v>
      </c>
    </row>
    <row r="84" spans="1:18" ht="24.95" hidden="1" customHeight="1" x14ac:dyDescent="0.3">
      <c r="A84" s="57">
        <v>125</v>
      </c>
      <c r="B84" s="16" t="s">
        <v>1479</v>
      </c>
      <c r="C84" s="58" t="s">
        <v>1496</v>
      </c>
      <c r="D84" s="59">
        <v>22832</v>
      </c>
      <c r="E84" s="59">
        <v>22832</v>
      </c>
      <c r="F84" s="59"/>
      <c r="G84" s="16">
        <v>1</v>
      </c>
      <c r="H84" s="16" t="s">
        <v>1479</v>
      </c>
      <c r="I84" s="16"/>
      <c r="J84" s="16"/>
      <c r="K84" s="16"/>
      <c r="L84" s="16"/>
      <c r="M84" s="16"/>
      <c r="N84" s="16">
        <v>17</v>
      </c>
      <c r="Q84" t="str">
        <f t="shared" ref="Q84:Q101" si="5">CONCATENATE("(",A84,",",N84,"),")</f>
        <v>(125,17),</v>
      </c>
    </row>
    <row r="85" spans="1:18" ht="24.95" hidden="1" customHeight="1" x14ac:dyDescent="0.3">
      <c r="A85" s="57">
        <v>126</v>
      </c>
      <c r="B85" s="16" t="s">
        <v>104</v>
      </c>
      <c r="C85" s="58" t="s">
        <v>1497</v>
      </c>
      <c r="D85" s="59">
        <v>22832</v>
      </c>
      <c r="E85" s="59">
        <v>22832</v>
      </c>
      <c r="F85" s="59"/>
      <c r="G85" s="16">
        <v>1</v>
      </c>
      <c r="H85" s="16" t="s">
        <v>104</v>
      </c>
      <c r="I85" s="16"/>
      <c r="J85" s="16"/>
      <c r="K85" s="16"/>
      <c r="L85" s="16"/>
      <c r="M85" s="16"/>
      <c r="N85" s="16">
        <v>17</v>
      </c>
      <c r="Q85" t="str">
        <f t="shared" si="5"/>
        <v>(126,17),</v>
      </c>
    </row>
    <row r="86" spans="1:18" ht="24.95" hidden="1" customHeight="1" x14ac:dyDescent="0.3">
      <c r="A86" s="57">
        <v>127</v>
      </c>
      <c r="B86" s="16" t="s">
        <v>1480</v>
      </c>
      <c r="C86" s="58" t="s">
        <v>1498</v>
      </c>
      <c r="D86" s="59">
        <v>22832</v>
      </c>
      <c r="E86" s="59">
        <v>22832</v>
      </c>
      <c r="F86" s="59"/>
      <c r="G86" s="16">
        <v>1</v>
      </c>
      <c r="H86" s="16" t="s">
        <v>1480</v>
      </c>
      <c r="I86" s="16"/>
      <c r="J86" s="16"/>
      <c r="K86" s="16"/>
      <c r="L86" s="16"/>
      <c r="M86" s="16"/>
      <c r="N86" s="16">
        <v>17</v>
      </c>
      <c r="Q86" t="str">
        <f t="shared" si="5"/>
        <v>(127,17),</v>
      </c>
    </row>
    <row r="87" spans="1:18" ht="24.95" hidden="1" customHeight="1" x14ac:dyDescent="0.3">
      <c r="A87" s="57">
        <v>128</v>
      </c>
      <c r="B87" s="16" t="s">
        <v>1482</v>
      </c>
      <c r="C87" s="58" t="s">
        <v>1499</v>
      </c>
      <c r="D87" s="59">
        <v>22832</v>
      </c>
      <c r="E87" s="59">
        <v>22832</v>
      </c>
      <c r="F87" s="59"/>
      <c r="G87" s="16">
        <v>1</v>
      </c>
      <c r="H87" s="16" t="s">
        <v>1482</v>
      </c>
      <c r="I87" s="16"/>
      <c r="J87" s="16"/>
      <c r="K87" s="16"/>
      <c r="L87" s="16"/>
      <c r="M87" s="16"/>
      <c r="N87" s="16">
        <v>17</v>
      </c>
      <c r="Q87" t="str">
        <f t="shared" si="5"/>
        <v>(128,17),</v>
      </c>
    </row>
    <row r="88" spans="1:18" ht="24.95" hidden="1" customHeight="1" x14ac:dyDescent="0.3">
      <c r="A88" s="57">
        <v>129</v>
      </c>
      <c r="B88" s="16" t="s">
        <v>1484</v>
      </c>
      <c r="C88" s="58" t="s">
        <v>1500</v>
      </c>
      <c r="D88" s="59">
        <v>22832</v>
      </c>
      <c r="E88" s="59">
        <v>22832</v>
      </c>
      <c r="F88" s="59"/>
      <c r="G88" s="16">
        <v>1</v>
      </c>
      <c r="H88" s="16" t="s">
        <v>1484</v>
      </c>
      <c r="I88" s="16"/>
      <c r="J88" s="16"/>
      <c r="K88" s="16"/>
      <c r="L88" s="16"/>
      <c r="M88" s="16"/>
      <c r="N88" s="16">
        <v>17</v>
      </c>
      <c r="Q88" t="str">
        <f t="shared" si="5"/>
        <v>(129,17),</v>
      </c>
    </row>
    <row r="89" spans="1:18" ht="24.95" hidden="1" customHeight="1" x14ac:dyDescent="0.3">
      <c r="A89" s="57">
        <v>130</v>
      </c>
      <c r="B89" s="16" t="s">
        <v>102</v>
      </c>
      <c r="C89" s="58" t="s">
        <v>1501</v>
      </c>
      <c r="D89" s="59">
        <v>22832</v>
      </c>
      <c r="E89" s="59">
        <v>22832</v>
      </c>
      <c r="F89" s="59"/>
      <c r="G89" s="16">
        <v>1</v>
      </c>
      <c r="H89" s="16" t="s">
        <v>102</v>
      </c>
      <c r="I89" s="16"/>
      <c r="J89" s="16"/>
      <c r="K89" s="16"/>
      <c r="L89" s="16"/>
      <c r="M89" s="16"/>
      <c r="N89" s="16">
        <v>17</v>
      </c>
      <c r="Q89" t="str">
        <f t="shared" si="5"/>
        <v>(130,17),</v>
      </c>
    </row>
    <row r="90" spans="1:18" ht="24.95" hidden="1" customHeight="1" x14ac:dyDescent="0.3">
      <c r="A90" s="57">
        <v>131</v>
      </c>
      <c r="B90" s="16" t="s">
        <v>1485</v>
      </c>
      <c r="C90" s="58" t="s">
        <v>1502</v>
      </c>
      <c r="D90" s="59">
        <v>22832</v>
      </c>
      <c r="E90" s="59">
        <v>22832</v>
      </c>
      <c r="F90" s="59"/>
      <c r="G90" s="16">
        <v>1</v>
      </c>
      <c r="H90" s="16" t="s">
        <v>1485</v>
      </c>
      <c r="I90" s="16"/>
      <c r="J90" s="16"/>
      <c r="K90" s="16"/>
      <c r="L90" s="16"/>
      <c r="M90" s="16"/>
      <c r="N90" s="16">
        <v>17</v>
      </c>
      <c r="Q90" t="str">
        <f t="shared" si="5"/>
        <v>(131,17),</v>
      </c>
    </row>
    <row r="91" spans="1:18" ht="24.95" hidden="1" customHeight="1" x14ac:dyDescent="0.3">
      <c r="A91" s="57">
        <v>132</v>
      </c>
      <c r="B91" s="16" t="s">
        <v>1487</v>
      </c>
      <c r="C91" s="58" t="s">
        <v>1503</v>
      </c>
      <c r="D91" s="59">
        <v>22832</v>
      </c>
      <c r="E91" s="59">
        <v>22832</v>
      </c>
      <c r="F91" s="59"/>
      <c r="G91" s="16">
        <v>1</v>
      </c>
      <c r="H91" s="16" t="s">
        <v>1487</v>
      </c>
      <c r="I91" s="16"/>
      <c r="J91" s="16"/>
      <c r="K91" s="16"/>
      <c r="L91" s="16"/>
      <c r="M91" s="16"/>
      <c r="N91" s="16">
        <v>17</v>
      </c>
      <c r="Q91" t="str">
        <f t="shared" si="5"/>
        <v>(132,17),</v>
      </c>
    </row>
    <row r="92" spans="1:18" ht="24.95" hidden="1" customHeight="1" x14ac:dyDescent="0.3">
      <c r="A92" s="57">
        <v>133</v>
      </c>
      <c r="B92" s="16" t="s">
        <v>1488</v>
      </c>
      <c r="C92" s="58" t="s">
        <v>1504</v>
      </c>
      <c r="D92" s="59">
        <v>22832</v>
      </c>
      <c r="E92" s="59">
        <v>22832</v>
      </c>
      <c r="F92" s="59"/>
      <c r="G92" s="16">
        <v>1</v>
      </c>
      <c r="H92" s="16" t="s">
        <v>1488</v>
      </c>
      <c r="I92" s="16"/>
      <c r="J92" s="16"/>
      <c r="K92" s="16"/>
      <c r="L92" s="16"/>
      <c r="M92" s="16"/>
      <c r="N92" s="16">
        <v>17</v>
      </c>
      <c r="Q92" t="str">
        <f t="shared" si="5"/>
        <v>(133,17),</v>
      </c>
    </row>
    <row r="93" spans="1:18" ht="24.95" hidden="1" customHeight="1" x14ac:dyDescent="0.3">
      <c r="A93" s="57">
        <v>134</v>
      </c>
      <c r="B93" s="16" t="s">
        <v>103</v>
      </c>
      <c r="C93" s="58" t="s">
        <v>1505</v>
      </c>
      <c r="D93" s="59">
        <v>22832</v>
      </c>
      <c r="E93" s="59">
        <v>22832</v>
      </c>
      <c r="F93" s="59"/>
      <c r="G93" s="16">
        <v>1</v>
      </c>
      <c r="H93" s="16" t="s">
        <v>103</v>
      </c>
      <c r="I93" s="16"/>
      <c r="J93" s="16"/>
      <c r="K93" s="16"/>
      <c r="L93" s="16"/>
      <c r="M93" s="16"/>
      <c r="N93" s="16">
        <v>18</v>
      </c>
      <c r="Q93" t="str">
        <f t="shared" si="5"/>
        <v>(134,18),</v>
      </c>
    </row>
    <row r="94" spans="1:18" ht="24.95" hidden="1" customHeight="1" x14ac:dyDescent="0.3">
      <c r="A94" s="57">
        <v>135</v>
      </c>
      <c r="B94" s="16" t="s">
        <v>1489</v>
      </c>
      <c r="C94" s="58" t="s">
        <v>1506</v>
      </c>
      <c r="D94" s="59">
        <v>22832</v>
      </c>
      <c r="E94" s="59">
        <v>22832</v>
      </c>
      <c r="F94" s="59"/>
      <c r="G94" s="16">
        <v>1</v>
      </c>
      <c r="H94" s="16" t="s">
        <v>1489</v>
      </c>
      <c r="I94" s="16"/>
      <c r="J94" s="16"/>
      <c r="K94" s="16"/>
      <c r="L94" s="16"/>
      <c r="M94" s="16"/>
      <c r="N94" s="16">
        <v>17</v>
      </c>
      <c r="Q94" t="str">
        <f t="shared" si="5"/>
        <v>(135,17),</v>
      </c>
    </row>
    <row r="95" spans="1:18" ht="24.95" hidden="1" customHeight="1" x14ac:dyDescent="0.3">
      <c r="A95" s="57">
        <v>136</v>
      </c>
      <c r="B95" s="16" t="s">
        <v>1490</v>
      </c>
      <c r="C95" s="58" t="s">
        <v>1507</v>
      </c>
      <c r="D95" s="59">
        <v>22832</v>
      </c>
      <c r="E95" s="59">
        <v>22832</v>
      </c>
      <c r="F95" s="59"/>
      <c r="G95" s="16">
        <v>1</v>
      </c>
      <c r="H95" s="16" t="s">
        <v>1490</v>
      </c>
      <c r="I95" s="16"/>
      <c r="J95" s="16"/>
      <c r="K95" s="16"/>
      <c r="L95" s="16"/>
      <c r="M95" s="16"/>
      <c r="N95" s="16">
        <v>17</v>
      </c>
      <c r="Q95" t="str">
        <f t="shared" si="5"/>
        <v>(136,17),</v>
      </c>
    </row>
    <row r="96" spans="1:18" ht="24.95" hidden="1" customHeight="1" x14ac:dyDescent="0.3">
      <c r="A96" s="57">
        <v>137</v>
      </c>
      <c r="B96" s="16" t="s">
        <v>1491</v>
      </c>
      <c r="C96" s="58" t="s">
        <v>1508</v>
      </c>
      <c r="D96" s="59">
        <v>22832</v>
      </c>
      <c r="E96" s="59">
        <v>22832</v>
      </c>
      <c r="F96" s="59"/>
      <c r="G96" s="16">
        <v>1</v>
      </c>
      <c r="H96" s="16" t="s">
        <v>1491</v>
      </c>
      <c r="I96" s="16"/>
      <c r="J96" s="16"/>
      <c r="K96" s="16"/>
      <c r="L96" s="16"/>
      <c r="M96" s="16"/>
      <c r="N96" s="16">
        <v>18</v>
      </c>
      <c r="Q96" t="str">
        <f t="shared" si="5"/>
        <v>(137,18),</v>
      </c>
    </row>
    <row r="97" spans="1:17" ht="24.95" hidden="1" customHeight="1" x14ac:dyDescent="0.3">
      <c r="A97" s="57">
        <v>138</v>
      </c>
      <c r="B97" s="16" t="s">
        <v>1492</v>
      </c>
      <c r="C97" s="58" t="s">
        <v>1509</v>
      </c>
      <c r="D97" s="59">
        <v>22832</v>
      </c>
      <c r="E97" s="59">
        <v>22832</v>
      </c>
      <c r="F97" s="59"/>
      <c r="G97" s="16">
        <v>1</v>
      </c>
      <c r="H97" s="16" t="s">
        <v>1492</v>
      </c>
      <c r="I97" s="16"/>
      <c r="J97" s="16"/>
      <c r="K97" s="16"/>
      <c r="L97" s="16"/>
      <c r="M97" s="16"/>
      <c r="N97" s="16">
        <v>18</v>
      </c>
      <c r="Q97" t="str">
        <f t="shared" si="5"/>
        <v>(138,18),</v>
      </c>
    </row>
    <row r="98" spans="1:17" ht="24.95" hidden="1" customHeight="1" x14ac:dyDescent="0.3">
      <c r="A98" s="57">
        <v>139</v>
      </c>
      <c r="B98" s="16" t="s">
        <v>1493</v>
      </c>
      <c r="C98" s="58" t="s">
        <v>1510</v>
      </c>
      <c r="D98" s="59">
        <v>22832</v>
      </c>
      <c r="E98" s="59">
        <v>22832</v>
      </c>
      <c r="F98" s="59"/>
      <c r="G98" s="16">
        <v>1</v>
      </c>
      <c r="H98" s="16" t="s">
        <v>1493</v>
      </c>
      <c r="I98" s="16"/>
      <c r="J98" s="16"/>
      <c r="K98" s="16"/>
      <c r="L98" s="16"/>
      <c r="M98" s="16"/>
      <c r="N98" s="16">
        <v>18</v>
      </c>
      <c r="Q98" t="str">
        <f t="shared" si="5"/>
        <v>(139,18),</v>
      </c>
    </row>
    <row r="99" spans="1:17" ht="24.95" hidden="1" customHeight="1" x14ac:dyDescent="0.3">
      <c r="A99" s="1">
        <v>140</v>
      </c>
      <c r="B99" s="2"/>
      <c r="C99" s="47"/>
      <c r="D99" s="48"/>
      <c r="E99" s="48"/>
      <c r="F99" s="48"/>
      <c r="G99" s="2"/>
      <c r="H99" s="2"/>
      <c r="I99" s="2"/>
      <c r="J99" s="2"/>
      <c r="K99" s="2"/>
      <c r="L99" s="2"/>
      <c r="M99" s="2"/>
      <c r="N99" s="2">
        <v>18</v>
      </c>
      <c r="Q99" t="str">
        <f t="shared" si="5"/>
        <v>(140,18),</v>
      </c>
    </row>
    <row r="100" spans="1:17" ht="24.95" hidden="1" customHeight="1" x14ac:dyDescent="0.3">
      <c r="A100" s="1">
        <v>141</v>
      </c>
      <c r="B100" s="2"/>
      <c r="C100" s="47"/>
      <c r="D100" s="48"/>
      <c r="E100" s="48"/>
      <c r="F100" s="48"/>
      <c r="G100" s="2"/>
      <c r="H100" s="2"/>
      <c r="I100" s="2"/>
      <c r="J100" s="2"/>
      <c r="K100" s="2"/>
      <c r="L100" s="2"/>
      <c r="M100" s="2"/>
      <c r="N100" s="2">
        <v>18</v>
      </c>
      <c r="Q100" t="str">
        <f t="shared" si="5"/>
        <v>(141,18),</v>
      </c>
    </row>
    <row r="101" spans="1:17" ht="24.95" hidden="1" customHeight="1" x14ac:dyDescent="0.3">
      <c r="A101" s="1">
        <v>142</v>
      </c>
      <c r="B101" s="2"/>
      <c r="C101" s="47"/>
      <c r="D101" s="48"/>
      <c r="E101" s="48"/>
      <c r="F101" s="48"/>
      <c r="G101" s="2"/>
      <c r="H101" s="2"/>
      <c r="I101" s="2"/>
      <c r="J101" s="2"/>
      <c r="K101" s="2"/>
      <c r="L101" s="2"/>
      <c r="M101" s="2"/>
      <c r="N101" s="2">
        <v>17</v>
      </c>
      <c r="Q101" t="str">
        <f t="shared" si="5"/>
        <v>(142,17),</v>
      </c>
    </row>
    <row r="102" spans="1:17" ht="24.95" customHeight="1" x14ac:dyDescent="0.3">
      <c r="A102" s="1"/>
      <c r="B102" s="2"/>
      <c r="C102" s="47"/>
      <c r="D102" s="48"/>
      <c r="E102" s="48"/>
      <c r="F102" s="48"/>
      <c r="G102" s="2"/>
      <c r="H102" s="2"/>
      <c r="I102" s="2"/>
      <c r="J102" s="2"/>
      <c r="K102" s="2"/>
      <c r="L102" s="2"/>
      <c r="M102" s="2"/>
      <c r="N102" s="2"/>
    </row>
    <row r="103" spans="1:17" ht="24.95" customHeight="1" x14ac:dyDescent="0.3">
      <c r="A103" s="1"/>
      <c r="B103" s="2"/>
      <c r="C103" s="47"/>
      <c r="D103" s="48"/>
      <c r="E103" s="48"/>
      <c r="F103" s="48"/>
      <c r="G103" s="2"/>
      <c r="H103" s="2"/>
      <c r="I103" s="2"/>
      <c r="J103" s="2"/>
      <c r="K103" s="2"/>
      <c r="L103" s="2"/>
      <c r="M103" s="2"/>
      <c r="N103" s="2"/>
    </row>
    <row r="104" spans="1:17" ht="24.95" customHeight="1" x14ac:dyDescent="0.3">
      <c r="A104" s="1"/>
      <c r="B104" s="2"/>
      <c r="C104" s="47"/>
      <c r="D104" s="48"/>
      <c r="E104" s="48"/>
      <c r="F104" s="48"/>
      <c r="G104" s="2"/>
      <c r="H104" s="2"/>
      <c r="I104" s="2"/>
      <c r="J104" s="2"/>
      <c r="K104" s="2"/>
      <c r="L104" s="2"/>
      <c r="M104" s="2"/>
      <c r="N104" s="2"/>
    </row>
    <row r="105" spans="1:17" ht="24.95" customHeight="1" x14ac:dyDescent="0.3">
      <c r="A105" s="1"/>
      <c r="B105" s="2"/>
      <c r="C105" s="47"/>
      <c r="D105" s="48"/>
      <c r="E105" s="48"/>
      <c r="F105" s="48"/>
      <c r="G105" s="2"/>
      <c r="H105" s="2"/>
      <c r="I105" s="2"/>
      <c r="J105" s="2"/>
      <c r="K105" s="2"/>
      <c r="L105" s="2"/>
      <c r="M105" s="2"/>
      <c r="N105" s="2"/>
    </row>
    <row r="106" spans="1:17" ht="24.95" customHeight="1" x14ac:dyDescent="0.3">
      <c r="A106" s="1"/>
      <c r="B106" s="2"/>
      <c r="C106" s="47"/>
      <c r="D106" s="48"/>
      <c r="E106" s="48"/>
      <c r="F106" s="48"/>
      <c r="G106" s="2"/>
      <c r="H106" s="2"/>
      <c r="I106" s="2"/>
      <c r="J106" s="2"/>
      <c r="K106" s="2"/>
      <c r="L106" s="2"/>
      <c r="M106" s="2"/>
      <c r="N106" s="2"/>
    </row>
    <row r="107" spans="1:17" ht="24.95" customHeight="1" x14ac:dyDescent="0.3">
      <c r="A107" s="1"/>
      <c r="B107" s="2"/>
      <c r="C107" s="47"/>
      <c r="D107" s="48"/>
      <c r="E107" s="48"/>
      <c r="F107" s="48"/>
      <c r="G107" s="2"/>
      <c r="H107" s="2"/>
      <c r="I107" s="2"/>
      <c r="J107" s="2"/>
      <c r="K107" s="2"/>
      <c r="L107" s="2"/>
      <c r="M107" s="2"/>
      <c r="N107" s="2"/>
    </row>
    <row r="108" spans="1:17" ht="24.95" customHeight="1" x14ac:dyDescent="0.3">
      <c r="A108" s="1"/>
      <c r="B108" s="2"/>
      <c r="C108" s="47"/>
      <c r="D108" s="48"/>
      <c r="E108" s="48"/>
      <c r="F108" s="48"/>
      <c r="G108" s="2"/>
      <c r="H108" s="2"/>
      <c r="I108" s="2"/>
      <c r="J108" s="2"/>
      <c r="K108" s="2"/>
      <c r="L108" s="2"/>
      <c r="M108" s="2"/>
      <c r="N108" s="2"/>
    </row>
    <row r="109" spans="1:17" ht="24.95" customHeight="1" x14ac:dyDescent="0.3">
      <c r="A109" s="1"/>
      <c r="B109" s="2"/>
      <c r="C109" s="47"/>
      <c r="D109" s="48"/>
      <c r="E109" s="48"/>
      <c r="F109" s="48"/>
      <c r="G109" s="2"/>
      <c r="H109" s="2"/>
      <c r="I109" s="2"/>
      <c r="J109" s="2"/>
      <c r="K109" s="2"/>
      <c r="L109" s="2"/>
      <c r="M109" s="2"/>
      <c r="N109" s="2"/>
    </row>
    <row r="110" spans="1:17" ht="24.95" customHeight="1" x14ac:dyDescent="0.3">
      <c r="A110" s="1"/>
      <c r="B110" s="2"/>
      <c r="C110" s="47"/>
      <c r="D110" s="48"/>
      <c r="E110" s="48"/>
      <c r="F110" s="48"/>
      <c r="G110" s="2"/>
      <c r="H110" s="2"/>
      <c r="I110" s="2"/>
      <c r="J110" s="2"/>
      <c r="K110" s="2"/>
      <c r="L110" s="2"/>
      <c r="M110" s="2"/>
      <c r="N110" s="2"/>
    </row>
    <row r="111" spans="1:17" ht="24.95" customHeight="1" x14ac:dyDescent="0.3">
      <c r="A111" s="1"/>
      <c r="B111" s="2"/>
      <c r="C111" s="47"/>
      <c r="D111" s="48"/>
      <c r="E111" s="48"/>
      <c r="F111" s="48"/>
      <c r="G111" s="2"/>
      <c r="H111" s="2"/>
      <c r="I111" s="2"/>
      <c r="J111" s="2"/>
      <c r="K111" s="2"/>
      <c r="L111" s="2"/>
      <c r="M111" s="2"/>
      <c r="N111" s="2"/>
    </row>
    <row r="112" spans="1:17" ht="24.95" customHeight="1" x14ac:dyDescent="0.3">
      <c r="A112" s="1"/>
      <c r="B112" s="2"/>
      <c r="C112" s="47"/>
      <c r="D112" s="48"/>
      <c r="E112" s="48"/>
      <c r="F112" s="48"/>
      <c r="G112" s="2"/>
      <c r="H112" s="2"/>
      <c r="I112" s="2"/>
      <c r="J112" s="2"/>
      <c r="K112" s="2"/>
      <c r="L112" s="2"/>
      <c r="M112" s="2"/>
      <c r="N112" s="2"/>
    </row>
    <row r="113" spans="1:14" ht="24.95" customHeight="1" x14ac:dyDescent="0.3">
      <c r="A113" s="1"/>
      <c r="B113" s="2"/>
      <c r="C113" s="47"/>
      <c r="D113" s="48"/>
      <c r="E113" s="48"/>
      <c r="F113" s="48"/>
      <c r="G113" s="2"/>
      <c r="H113" s="2"/>
      <c r="I113" s="2"/>
      <c r="J113" s="2"/>
      <c r="K113" s="2"/>
      <c r="L113" s="2"/>
      <c r="M113" s="2"/>
      <c r="N113" s="2"/>
    </row>
    <row r="114" spans="1:14" ht="24.95" customHeight="1" x14ac:dyDescent="0.3">
      <c r="A114" s="1"/>
      <c r="B114" s="2"/>
      <c r="C114" s="47"/>
      <c r="D114" s="48"/>
      <c r="E114" s="48"/>
      <c r="F114" s="48"/>
      <c r="G114" s="2"/>
      <c r="H114" s="2"/>
      <c r="I114" s="2"/>
      <c r="J114" s="2"/>
      <c r="K114" s="2"/>
      <c r="L114" s="2"/>
      <c r="M114" s="2"/>
      <c r="N114" s="2"/>
    </row>
    <row r="115" spans="1:14" ht="24.95" customHeight="1" x14ac:dyDescent="0.3">
      <c r="A115" s="1"/>
      <c r="B115" s="2"/>
      <c r="C115" s="47"/>
      <c r="D115" s="48"/>
      <c r="E115" s="48"/>
      <c r="F115" s="48"/>
      <c r="G115" s="2"/>
      <c r="H115" s="2"/>
      <c r="I115" s="2"/>
      <c r="J115" s="2"/>
      <c r="K115" s="2"/>
      <c r="L115" s="2"/>
      <c r="M115" s="2"/>
      <c r="N115" s="2"/>
    </row>
    <row r="116" spans="1:14" ht="24.95" customHeight="1" x14ac:dyDescent="0.3">
      <c r="A116" s="1"/>
      <c r="B116" s="2"/>
      <c r="C116" s="47"/>
      <c r="D116" s="48"/>
      <c r="E116" s="48"/>
      <c r="F116" s="48"/>
      <c r="G116" s="2"/>
      <c r="H116" s="2"/>
      <c r="I116" s="2"/>
      <c r="J116" s="2"/>
      <c r="K116" s="2"/>
      <c r="L116" s="2"/>
      <c r="M116" s="2"/>
      <c r="N116" s="2"/>
    </row>
    <row r="117" spans="1:14" ht="24.95" customHeight="1" x14ac:dyDescent="0.3">
      <c r="A117" s="1"/>
      <c r="B117" s="2"/>
      <c r="C117" s="47"/>
      <c r="D117" s="48"/>
      <c r="E117" s="48"/>
      <c r="F117" s="48"/>
      <c r="G117" s="2"/>
      <c r="H117" s="2"/>
      <c r="I117" s="2"/>
      <c r="J117" s="2"/>
      <c r="K117" s="2"/>
      <c r="L117" s="2"/>
      <c r="M117" s="2"/>
      <c r="N117" s="2"/>
    </row>
    <row r="118" spans="1:14" ht="24.95" customHeight="1" x14ac:dyDescent="0.3">
      <c r="A118" s="1"/>
      <c r="B118" s="2"/>
      <c r="C118" s="47"/>
      <c r="D118" s="48"/>
      <c r="E118" s="48"/>
      <c r="F118" s="48"/>
      <c r="G118" s="2"/>
      <c r="H118" s="2"/>
      <c r="I118" s="2"/>
      <c r="J118" s="2"/>
      <c r="K118" s="2"/>
      <c r="L118" s="2"/>
      <c r="M118" s="2"/>
      <c r="N118" s="2"/>
    </row>
    <row r="119" spans="1:14" ht="24.95" customHeight="1" x14ac:dyDescent="0.3">
      <c r="A119" s="1"/>
      <c r="B119" s="2"/>
      <c r="C119" s="47"/>
      <c r="D119" s="48"/>
      <c r="E119" s="48"/>
      <c r="F119" s="48"/>
      <c r="G119" s="2"/>
      <c r="H119" s="2"/>
      <c r="I119" s="2"/>
      <c r="J119" s="2"/>
      <c r="K119" s="2"/>
      <c r="L119" s="2"/>
      <c r="M119" s="2"/>
      <c r="N119" s="2"/>
    </row>
    <row r="120" spans="1:14" ht="24.95" customHeight="1" x14ac:dyDescent="0.3">
      <c r="A120" s="1"/>
      <c r="B120" s="2"/>
      <c r="C120" s="47"/>
      <c r="D120" s="48"/>
      <c r="E120" s="48"/>
      <c r="F120" s="48"/>
      <c r="G120" s="2"/>
      <c r="H120" s="2"/>
      <c r="I120" s="2"/>
      <c r="J120" s="2"/>
      <c r="K120" s="2"/>
      <c r="L120" s="2"/>
      <c r="M120" s="2"/>
      <c r="N120" s="2"/>
    </row>
    <row r="121" spans="1:14" ht="24.95" customHeight="1" x14ac:dyDescent="0.3">
      <c r="A121" s="1"/>
      <c r="B121" s="2"/>
      <c r="C121" s="47"/>
      <c r="D121" s="48"/>
      <c r="E121" s="48"/>
      <c r="F121" s="48"/>
      <c r="G121" s="2"/>
      <c r="H121" s="2"/>
      <c r="I121" s="2"/>
      <c r="J121" s="2"/>
      <c r="K121" s="2"/>
      <c r="L121" s="2"/>
      <c r="M121" s="2"/>
      <c r="N121" s="2"/>
    </row>
    <row r="122" spans="1:14" ht="24.95" customHeight="1" x14ac:dyDescent="0.3">
      <c r="A122" s="1"/>
      <c r="B122" s="2"/>
      <c r="C122" s="47"/>
      <c r="D122" s="48"/>
      <c r="E122" s="48"/>
      <c r="F122" s="48"/>
      <c r="G122" s="2"/>
      <c r="H122" s="2"/>
      <c r="I122" s="2"/>
      <c r="J122" s="2"/>
      <c r="K122" s="2"/>
      <c r="L122" s="2"/>
      <c r="M122" s="2"/>
      <c r="N122" s="2"/>
    </row>
    <row r="123" spans="1:14" ht="24.95" customHeight="1" x14ac:dyDescent="0.3">
      <c r="A123" s="1"/>
      <c r="B123" s="2"/>
      <c r="C123" s="47"/>
      <c r="D123" s="48"/>
      <c r="E123" s="48"/>
      <c r="F123" s="48"/>
      <c r="G123" s="2"/>
      <c r="H123" s="2"/>
      <c r="I123" s="2"/>
      <c r="J123" s="2"/>
      <c r="K123" s="2"/>
      <c r="L123" s="2"/>
      <c r="M123" s="2"/>
      <c r="N123" s="2"/>
    </row>
    <row r="124" spans="1:14" ht="24.95" customHeight="1" x14ac:dyDescent="0.3">
      <c r="A124" s="1"/>
      <c r="B124" s="2"/>
      <c r="C124" s="47"/>
      <c r="D124" s="48"/>
      <c r="E124" s="48"/>
      <c r="F124" s="48"/>
      <c r="G124" s="2"/>
      <c r="H124" s="2"/>
      <c r="I124" s="2"/>
      <c r="J124" s="2"/>
      <c r="K124" s="2"/>
      <c r="L124" s="2"/>
      <c r="M124" s="2"/>
      <c r="N124" s="2"/>
    </row>
    <row r="125" spans="1:14" ht="24.95" customHeight="1" x14ac:dyDescent="0.3">
      <c r="A125" s="1"/>
      <c r="B125" s="2"/>
      <c r="C125" s="47"/>
      <c r="D125" s="48"/>
      <c r="E125" s="48"/>
      <c r="F125" s="48"/>
      <c r="G125" s="2"/>
      <c r="H125" s="2"/>
      <c r="I125" s="2"/>
      <c r="J125" s="2"/>
      <c r="K125" s="2"/>
      <c r="L125" s="2"/>
      <c r="M125" s="2"/>
      <c r="N125" s="2"/>
    </row>
    <row r="126" spans="1:14" ht="24.95" customHeight="1" x14ac:dyDescent="0.3">
      <c r="A126" s="1"/>
      <c r="B126" s="2"/>
      <c r="C126" s="47"/>
      <c r="D126" s="48"/>
      <c r="E126" s="48"/>
      <c r="F126" s="48"/>
      <c r="G126" s="2"/>
      <c r="H126" s="2"/>
      <c r="I126" s="2"/>
      <c r="J126" s="2"/>
      <c r="K126" s="2"/>
      <c r="L126" s="2"/>
      <c r="M126" s="2"/>
      <c r="N126" s="2"/>
    </row>
    <row r="127" spans="1:14" ht="24.95" customHeight="1" x14ac:dyDescent="0.3">
      <c r="A127" s="1"/>
      <c r="B127" s="2"/>
      <c r="C127" s="47"/>
      <c r="D127" s="48"/>
      <c r="E127" s="48"/>
      <c r="F127" s="48"/>
      <c r="G127" s="2"/>
      <c r="H127" s="2"/>
      <c r="I127" s="2"/>
      <c r="J127" s="2"/>
      <c r="K127" s="2"/>
      <c r="L127" s="2"/>
      <c r="M127" s="2"/>
      <c r="N127" s="2"/>
    </row>
    <row r="128" spans="1:14" ht="24.95" customHeight="1" x14ac:dyDescent="0.3">
      <c r="A128" s="1"/>
      <c r="B128" s="2"/>
      <c r="C128" s="47"/>
      <c r="D128" s="48"/>
      <c r="E128" s="48"/>
      <c r="F128" s="48"/>
      <c r="G128" s="2"/>
      <c r="H128" s="2"/>
      <c r="I128" s="2"/>
      <c r="J128" s="2"/>
      <c r="K128" s="2"/>
      <c r="L128" s="2"/>
      <c r="M128" s="2"/>
      <c r="N128" s="2"/>
    </row>
    <row r="129" spans="1:14" ht="24.95" customHeight="1" x14ac:dyDescent="0.3">
      <c r="A129" s="1"/>
      <c r="B129" s="2"/>
      <c r="C129" s="47"/>
      <c r="D129" s="48"/>
      <c r="E129" s="48"/>
      <c r="F129" s="48"/>
      <c r="G129" s="2"/>
      <c r="H129" s="2"/>
      <c r="I129" s="2"/>
      <c r="J129" s="2"/>
      <c r="K129" s="2"/>
      <c r="L129" s="2"/>
      <c r="M129" s="2"/>
      <c r="N129" s="2"/>
    </row>
    <row r="130" spans="1:14" ht="24.95" customHeight="1" x14ac:dyDescent="0.3">
      <c r="A130" s="1"/>
      <c r="B130" s="2"/>
      <c r="C130" s="47"/>
      <c r="D130" s="48"/>
      <c r="E130" s="48"/>
      <c r="F130" s="48"/>
      <c r="G130" s="2"/>
      <c r="H130" s="2"/>
      <c r="I130" s="2"/>
      <c r="J130" s="2"/>
      <c r="K130" s="2"/>
      <c r="L130" s="2"/>
      <c r="M130" s="2"/>
      <c r="N130" s="2"/>
    </row>
    <row r="131" spans="1:14" ht="24.95" customHeight="1" x14ac:dyDescent="0.3">
      <c r="A131" s="1"/>
      <c r="B131" s="2"/>
      <c r="C131" s="47"/>
      <c r="D131" s="48"/>
      <c r="E131" s="48"/>
      <c r="F131" s="48"/>
      <c r="G131" s="2"/>
      <c r="H131" s="2"/>
      <c r="I131" s="2"/>
      <c r="J131" s="2"/>
      <c r="K131" s="2"/>
      <c r="L131" s="2"/>
      <c r="M131" s="2"/>
      <c r="N131" s="2"/>
    </row>
    <row r="132" spans="1:14" ht="24.95" customHeight="1" x14ac:dyDescent="0.3">
      <c r="A132" s="1"/>
      <c r="B132" s="2"/>
      <c r="C132" s="47"/>
      <c r="D132" s="48"/>
      <c r="E132" s="48"/>
      <c r="F132" s="48"/>
      <c r="G132" s="2"/>
      <c r="H132" s="2"/>
      <c r="I132" s="2"/>
      <c r="J132" s="2"/>
      <c r="K132" s="2"/>
      <c r="L132" s="2"/>
      <c r="M132" s="2"/>
      <c r="N132" s="2"/>
    </row>
    <row r="133" spans="1:14" ht="24.95" customHeight="1" x14ac:dyDescent="0.3">
      <c r="A133" s="1"/>
      <c r="B133" s="2"/>
      <c r="C133" s="47"/>
      <c r="D133" s="48"/>
      <c r="E133" s="48"/>
      <c r="F133" s="48"/>
      <c r="G133" s="2"/>
      <c r="H133" s="2"/>
      <c r="I133" s="2"/>
      <c r="J133" s="2"/>
      <c r="K133" s="2"/>
      <c r="L133" s="2"/>
      <c r="M133" s="2"/>
      <c r="N133" s="2"/>
    </row>
    <row r="134" spans="1:14" ht="24.95" customHeight="1" x14ac:dyDescent="0.3">
      <c r="A134" s="1"/>
      <c r="B134" s="2"/>
      <c r="C134" s="47"/>
      <c r="D134" s="48"/>
      <c r="E134" s="48"/>
      <c r="F134" s="48"/>
      <c r="G134" s="2"/>
      <c r="H134" s="2"/>
      <c r="I134" s="2"/>
      <c r="J134" s="2"/>
      <c r="K134" s="2"/>
      <c r="L134" s="2"/>
      <c r="M134" s="2"/>
      <c r="N134" s="2"/>
    </row>
    <row r="135" spans="1:14" ht="24.95" customHeight="1" x14ac:dyDescent="0.3">
      <c r="A135" s="1"/>
      <c r="B135" s="2"/>
      <c r="C135" s="47"/>
      <c r="D135" s="48"/>
      <c r="E135" s="48"/>
      <c r="F135" s="48"/>
      <c r="G135" s="2"/>
      <c r="H135" s="2"/>
      <c r="I135" s="2"/>
      <c r="J135" s="2"/>
      <c r="K135" s="2"/>
      <c r="L135" s="2"/>
      <c r="M135" s="2"/>
      <c r="N135" s="2"/>
    </row>
    <row r="136" spans="1:14" ht="24.95" customHeight="1" x14ac:dyDescent="0.3">
      <c r="A136" s="1"/>
      <c r="B136" s="2"/>
      <c r="C136" s="47"/>
      <c r="D136" s="48"/>
      <c r="E136" s="48"/>
      <c r="F136" s="48"/>
      <c r="G136" s="2"/>
      <c r="H136" s="2"/>
      <c r="I136" s="2"/>
      <c r="J136" s="2"/>
      <c r="K136" s="2"/>
      <c r="L136" s="2"/>
      <c r="M136" s="2"/>
      <c r="N136" s="2"/>
    </row>
    <row r="137" spans="1:14" ht="24.95" customHeight="1" x14ac:dyDescent="0.3">
      <c r="A137" s="1"/>
      <c r="B137" s="2"/>
      <c r="C137" s="47"/>
      <c r="D137" s="48"/>
      <c r="E137" s="48"/>
      <c r="F137" s="48"/>
      <c r="G137" s="2"/>
      <c r="H137" s="2"/>
      <c r="I137" s="2"/>
      <c r="J137" s="2"/>
      <c r="K137" s="2"/>
      <c r="L137" s="2"/>
      <c r="M137" s="2"/>
      <c r="N137" s="2"/>
    </row>
    <row r="138" spans="1:14" ht="24.95" customHeight="1" x14ac:dyDescent="0.3">
      <c r="A138" s="1"/>
      <c r="B138" s="2"/>
      <c r="C138" s="47"/>
      <c r="D138" s="48"/>
      <c r="E138" s="48"/>
      <c r="F138" s="48"/>
      <c r="G138" s="2"/>
      <c r="H138" s="2"/>
      <c r="I138" s="2"/>
      <c r="J138" s="2"/>
      <c r="K138" s="2"/>
      <c r="L138" s="2"/>
      <c r="M138" s="2"/>
      <c r="N138" s="2"/>
    </row>
    <row r="139" spans="1:14" ht="24.95" customHeight="1" x14ac:dyDescent="0.3">
      <c r="A139" s="1"/>
      <c r="B139" s="2"/>
      <c r="C139" s="47"/>
      <c r="D139" s="48"/>
      <c r="E139" s="48"/>
      <c r="F139" s="48"/>
      <c r="G139" s="2"/>
      <c r="H139" s="2"/>
      <c r="I139" s="2"/>
      <c r="J139" s="2"/>
      <c r="K139" s="2"/>
      <c r="L139" s="2"/>
      <c r="M139" s="2"/>
      <c r="N139" s="2"/>
    </row>
    <row r="140" spans="1:14" ht="24.95" customHeight="1" x14ac:dyDescent="0.3">
      <c r="A140" s="1"/>
      <c r="B140" s="2"/>
      <c r="C140" s="47"/>
      <c r="D140" s="48"/>
      <c r="E140" s="48"/>
      <c r="F140" s="48"/>
      <c r="G140" s="2"/>
      <c r="H140" s="2"/>
      <c r="I140" s="2"/>
      <c r="J140" s="2"/>
      <c r="K140" s="2"/>
      <c r="L140" s="2"/>
      <c r="M140" s="2"/>
      <c r="N140" s="2"/>
    </row>
    <row r="141" spans="1:14" ht="24.95" customHeight="1" x14ac:dyDescent="0.3">
      <c r="A141" s="1"/>
      <c r="B141" s="2"/>
      <c r="C141" s="47"/>
      <c r="D141" s="48"/>
      <c r="E141" s="48"/>
      <c r="F141" s="48"/>
      <c r="G141" s="2"/>
      <c r="H141" s="2"/>
      <c r="I141" s="2"/>
      <c r="J141" s="2"/>
      <c r="K141" s="2"/>
      <c r="L141" s="2"/>
      <c r="M141" s="2"/>
      <c r="N141" s="2"/>
    </row>
    <row r="142" spans="1:14" ht="24.95" customHeight="1" x14ac:dyDescent="0.3">
      <c r="A142" s="1"/>
      <c r="B142" s="2"/>
      <c r="C142" s="47"/>
      <c r="D142" s="48"/>
      <c r="E142" s="48"/>
      <c r="F142" s="48"/>
      <c r="G142" s="2"/>
      <c r="H142" s="2"/>
      <c r="I142" s="2"/>
      <c r="J142" s="2"/>
      <c r="K142" s="2"/>
      <c r="L142" s="2"/>
      <c r="M142" s="2"/>
      <c r="N142" s="2"/>
    </row>
    <row r="143" spans="1:14" ht="24.95" customHeight="1" x14ac:dyDescent="0.3">
      <c r="A143" s="1"/>
      <c r="B143" s="2"/>
      <c r="C143" s="47"/>
      <c r="D143" s="48"/>
      <c r="E143" s="48"/>
      <c r="F143" s="48"/>
      <c r="G143" s="2"/>
      <c r="H143" s="2"/>
      <c r="I143" s="2"/>
      <c r="J143" s="2"/>
      <c r="K143" s="2"/>
      <c r="L143" s="2"/>
      <c r="M143" s="2"/>
      <c r="N143" s="2"/>
    </row>
    <row r="144" spans="1:14" ht="24.95" customHeight="1" x14ac:dyDescent="0.3">
      <c r="A144" s="1"/>
      <c r="B144" s="2"/>
      <c r="C144" s="47"/>
      <c r="D144" s="48"/>
      <c r="E144" s="48"/>
      <c r="F144" s="48"/>
      <c r="G144" s="2"/>
      <c r="H144" s="2"/>
      <c r="I144" s="2"/>
      <c r="J144" s="2"/>
      <c r="K144" s="2"/>
      <c r="L144" s="2"/>
      <c r="M144" s="2"/>
      <c r="N144" s="2"/>
    </row>
    <row r="145" spans="1:17" ht="24.95" customHeight="1" x14ac:dyDescent="0.3">
      <c r="A145" s="1"/>
      <c r="B145" s="2"/>
      <c r="C145" s="47"/>
      <c r="D145" s="48"/>
      <c r="E145" s="48"/>
      <c r="F145" s="48"/>
      <c r="G145" s="2"/>
      <c r="H145" s="2"/>
      <c r="I145" s="2"/>
      <c r="J145" s="2"/>
      <c r="K145" s="2"/>
      <c r="L145" s="2"/>
      <c r="M145" s="2"/>
      <c r="N145" s="2"/>
    </row>
    <row r="146" spans="1:17" ht="24.95" customHeight="1" x14ac:dyDescent="0.3">
      <c r="A146" s="1"/>
      <c r="B146" s="2"/>
      <c r="C146" s="47"/>
      <c r="D146" s="48"/>
      <c r="E146" s="48"/>
      <c r="F146" s="48"/>
      <c r="G146" s="2"/>
      <c r="H146" s="2"/>
      <c r="I146" s="2"/>
      <c r="J146" s="2"/>
      <c r="K146" s="2"/>
      <c r="L146" s="2"/>
      <c r="M146" s="2"/>
      <c r="N146" s="2"/>
    </row>
    <row r="147" spans="1:17" ht="24.95" customHeight="1" x14ac:dyDescent="0.3">
      <c r="A147" s="1"/>
      <c r="B147" s="2"/>
      <c r="C147" s="47"/>
      <c r="D147" s="48"/>
      <c r="E147" s="48"/>
      <c r="F147" s="48"/>
      <c r="G147" s="2"/>
      <c r="H147" s="2"/>
      <c r="I147" s="2"/>
      <c r="J147" s="2"/>
      <c r="K147" s="2"/>
      <c r="L147" s="2"/>
      <c r="M147" s="2"/>
      <c r="N147" s="2"/>
    </row>
    <row r="148" spans="1:17" ht="24.95" customHeight="1" x14ac:dyDescent="0.3">
      <c r="A148" s="1"/>
      <c r="B148" s="2"/>
      <c r="C148" s="47"/>
      <c r="D148" s="48"/>
      <c r="E148" s="48"/>
      <c r="F148" s="48"/>
      <c r="G148" s="2"/>
      <c r="H148" s="2"/>
      <c r="I148" s="2"/>
      <c r="J148" s="2"/>
      <c r="K148" s="2"/>
      <c r="L148" s="2"/>
      <c r="M148" s="2"/>
      <c r="N148" s="2"/>
    </row>
    <row r="149" spans="1:17" ht="24.95" customHeight="1" x14ac:dyDescent="0.3">
      <c r="A149" s="1"/>
      <c r="B149" s="2"/>
      <c r="C149" s="47"/>
      <c r="D149" s="48"/>
      <c r="E149" s="48"/>
      <c r="F149" s="48"/>
      <c r="G149" s="2"/>
      <c r="H149" s="2"/>
      <c r="I149" s="2"/>
      <c r="J149" s="2"/>
      <c r="K149" s="2"/>
      <c r="L149" s="2"/>
      <c r="M149" s="2"/>
      <c r="N149" s="2"/>
    </row>
    <row r="150" spans="1:17" ht="24.95" customHeight="1" x14ac:dyDescent="0.3">
      <c r="A150" s="1"/>
      <c r="B150" s="2"/>
      <c r="C150" s="47"/>
      <c r="D150" s="48"/>
      <c r="E150" s="48"/>
      <c r="F150" s="48"/>
      <c r="G150" s="2"/>
      <c r="H150" s="2"/>
      <c r="I150" s="2"/>
      <c r="J150" s="2"/>
      <c r="K150" s="2"/>
      <c r="L150" s="2"/>
      <c r="M150" s="2"/>
      <c r="N150" s="2"/>
    </row>
    <row r="151" spans="1:17" ht="24.95" customHeight="1" x14ac:dyDescent="0.3">
      <c r="A151" s="1"/>
      <c r="B151" s="2"/>
      <c r="C151" s="47"/>
      <c r="D151" s="48"/>
      <c r="E151" s="48"/>
      <c r="F151" s="48"/>
      <c r="G151" s="2"/>
      <c r="H151" s="2"/>
      <c r="I151" s="2"/>
      <c r="J151" s="2"/>
      <c r="K151" s="2"/>
      <c r="L151" s="2"/>
      <c r="M151" s="2"/>
      <c r="N151" s="2"/>
    </row>
    <row r="152" spans="1:17" ht="24.95" customHeight="1" x14ac:dyDescent="0.3">
      <c r="A152" s="1"/>
      <c r="B152" s="2"/>
      <c r="C152" s="47"/>
      <c r="D152" s="48"/>
      <c r="E152" s="48"/>
      <c r="F152" s="48"/>
      <c r="G152" s="2"/>
      <c r="H152" s="2"/>
      <c r="I152" s="2"/>
      <c r="J152" s="2"/>
      <c r="K152" s="2"/>
      <c r="L152" s="2"/>
      <c r="M152" s="2"/>
      <c r="N152" s="2"/>
    </row>
    <row r="153" spans="1:17" ht="24.95" customHeight="1" x14ac:dyDescent="0.3">
      <c r="A153" s="1"/>
      <c r="B153" s="2"/>
      <c r="C153" s="47"/>
      <c r="D153" s="48"/>
      <c r="E153" s="48"/>
      <c r="F153" s="48"/>
      <c r="G153" s="2"/>
      <c r="H153" s="2"/>
      <c r="I153" s="2"/>
      <c r="J153" s="2"/>
      <c r="K153" s="2"/>
      <c r="L153" s="2"/>
      <c r="M153" s="2"/>
      <c r="N153" s="2"/>
    </row>
    <row r="154" spans="1:17" ht="24.95" customHeight="1" x14ac:dyDescent="0.3">
      <c r="A154" s="1"/>
      <c r="B154" s="2"/>
      <c r="C154" s="47"/>
      <c r="D154" s="48"/>
      <c r="E154" s="48"/>
      <c r="F154" s="48"/>
      <c r="G154" s="2"/>
      <c r="H154" s="2"/>
      <c r="I154" s="2"/>
      <c r="J154" s="2"/>
      <c r="K154" s="2"/>
      <c r="L154" s="2"/>
      <c r="M154" s="2"/>
      <c r="N154" s="2"/>
    </row>
    <row r="155" spans="1:17" ht="24.95" customHeight="1" x14ac:dyDescent="0.3">
      <c r="A155" s="1"/>
      <c r="B155" s="2"/>
      <c r="C155" s="47"/>
      <c r="D155" s="48"/>
      <c r="E155" s="48"/>
      <c r="F155" s="48"/>
      <c r="G155" s="2"/>
      <c r="H155" s="2"/>
      <c r="I155" s="2"/>
      <c r="J155" s="2"/>
      <c r="K155" s="2"/>
      <c r="L155" s="2"/>
      <c r="M155" s="2"/>
      <c r="N155" s="2"/>
    </row>
    <row r="156" spans="1:17" ht="24.95" customHeight="1" x14ac:dyDescent="0.3">
      <c r="A156" s="1"/>
      <c r="B156" s="2"/>
      <c r="C156" s="47"/>
      <c r="D156" s="48"/>
      <c r="E156" s="48"/>
      <c r="F156" s="48"/>
      <c r="G156" s="2"/>
      <c r="H156" s="2"/>
      <c r="I156" s="2"/>
      <c r="J156" s="2"/>
      <c r="K156" s="2"/>
      <c r="L156" s="2"/>
      <c r="M156" s="2"/>
      <c r="N156" s="2"/>
    </row>
    <row r="157" spans="1:17" ht="24.95" customHeight="1" x14ac:dyDescent="0.3">
      <c r="A157" s="1"/>
      <c r="B157" s="2"/>
      <c r="C157" s="47"/>
      <c r="D157" s="48"/>
      <c r="E157" s="48"/>
      <c r="F157" s="48"/>
      <c r="G157" s="2"/>
      <c r="H157" s="2"/>
      <c r="I157" s="2"/>
      <c r="J157" s="2"/>
      <c r="K157" s="2"/>
      <c r="L157" s="2"/>
      <c r="M157" s="2"/>
      <c r="N157" s="2"/>
    </row>
    <row r="158" spans="1:17" ht="24.95" customHeight="1" x14ac:dyDescent="0.3">
      <c r="A158" s="1"/>
      <c r="B158" s="2"/>
      <c r="C158" s="47"/>
      <c r="D158" s="48"/>
      <c r="E158" s="48"/>
      <c r="F158" s="48"/>
      <c r="G158" s="2"/>
      <c r="H158" s="2"/>
      <c r="I158" s="2"/>
      <c r="J158" s="2"/>
      <c r="K158" s="2"/>
      <c r="L158" s="2"/>
      <c r="M158" s="2"/>
      <c r="N158" s="2"/>
    </row>
    <row r="159" spans="1:17" ht="24.95" customHeight="1" x14ac:dyDescent="0.3">
      <c r="A159" s="1"/>
      <c r="B159" s="2"/>
      <c r="C159" s="47"/>
      <c r="D159" s="48"/>
      <c r="E159" s="48"/>
      <c r="F159" s="48"/>
      <c r="G159" s="2"/>
      <c r="H159" s="2"/>
      <c r="I159" s="2"/>
      <c r="J159" s="2"/>
      <c r="K159" s="2"/>
      <c r="L159" s="2"/>
      <c r="M159" s="2"/>
      <c r="N159" s="2"/>
    </row>
    <row r="160" spans="1:17" ht="24.95" customHeight="1" x14ac:dyDescent="0.3">
      <c r="A160" s="1"/>
      <c r="B160" s="2"/>
      <c r="C160" s="47"/>
      <c r="D160" s="48"/>
      <c r="E160" s="48"/>
      <c r="F160" s="48"/>
      <c r="G160" s="2"/>
      <c r="H160" s="2"/>
      <c r="I160" s="2"/>
      <c r="J160" s="2"/>
      <c r="K160" s="2"/>
      <c r="L160" s="2"/>
      <c r="M160" s="2"/>
      <c r="N160" s="2"/>
      <c r="Q160" t="str">
        <f t="shared" ref="Q160" si="6">CONCATENATE("(",A160,",'",H160,"',",I160,",",J160,",",K160,",",L160,",",M160,"),")</f>
        <v>(,'',,,,,),</v>
      </c>
    </row>
  </sheetData>
  <autoFilter ref="A2:Q101">
    <filterColumn colId="13">
      <filters>
        <filter val="12"/>
        <filter val="13"/>
        <filter val="14"/>
        <filter val="8"/>
      </filters>
    </filterColumn>
    <sortState ref="A19:N78">
      <sortCondition ref="A2:A206"/>
    </sortState>
  </autoFilter>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
  <sheetViews>
    <sheetView topLeftCell="H7" workbookViewId="0">
      <selection activeCell="N17" sqref="N17:S19"/>
    </sheetView>
  </sheetViews>
  <sheetFormatPr baseColWidth="10" defaultRowHeight="16.5" x14ac:dyDescent="0.3"/>
  <cols>
    <col min="1" max="1" width="24.28515625" hidden="1" customWidth="1"/>
    <col min="2" max="3" width="28.140625" hidden="1" customWidth="1"/>
    <col min="4" max="4" width="0" hidden="1" customWidth="1"/>
    <col min="5" max="5" width="23.140625" hidden="1" customWidth="1"/>
    <col min="6" max="6" width="22" hidden="1" customWidth="1"/>
    <col min="7" max="7" width="20.7109375" hidden="1" customWidth="1"/>
    <col min="8" max="8" width="20.7109375" customWidth="1"/>
    <col min="9" max="9" width="23.140625" bestFit="1" customWidth="1"/>
    <col min="16" max="16" width="11.42578125" style="63"/>
    <col min="17" max="17" width="10" style="63" bestFit="1" customWidth="1"/>
    <col min="18" max="18" width="43.85546875" bestFit="1" customWidth="1"/>
  </cols>
  <sheetData>
    <row r="1" spans="1:23" ht="33" x14ac:dyDescent="0.3">
      <c r="A1" s="54"/>
      <c r="B1" s="54"/>
      <c r="C1" s="54"/>
      <c r="D1" s="54"/>
      <c r="E1" s="54"/>
      <c r="F1" s="54"/>
      <c r="G1" s="54"/>
      <c r="H1" s="54"/>
      <c r="I1" s="54" t="s">
        <v>1600</v>
      </c>
      <c r="J1" s="54" t="s">
        <v>1601</v>
      </c>
      <c r="K1" s="54" t="s">
        <v>1602</v>
      </c>
      <c r="L1" s="54"/>
      <c r="M1" s="54"/>
      <c r="N1" s="54" t="s">
        <v>1603</v>
      </c>
      <c r="O1" s="54" t="s">
        <v>212</v>
      </c>
      <c r="P1" s="54" t="s">
        <v>211</v>
      </c>
      <c r="Q1" s="54" t="s">
        <v>1604</v>
      </c>
      <c r="R1" s="54" t="s">
        <v>1605</v>
      </c>
      <c r="S1" s="54" t="s">
        <v>1473</v>
      </c>
      <c r="T1" s="54" t="s">
        <v>991</v>
      </c>
    </row>
    <row r="2" spans="1:23" ht="30" customHeight="1" x14ac:dyDescent="0.3">
      <c r="A2" s="56"/>
      <c r="B2" s="60"/>
      <c r="C2" s="55"/>
      <c r="D2" s="55"/>
      <c r="E2" s="55"/>
      <c r="F2" s="55"/>
      <c r="G2" s="42"/>
      <c r="H2" s="42">
        <v>1</v>
      </c>
      <c r="I2" s="55" t="s">
        <v>1606</v>
      </c>
      <c r="J2" s="55" t="s">
        <v>1650</v>
      </c>
      <c r="K2" s="55" t="s">
        <v>1651</v>
      </c>
      <c r="L2" s="55"/>
      <c r="M2" s="55">
        <v>1</v>
      </c>
      <c r="N2" s="55" t="s">
        <v>1478</v>
      </c>
      <c r="O2" s="55" t="s">
        <v>1511</v>
      </c>
      <c r="P2" s="55" t="s">
        <v>1512</v>
      </c>
      <c r="Q2" s="55">
        <v>750</v>
      </c>
      <c r="R2" s="55">
        <v>39</v>
      </c>
      <c r="S2" s="55">
        <v>76</v>
      </c>
      <c r="T2" s="55">
        <v>3</v>
      </c>
      <c r="V2" t="str">
        <f>CONCATENATE(J2,"-01-01")</f>
        <v>1983-01-01-01-01</v>
      </c>
      <c r="W2" t="str">
        <f>CONCATENATE(K2,"-01-01")</f>
        <v>1985-01-01-01-01</v>
      </c>
    </row>
    <row r="3" spans="1:23" ht="30" customHeight="1" x14ac:dyDescent="0.3">
      <c r="A3" s="56"/>
      <c r="B3" s="60"/>
      <c r="C3" s="55"/>
      <c r="D3" s="55"/>
      <c r="E3" s="55"/>
      <c r="F3" s="55"/>
      <c r="G3" s="42"/>
      <c r="H3" s="42">
        <v>2</v>
      </c>
      <c r="I3" s="55" t="s">
        <v>1607</v>
      </c>
      <c r="J3" s="55" t="s">
        <v>1652</v>
      </c>
      <c r="K3" s="55" t="s">
        <v>1217</v>
      </c>
      <c r="L3" s="55"/>
      <c r="M3" s="55">
        <v>1</v>
      </c>
      <c r="N3" s="55" t="s">
        <v>1425</v>
      </c>
      <c r="O3" s="55" t="s">
        <v>1534</v>
      </c>
      <c r="P3" s="55" t="s">
        <v>1535</v>
      </c>
      <c r="Q3" s="55">
        <v>130</v>
      </c>
      <c r="R3" s="55">
        <v>39</v>
      </c>
      <c r="S3" s="55">
        <v>1096</v>
      </c>
      <c r="T3" s="55">
        <v>30</v>
      </c>
      <c r="V3" t="str">
        <f t="shared" ref="V3:V19" si="0">CONCATENATE(J3,"-01-01")</f>
        <v>1980-01-01-01-01</v>
      </c>
      <c r="W3" t="str">
        <f t="shared" ref="W3:W19" si="1">CONCATENATE(K3,"-01-01")</f>
        <v>1982-01-01-01-01</v>
      </c>
    </row>
    <row r="4" spans="1:23" ht="30" customHeight="1" x14ac:dyDescent="0.3">
      <c r="A4" s="56"/>
      <c r="B4" s="60"/>
      <c r="C4" s="55"/>
      <c r="D4" s="55"/>
      <c r="E4" s="55"/>
      <c r="F4" s="55"/>
      <c r="G4" s="42"/>
      <c r="H4" s="42">
        <v>3</v>
      </c>
      <c r="I4" s="55" t="s">
        <v>1608</v>
      </c>
      <c r="J4" s="55" t="s">
        <v>1653</v>
      </c>
      <c r="K4" s="55" t="s">
        <v>1654</v>
      </c>
      <c r="L4" s="55"/>
      <c r="M4" s="55">
        <v>1</v>
      </c>
      <c r="N4" s="55" t="s">
        <v>83</v>
      </c>
      <c r="O4" s="55" t="s">
        <v>1609</v>
      </c>
      <c r="P4" s="55" t="s">
        <v>1610</v>
      </c>
      <c r="Q4" s="55">
        <v>5</v>
      </c>
      <c r="R4" s="55">
        <v>39</v>
      </c>
      <c r="S4" s="55">
        <v>1113</v>
      </c>
      <c r="T4" s="55">
        <v>31</v>
      </c>
      <c r="V4" t="str">
        <f t="shared" si="0"/>
        <v>1964-01-01-01-01</v>
      </c>
      <c r="W4" t="str">
        <f t="shared" si="1"/>
        <v>1965-01-01-01-01</v>
      </c>
    </row>
    <row r="5" spans="1:23" ht="30" customHeight="1" x14ac:dyDescent="0.3">
      <c r="A5" s="56"/>
      <c r="B5" s="60"/>
      <c r="C5" s="55"/>
      <c r="D5" s="55"/>
      <c r="E5" s="55"/>
      <c r="F5" s="55"/>
      <c r="G5" s="42"/>
      <c r="H5" s="42">
        <v>4</v>
      </c>
      <c r="I5" s="55" t="s">
        <v>1611</v>
      </c>
      <c r="J5" s="55" t="s">
        <v>1655</v>
      </c>
      <c r="K5" s="55" t="s">
        <v>1241</v>
      </c>
      <c r="L5" s="55"/>
      <c r="M5" s="55">
        <v>1</v>
      </c>
      <c r="N5" s="55" t="s">
        <v>84</v>
      </c>
      <c r="O5" s="55" t="s">
        <v>1612</v>
      </c>
      <c r="P5" s="55" t="s">
        <v>1613</v>
      </c>
      <c r="Q5" s="55">
        <v>6</v>
      </c>
      <c r="R5" s="55">
        <v>39</v>
      </c>
      <c r="S5" s="55">
        <v>785</v>
      </c>
      <c r="T5" s="55">
        <v>21</v>
      </c>
      <c r="V5" t="str">
        <f t="shared" si="0"/>
        <v>1970-01-01-01-01</v>
      </c>
      <c r="W5" t="str">
        <f t="shared" si="1"/>
        <v>1971-01-01-01-01</v>
      </c>
    </row>
    <row r="6" spans="1:23" ht="30" customHeight="1" x14ac:dyDescent="0.3">
      <c r="H6" s="42">
        <v>5</v>
      </c>
      <c r="I6" s="55" t="s">
        <v>1614</v>
      </c>
      <c r="J6" s="55" t="s">
        <v>1216</v>
      </c>
      <c r="K6" s="55" t="s">
        <v>1230</v>
      </c>
      <c r="L6" s="55"/>
      <c r="M6" s="55">
        <v>1</v>
      </c>
      <c r="N6" s="55" t="s">
        <v>1161</v>
      </c>
      <c r="O6" s="55" t="s">
        <v>1615</v>
      </c>
      <c r="P6" s="55" t="s">
        <v>1616</v>
      </c>
      <c r="Q6" s="55">
        <v>3</v>
      </c>
      <c r="R6" s="55">
        <v>39</v>
      </c>
      <c r="S6" s="55">
        <v>187</v>
      </c>
      <c r="T6" s="55">
        <v>6</v>
      </c>
      <c r="V6" t="str">
        <f t="shared" si="0"/>
        <v>1960-01-01-01-01</v>
      </c>
      <c r="W6" t="str">
        <f t="shared" si="1"/>
        <v>1961-01-01-01-01</v>
      </c>
    </row>
    <row r="7" spans="1:23" ht="30" customHeight="1" x14ac:dyDescent="0.3">
      <c r="A7" s="56"/>
      <c r="B7" s="60"/>
      <c r="C7" s="55"/>
      <c r="D7" s="55"/>
      <c r="E7" s="55"/>
      <c r="F7" s="55"/>
      <c r="G7" s="42"/>
      <c r="H7" s="42">
        <v>6</v>
      </c>
      <c r="I7" s="55" t="s">
        <v>1617</v>
      </c>
      <c r="J7" s="55" t="s">
        <v>1653</v>
      </c>
      <c r="K7" s="55" t="s">
        <v>1653</v>
      </c>
      <c r="L7" s="55"/>
      <c r="M7" s="55">
        <v>1</v>
      </c>
      <c r="N7" s="55" t="s">
        <v>83</v>
      </c>
      <c r="O7" s="55" t="s">
        <v>1618</v>
      </c>
      <c r="P7" s="55" t="s">
        <v>1619</v>
      </c>
      <c r="Q7" s="55">
        <v>10</v>
      </c>
      <c r="R7" s="55">
        <v>39</v>
      </c>
      <c r="S7" s="55">
        <v>1113</v>
      </c>
      <c r="T7" s="55">
        <v>30</v>
      </c>
      <c r="V7" t="str">
        <f t="shared" si="0"/>
        <v>1964-01-01-01-01</v>
      </c>
      <c r="W7" t="str">
        <f t="shared" si="1"/>
        <v>1964-01-01-01-01</v>
      </c>
    </row>
    <row r="8" spans="1:23" ht="30" customHeight="1" x14ac:dyDescent="0.3">
      <c r="A8" s="56"/>
      <c r="B8" s="60"/>
      <c r="C8" s="55"/>
      <c r="D8" s="55"/>
      <c r="E8" s="55"/>
      <c r="F8" s="56"/>
      <c r="G8" s="42"/>
      <c r="H8" s="42">
        <v>7</v>
      </c>
      <c r="I8" s="55" t="s">
        <v>1620</v>
      </c>
      <c r="J8" s="55" t="s">
        <v>1655</v>
      </c>
      <c r="K8" s="55" t="s">
        <v>1213</v>
      </c>
      <c r="L8" s="55"/>
      <c r="M8" s="55">
        <v>1</v>
      </c>
      <c r="N8" s="55" t="s">
        <v>84</v>
      </c>
      <c r="O8" s="55" t="s">
        <v>1621</v>
      </c>
      <c r="P8" s="55" t="s">
        <v>1622</v>
      </c>
      <c r="Q8" s="55">
        <v>8</v>
      </c>
      <c r="R8" s="55">
        <v>39</v>
      </c>
      <c r="S8" s="55">
        <v>785</v>
      </c>
      <c r="T8" s="55">
        <v>21</v>
      </c>
      <c r="V8" t="str">
        <f t="shared" si="0"/>
        <v>1970-01-01-01-01</v>
      </c>
      <c r="W8" t="str">
        <f t="shared" si="1"/>
        <v>1972-01-01-01-01</v>
      </c>
    </row>
    <row r="9" spans="1:23" ht="30" customHeight="1" x14ac:dyDescent="0.3">
      <c r="A9" s="56"/>
      <c r="B9" s="60"/>
      <c r="C9" s="55"/>
      <c r="D9" s="55"/>
      <c r="E9" s="55"/>
      <c r="F9" s="55"/>
      <c r="G9" s="42"/>
      <c r="H9" s="42">
        <v>8</v>
      </c>
      <c r="I9" s="55" t="s">
        <v>1623</v>
      </c>
      <c r="J9" s="55" t="s">
        <v>1655</v>
      </c>
      <c r="K9" s="55" t="s">
        <v>1213</v>
      </c>
      <c r="L9" s="55"/>
      <c r="M9" s="55">
        <v>1</v>
      </c>
      <c r="N9" s="55" t="s">
        <v>126</v>
      </c>
      <c r="O9" s="55" t="s">
        <v>1624</v>
      </c>
      <c r="P9" s="55" t="s">
        <v>1625</v>
      </c>
      <c r="Q9" s="55">
        <v>12</v>
      </c>
      <c r="R9" s="55">
        <v>39</v>
      </c>
      <c r="S9" s="55">
        <v>1469</v>
      </c>
      <c r="T9" s="55">
        <v>46</v>
      </c>
      <c r="V9" t="str">
        <f t="shared" si="0"/>
        <v>1970-01-01-01-01</v>
      </c>
      <c r="W9" t="str">
        <f t="shared" si="1"/>
        <v>1972-01-01-01-01</v>
      </c>
    </row>
    <row r="10" spans="1:23" ht="30" customHeight="1" x14ac:dyDescent="0.3">
      <c r="A10" s="56"/>
      <c r="B10" s="60"/>
      <c r="C10" s="55"/>
      <c r="D10" s="55"/>
      <c r="E10" s="55"/>
      <c r="F10" s="55"/>
      <c r="G10" s="42"/>
      <c r="H10" s="42">
        <v>9</v>
      </c>
      <c r="I10" s="55" t="s">
        <v>1627</v>
      </c>
      <c r="J10" s="55" t="s">
        <v>1655</v>
      </c>
      <c r="K10" s="55" t="s">
        <v>1213</v>
      </c>
      <c r="L10" s="55"/>
      <c r="M10" s="55">
        <v>1</v>
      </c>
      <c r="N10" s="55" t="s">
        <v>1628</v>
      </c>
      <c r="O10" s="55" t="s">
        <v>1629</v>
      </c>
      <c r="P10" s="55" t="s">
        <v>1630</v>
      </c>
      <c r="Q10" s="55">
        <v>560</v>
      </c>
      <c r="R10" s="55">
        <v>39</v>
      </c>
      <c r="S10" s="55">
        <v>1160</v>
      </c>
      <c r="T10" s="55">
        <v>31</v>
      </c>
      <c r="V10" t="str">
        <f t="shared" si="0"/>
        <v>1970-01-01-01-01</v>
      </c>
      <c r="W10" t="str">
        <f t="shared" si="1"/>
        <v>1972-01-01-01-01</v>
      </c>
    </row>
    <row r="11" spans="1:23" ht="30" customHeight="1" x14ac:dyDescent="0.3">
      <c r="A11" s="56"/>
      <c r="B11" s="60"/>
      <c r="C11" s="55"/>
      <c r="D11" s="55"/>
      <c r="E11" s="55"/>
      <c r="F11" s="55"/>
      <c r="G11" s="42"/>
      <c r="H11" s="42">
        <v>10</v>
      </c>
      <c r="I11" s="55" t="s">
        <v>1631</v>
      </c>
      <c r="J11" s="55" t="s">
        <v>1230</v>
      </c>
      <c r="K11" s="55" t="s">
        <v>1653</v>
      </c>
      <c r="L11" s="55"/>
      <c r="M11" s="55">
        <v>1</v>
      </c>
      <c r="N11" s="55" t="s">
        <v>86</v>
      </c>
      <c r="O11" s="55" t="s">
        <v>1632</v>
      </c>
      <c r="P11" s="55" t="s">
        <v>1633</v>
      </c>
      <c r="Q11" s="55">
        <v>25</v>
      </c>
      <c r="R11" s="55">
        <v>39</v>
      </c>
      <c r="S11" s="55">
        <v>581</v>
      </c>
      <c r="T11" s="55">
        <v>16</v>
      </c>
      <c r="V11" t="str">
        <f t="shared" si="0"/>
        <v>1961-01-01-01-01</v>
      </c>
      <c r="W11" t="str">
        <f t="shared" si="1"/>
        <v>1964-01-01-01-01</v>
      </c>
    </row>
    <row r="12" spans="1:23" ht="30" customHeight="1" x14ac:dyDescent="0.3">
      <c r="A12" s="56"/>
      <c r="B12" s="60"/>
      <c r="C12" s="55"/>
      <c r="D12" s="55"/>
      <c r="E12" s="55"/>
      <c r="F12" s="55"/>
      <c r="G12" s="42"/>
      <c r="H12" s="42">
        <v>11</v>
      </c>
      <c r="I12" s="55" t="s">
        <v>1634</v>
      </c>
      <c r="J12" s="55" t="s">
        <v>1655</v>
      </c>
      <c r="K12" s="55" t="s">
        <v>1213</v>
      </c>
      <c r="L12" s="55"/>
      <c r="M12" s="55">
        <v>1</v>
      </c>
      <c r="N12" s="55" t="s">
        <v>83</v>
      </c>
      <c r="O12" s="55" t="s">
        <v>1618</v>
      </c>
      <c r="P12" s="55" t="s">
        <v>1635</v>
      </c>
      <c r="Q12" s="55">
        <v>7</v>
      </c>
      <c r="R12" s="55">
        <v>39</v>
      </c>
      <c r="S12" s="55">
        <v>1113</v>
      </c>
      <c r="T12" s="55">
        <v>31</v>
      </c>
      <c r="V12" t="str">
        <f t="shared" si="0"/>
        <v>1970-01-01-01-01</v>
      </c>
      <c r="W12" t="str">
        <f t="shared" si="1"/>
        <v>1972-01-01-01-01</v>
      </c>
    </row>
    <row r="13" spans="1:23" ht="30" customHeight="1" x14ac:dyDescent="0.3">
      <c r="A13" s="56"/>
      <c r="B13" s="60"/>
      <c r="C13" s="55"/>
      <c r="D13" s="55"/>
      <c r="E13" s="55"/>
      <c r="F13" s="55"/>
      <c r="G13" s="42"/>
      <c r="H13" s="42">
        <v>12</v>
      </c>
      <c r="I13" s="55" t="s">
        <v>1154</v>
      </c>
      <c r="J13" s="55" t="s">
        <v>1242</v>
      </c>
      <c r="K13" s="55" t="s">
        <v>1652</v>
      </c>
      <c r="L13" s="55"/>
      <c r="M13" s="55">
        <v>1</v>
      </c>
      <c r="N13" s="55" t="s">
        <v>84</v>
      </c>
      <c r="O13" s="55" t="s">
        <v>1621</v>
      </c>
      <c r="P13" s="55" t="s">
        <v>1636</v>
      </c>
      <c r="Q13" s="55">
        <v>10</v>
      </c>
      <c r="R13" s="55">
        <v>39</v>
      </c>
      <c r="S13" s="55">
        <v>785</v>
      </c>
      <c r="T13" s="55">
        <v>21</v>
      </c>
      <c r="V13" t="str">
        <f t="shared" si="0"/>
        <v>1978-01-01-01-01</v>
      </c>
      <c r="W13" t="str">
        <f t="shared" si="1"/>
        <v>1980-01-01-01-01</v>
      </c>
    </row>
    <row r="14" spans="1:23" ht="30" customHeight="1" x14ac:dyDescent="0.3">
      <c r="A14" s="56"/>
      <c r="B14" s="60"/>
      <c r="C14" s="55"/>
      <c r="D14" s="55"/>
      <c r="E14" s="55"/>
      <c r="F14" s="55"/>
      <c r="G14" s="42"/>
      <c r="H14" s="42">
        <v>13</v>
      </c>
      <c r="I14" s="55" t="s">
        <v>1155</v>
      </c>
      <c r="J14" s="55" t="s">
        <v>1652</v>
      </c>
      <c r="K14" s="55" t="s">
        <v>1249</v>
      </c>
      <c r="L14" s="55"/>
      <c r="M14" s="55">
        <v>1</v>
      </c>
      <c r="N14" s="55" t="s">
        <v>102</v>
      </c>
      <c r="O14" s="55" t="s">
        <v>1534</v>
      </c>
      <c r="P14" s="55" t="s">
        <v>1535</v>
      </c>
      <c r="Q14" s="55">
        <v>130</v>
      </c>
      <c r="R14" s="55">
        <v>39</v>
      </c>
      <c r="S14" s="55">
        <v>1096</v>
      </c>
      <c r="T14" s="55">
        <v>30</v>
      </c>
      <c r="V14" t="str">
        <f t="shared" si="0"/>
        <v>1980-01-01-01-01</v>
      </c>
      <c r="W14" t="str">
        <f t="shared" si="1"/>
        <v>1981-01-01-01-01</v>
      </c>
    </row>
    <row r="15" spans="1:23" ht="30" customHeight="1" x14ac:dyDescent="0.3">
      <c r="A15" s="56"/>
      <c r="B15" s="60"/>
      <c r="C15" s="55"/>
      <c r="D15" s="55"/>
      <c r="E15" s="55"/>
      <c r="F15" s="55"/>
      <c r="G15" s="42"/>
      <c r="H15" s="42">
        <v>14</v>
      </c>
      <c r="I15" s="55" t="s">
        <v>1637</v>
      </c>
      <c r="J15" s="55" t="s">
        <v>1222</v>
      </c>
      <c r="K15" s="55" t="s">
        <v>1656</v>
      </c>
      <c r="L15" s="55"/>
      <c r="M15" s="55">
        <v>1</v>
      </c>
      <c r="N15" s="55" t="s">
        <v>1157</v>
      </c>
      <c r="O15" s="55" t="s">
        <v>1638</v>
      </c>
      <c r="P15" s="55" t="s">
        <v>1639</v>
      </c>
      <c r="Q15" s="55">
        <v>280</v>
      </c>
      <c r="R15" s="55">
        <v>39</v>
      </c>
      <c r="S15" s="55">
        <v>1</v>
      </c>
      <c r="T15" s="55">
        <v>1</v>
      </c>
      <c r="V15" t="str">
        <f t="shared" si="0"/>
        <v>2006-01-01-01-01</v>
      </c>
      <c r="W15" t="str">
        <f t="shared" si="1"/>
        <v>2007-01-01-01-01</v>
      </c>
    </row>
    <row r="16" spans="1:23" ht="30" customHeight="1" x14ac:dyDescent="0.3">
      <c r="A16" s="56"/>
      <c r="B16" s="60"/>
      <c r="C16" s="55"/>
      <c r="D16" s="55"/>
      <c r="E16" s="55"/>
      <c r="F16" s="55"/>
      <c r="G16" s="42"/>
      <c r="H16" s="42">
        <v>15</v>
      </c>
      <c r="I16" s="55" t="s">
        <v>1373</v>
      </c>
      <c r="J16" s="55" t="s">
        <v>1242</v>
      </c>
      <c r="K16" s="55" t="s">
        <v>1652</v>
      </c>
      <c r="L16" s="55"/>
      <c r="M16" s="55">
        <v>1</v>
      </c>
      <c r="N16" s="55" t="s">
        <v>84</v>
      </c>
      <c r="O16" s="55" t="s">
        <v>1640</v>
      </c>
      <c r="P16" s="55" t="s">
        <v>1636</v>
      </c>
      <c r="Q16" s="55">
        <v>10</v>
      </c>
      <c r="R16" s="55">
        <v>39</v>
      </c>
      <c r="S16" s="55">
        <v>785</v>
      </c>
      <c r="T16" s="55">
        <v>21</v>
      </c>
      <c r="V16" t="str">
        <f t="shared" si="0"/>
        <v>1978-01-01-01-01</v>
      </c>
      <c r="W16" t="str">
        <f t="shared" si="1"/>
        <v>1980-01-01-01-01</v>
      </c>
    </row>
    <row r="17" spans="1:23" ht="30" customHeight="1" x14ac:dyDescent="0.3">
      <c r="A17" s="56"/>
      <c r="B17" s="55"/>
      <c r="C17" s="55"/>
      <c r="D17" s="55"/>
      <c r="E17" s="55"/>
      <c r="F17" s="55"/>
      <c r="G17" s="42"/>
      <c r="H17" s="42">
        <v>16</v>
      </c>
      <c r="I17" s="55" t="s">
        <v>1641</v>
      </c>
      <c r="J17" s="55" t="s">
        <v>1242</v>
      </c>
      <c r="K17" s="55" t="s">
        <v>1652</v>
      </c>
      <c r="L17" s="55"/>
      <c r="M17" s="55">
        <v>1</v>
      </c>
      <c r="N17" s="55" t="s">
        <v>122</v>
      </c>
      <c r="O17" s="55" t="s">
        <v>1642</v>
      </c>
      <c r="P17" s="55" t="s">
        <v>1643</v>
      </c>
      <c r="Q17" s="55">
        <v>980</v>
      </c>
      <c r="R17" s="55">
        <v>39</v>
      </c>
      <c r="S17" s="55">
        <v>414</v>
      </c>
      <c r="T17" s="55">
        <v>13</v>
      </c>
      <c r="V17" t="str">
        <f t="shared" si="0"/>
        <v>1978-01-01-01-01</v>
      </c>
      <c r="W17" t="str">
        <f t="shared" si="1"/>
        <v>1980-01-01-01-01</v>
      </c>
    </row>
    <row r="18" spans="1:23" ht="30" customHeight="1" x14ac:dyDescent="0.3">
      <c r="H18" s="42">
        <v>17</v>
      </c>
      <c r="I18" s="55" t="s">
        <v>1644</v>
      </c>
      <c r="J18" s="55" t="s">
        <v>1242</v>
      </c>
      <c r="K18" s="55" t="s">
        <v>1652</v>
      </c>
      <c r="L18" s="55"/>
      <c r="M18" s="55">
        <v>1</v>
      </c>
      <c r="N18" s="55" t="s">
        <v>1626</v>
      </c>
      <c r="O18" s="55" t="s">
        <v>1624</v>
      </c>
      <c r="P18" s="55" t="s">
        <v>1645</v>
      </c>
      <c r="Q18" s="55">
        <v>10</v>
      </c>
      <c r="R18" s="55">
        <v>39</v>
      </c>
      <c r="S18" s="55">
        <v>1469</v>
      </c>
      <c r="T18" s="55">
        <v>46</v>
      </c>
      <c r="V18" t="str">
        <f t="shared" si="0"/>
        <v>1978-01-01-01-01</v>
      </c>
      <c r="W18" t="str">
        <f t="shared" si="1"/>
        <v>1980-01-01-01-01</v>
      </c>
    </row>
    <row r="19" spans="1:23" ht="30" customHeight="1" x14ac:dyDescent="0.3">
      <c r="H19" s="42">
        <v>18</v>
      </c>
      <c r="I19" s="55" t="s">
        <v>1646</v>
      </c>
      <c r="J19" s="55" t="s">
        <v>1242</v>
      </c>
      <c r="K19" s="55" t="s">
        <v>1652</v>
      </c>
      <c r="L19" s="55"/>
      <c r="M19" s="55">
        <v>1</v>
      </c>
      <c r="N19" s="55" t="s">
        <v>1647</v>
      </c>
      <c r="O19" s="55" t="s">
        <v>1648</v>
      </c>
      <c r="P19" s="55" t="s">
        <v>1649</v>
      </c>
      <c r="Q19" s="55">
        <v>50</v>
      </c>
      <c r="R19" s="55">
        <v>39</v>
      </c>
      <c r="S19" s="55">
        <v>1203</v>
      </c>
      <c r="T19" s="55">
        <v>35</v>
      </c>
      <c r="V19" t="str">
        <f t="shared" si="0"/>
        <v>1978-01-01-01-01</v>
      </c>
      <c r="W19" t="str">
        <f t="shared" si="1"/>
        <v>1980-01-01-01-01</v>
      </c>
    </row>
    <row r="20" spans="1:23" ht="30" customHeight="1" x14ac:dyDescent="0.3">
      <c r="I20" s="61"/>
      <c r="J20" s="55"/>
      <c r="K20" s="55"/>
      <c r="L20" s="55"/>
      <c r="M20" s="55"/>
      <c r="N20" s="55"/>
      <c r="O20" s="55"/>
      <c r="P20" s="62"/>
      <c r="Q20" s="62"/>
      <c r="R20" s="42"/>
    </row>
  </sheetData>
  <autoFilter ref="H1:T20">
    <sortState ref="H2:R20">
      <sortCondition ref="H1:H20"/>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I2" sqref="I2:I28"/>
    </sheetView>
  </sheetViews>
  <sheetFormatPr baseColWidth="10" defaultRowHeight="16.5" x14ac:dyDescent="0.3"/>
  <sheetData>
    <row r="1" spans="1:9" x14ac:dyDescent="0.3">
      <c r="A1" s="54"/>
      <c r="B1" s="54"/>
      <c r="C1" s="54"/>
      <c r="D1" s="54"/>
      <c r="E1" s="54"/>
      <c r="F1" s="54"/>
      <c r="G1" s="54"/>
      <c r="I1" t="s">
        <v>1584</v>
      </c>
    </row>
    <row r="2" spans="1:9" x14ac:dyDescent="0.3">
      <c r="A2" s="55"/>
      <c r="B2" s="55"/>
      <c r="C2" s="55"/>
      <c r="D2" s="55"/>
      <c r="E2" s="55"/>
      <c r="F2" s="55"/>
      <c r="G2" s="55"/>
      <c r="I2" t="s">
        <v>1572</v>
      </c>
    </row>
    <row r="3" spans="1:9" x14ac:dyDescent="0.3">
      <c r="A3" s="55"/>
      <c r="B3" s="55"/>
      <c r="C3" s="55"/>
      <c r="D3" s="55"/>
      <c r="E3" s="55"/>
      <c r="F3" s="55"/>
      <c r="G3" s="55"/>
      <c r="I3" t="s">
        <v>1592</v>
      </c>
    </row>
    <row r="4" spans="1:9" x14ac:dyDescent="0.3">
      <c r="A4" s="55"/>
      <c r="B4" s="55"/>
      <c r="C4" s="55"/>
      <c r="D4" s="55"/>
      <c r="E4" s="55"/>
      <c r="F4" s="55"/>
      <c r="G4" s="55"/>
      <c r="I4" t="s">
        <v>1573</v>
      </c>
    </row>
    <row r="5" spans="1:9" x14ac:dyDescent="0.3">
      <c r="A5" s="55"/>
      <c r="B5" s="55"/>
      <c r="C5" s="55"/>
      <c r="D5" s="55"/>
      <c r="E5" s="55"/>
      <c r="F5" s="55"/>
      <c r="G5" s="55"/>
      <c r="I5" t="s">
        <v>1593</v>
      </c>
    </row>
    <row r="6" spans="1:9" x14ac:dyDescent="0.3">
      <c r="A6" s="55"/>
      <c r="B6" s="55"/>
      <c r="C6" s="55"/>
      <c r="D6" s="55"/>
      <c r="E6" s="55"/>
      <c r="F6" s="55"/>
      <c r="G6" s="55"/>
      <c r="I6" t="s">
        <v>1574</v>
      </c>
    </row>
    <row r="7" spans="1:9" x14ac:dyDescent="0.3">
      <c r="A7" s="55"/>
      <c r="B7" s="55"/>
      <c r="C7" s="55"/>
      <c r="D7" s="55"/>
      <c r="E7" s="55"/>
      <c r="F7" s="55"/>
      <c r="G7" s="55"/>
      <c r="I7" t="s">
        <v>1594</v>
      </c>
    </row>
    <row r="8" spans="1:9" x14ac:dyDescent="0.3">
      <c r="A8" s="55"/>
      <c r="B8" s="55"/>
      <c r="C8" s="55"/>
      <c r="D8" s="55"/>
      <c r="E8" s="55"/>
      <c r="F8" s="55"/>
      <c r="G8" s="55"/>
      <c r="I8" t="s">
        <v>1575</v>
      </c>
    </row>
    <row r="9" spans="1:9" x14ac:dyDescent="0.3">
      <c r="A9" s="55"/>
      <c r="B9" s="55"/>
      <c r="C9" s="55"/>
      <c r="D9" s="55"/>
      <c r="E9" s="55"/>
      <c r="F9" s="55"/>
      <c r="G9" s="55"/>
      <c r="I9" t="s">
        <v>1595</v>
      </c>
    </row>
    <row r="10" spans="1:9" x14ac:dyDescent="0.3">
      <c r="A10" s="55"/>
      <c r="B10" s="55"/>
      <c r="C10" s="55"/>
      <c r="D10" s="55"/>
      <c r="E10" s="55"/>
      <c r="F10" s="55"/>
      <c r="G10" s="55"/>
      <c r="I10" t="s">
        <v>1576</v>
      </c>
    </row>
    <row r="11" spans="1:9" x14ac:dyDescent="0.3">
      <c r="A11" s="55"/>
      <c r="B11" s="55"/>
      <c r="C11" s="55"/>
      <c r="D11" s="55"/>
      <c r="E11" s="55"/>
      <c r="F11" s="55"/>
      <c r="G11" s="55"/>
      <c r="I11" t="s">
        <v>1596</v>
      </c>
    </row>
    <row r="12" spans="1:9" x14ac:dyDescent="0.3">
      <c r="A12" s="55"/>
      <c r="B12" s="55"/>
      <c r="C12" s="55"/>
      <c r="D12" s="55"/>
      <c r="E12" s="55"/>
      <c r="F12" s="55"/>
      <c r="G12" s="55"/>
      <c r="I12" t="s">
        <v>1577</v>
      </c>
    </row>
    <row r="13" spans="1:9" x14ac:dyDescent="0.3">
      <c r="A13" s="55"/>
      <c r="B13" s="55"/>
      <c r="C13" s="55"/>
      <c r="D13" s="55"/>
      <c r="E13" s="55"/>
      <c r="F13" s="55"/>
      <c r="G13" s="55"/>
      <c r="I13" t="s">
        <v>1597</v>
      </c>
    </row>
    <row r="14" spans="1:9" x14ac:dyDescent="0.3">
      <c r="A14" s="55"/>
      <c r="B14" s="55"/>
      <c r="C14" s="55"/>
      <c r="D14" s="55"/>
      <c r="E14" s="55"/>
      <c r="F14" s="55"/>
      <c r="G14" s="55"/>
      <c r="I14" t="s">
        <v>1578</v>
      </c>
    </row>
    <row r="15" spans="1:9" x14ac:dyDescent="0.3">
      <c r="A15" s="55"/>
      <c r="B15" s="55"/>
      <c r="C15" s="55"/>
      <c r="D15" s="55"/>
      <c r="E15" s="55"/>
      <c r="F15" s="55"/>
      <c r="G15" s="55"/>
      <c r="I15" t="s">
        <v>1579</v>
      </c>
    </row>
    <row r="16" spans="1:9" x14ac:dyDescent="0.3">
      <c r="A16" s="55"/>
      <c r="B16" s="55"/>
      <c r="C16" s="55"/>
      <c r="D16" s="55"/>
      <c r="E16" s="55"/>
      <c r="F16" s="55"/>
      <c r="G16" s="55"/>
      <c r="I16" t="s">
        <v>1580</v>
      </c>
    </row>
    <row r="17" spans="1:9" x14ac:dyDescent="0.3">
      <c r="A17" s="55"/>
      <c r="B17" s="55"/>
      <c r="C17" s="55"/>
      <c r="D17" s="55"/>
      <c r="E17" s="55"/>
      <c r="F17" s="55"/>
      <c r="G17" s="55"/>
      <c r="I17" t="s">
        <v>1598</v>
      </c>
    </row>
    <row r="18" spans="1:9" x14ac:dyDescent="0.3">
      <c r="A18" s="55"/>
      <c r="B18" s="55"/>
      <c r="C18" s="55"/>
      <c r="D18" s="55"/>
      <c r="E18" s="55"/>
      <c r="F18" s="55"/>
      <c r="G18" s="55"/>
      <c r="I18" t="s">
        <v>1581</v>
      </c>
    </row>
    <row r="19" spans="1:9" x14ac:dyDescent="0.3">
      <c r="I19" t="s">
        <v>1599</v>
      </c>
    </row>
    <row r="20" spans="1:9" x14ac:dyDescent="0.3">
      <c r="I20" t="s">
        <v>1585</v>
      </c>
    </row>
    <row r="21" spans="1:9" x14ac:dyDescent="0.3">
      <c r="I21" t="s">
        <v>1586</v>
      </c>
    </row>
    <row r="22" spans="1:9" x14ac:dyDescent="0.3">
      <c r="I22" t="s">
        <v>1582</v>
      </c>
    </row>
    <row r="23" spans="1:9" x14ac:dyDescent="0.3">
      <c r="I23" t="s">
        <v>1587</v>
      </c>
    </row>
    <row r="24" spans="1:9" x14ac:dyDescent="0.3">
      <c r="I24" t="s">
        <v>1588</v>
      </c>
    </row>
    <row r="25" spans="1:9" x14ac:dyDescent="0.3">
      <c r="I25" t="s">
        <v>1589</v>
      </c>
    </row>
    <row r="26" spans="1:9" x14ac:dyDescent="0.3">
      <c r="I26" t="s">
        <v>1590</v>
      </c>
    </row>
    <row r="27" spans="1:9" x14ac:dyDescent="0.3">
      <c r="I27" t="s">
        <v>1591</v>
      </c>
    </row>
    <row r="28" spans="1:9" x14ac:dyDescent="0.3">
      <c r="I28" t="s">
        <v>1583</v>
      </c>
    </row>
  </sheetData>
  <autoFilter ref="I1:I29">
    <sortState ref="I2:I29">
      <sortCondition ref="I1:I29"/>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13"/>
  <sheetViews>
    <sheetView workbookViewId="0">
      <selection activeCell="I8" sqref="I8"/>
    </sheetView>
  </sheetViews>
  <sheetFormatPr baseColWidth="10" defaultRowHeight="16.5" x14ac:dyDescent="0.3"/>
  <cols>
    <col min="1" max="1" width="5.7109375" customWidth="1"/>
    <col min="2" max="2" width="40.7109375" customWidth="1"/>
    <col min="3" max="8" width="15.7109375" customWidth="1"/>
    <col min="9" max="9" width="16.5703125" bestFit="1" customWidth="1"/>
    <col min="10" max="12" width="15.7109375" customWidth="1"/>
  </cols>
  <sheetData>
    <row r="1" spans="1:12" ht="35.1" customHeight="1" x14ac:dyDescent="0.3">
      <c r="A1" s="9" t="s">
        <v>0</v>
      </c>
      <c r="B1" s="9" t="s">
        <v>203</v>
      </c>
      <c r="C1" s="9" t="s">
        <v>206</v>
      </c>
      <c r="D1" s="9" t="s">
        <v>218</v>
      </c>
      <c r="E1" s="9" t="s">
        <v>219</v>
      </c>
      <c r="F1" s="9" t="s">
        <v>220</v>
      </c>
      <c r="G1" s="14" t="s">
        <v>221</v>
      </c>
      <c r="H1" s="14" t="s">
        <v>223</v>
      </c>
      <c r="I1" s="14" t="s">
        <v>222</v>
      </c>
      <c r="J1" s="14" t="s">
        <v>215</v>
      </c>
      <c r="K1" s="14" t="s">
        <v>225</v>
      </c>
      <c r="L1" s="14" t="s">
        <v>224</v>
      </c>
    </row>
    <row r="2" spans="1:12" ht="24.95" customHeight="1" x14ac:dyDescent="0.3">
      <c r="A2" s="9" t="s">
        <v>204</v>
      </c>
      <c r="B2" s="9" t="s">
        <v>205</v>
      </c>
      <c r="C2" s="9" t="s">
        <v>207</v>
      </c>
      <c r="D2" s="9" t="s">
        <v>208</v>
      </c>
      <c r="E2" s="9" t="s">
        <v>213</v>
      </c>
      <c r="F2" s="9" t="s">
        <v>210</v>
      </c>
      <c r="G2" s="9" t="s">
        <v>226</v>
      </c>
      <c r="H2" s="9" t="s">
        <v>227</v>
      </c>
      <c r="I2" s="9" t="s">
        <v>228</v>
      </c>
      <c r="J2" s="9" t="s">
        <v>229</v>
      </c>
      <c r="K2" s="9" t="s">
        <v>230</v>
      </c>
      <c r="L2" s="9" t="s">
        <v>231</v>
      </c>
    </row>
    <row r="3" spans="1:12" ht="24.95" customHeight="1" x14ac:dyDescent="0.3">
      <c r="A3" s="1">
        <v>1</v>
      </c>
      <c r="B3" s="3"/>
      <c r="C3" s="2"/>
      <c r="D3" s="2"/>
      <c r="E3" s="2"/>
      <c r="F3" s="2"/>
      <c r="G3" s="2"/>
      <c r="H3" s="2"/>
      <c r="I3" s="2"/>
      <c r="J3" s="2"/>
      <c r="K3" s="2"/>
      <c r="L3" s="2"/>
    </row>
    <row r="4" spans="1:12" ht="24.95" customHeight="1" x14ac:dyDescent="0.3">
      <c r="A4" s="1">
        <v>2</v>
      </c>
      <c r="B4" s="3"/>
      <c r="C4" s="2"/>
      <c r="D4" s="2"/>
      <c r="E4" s="2"/>
      <c r="F4" s="2"/>
      <c r="G4" s="2"/>
      <c r="H4" s="2"/>
      <c r="I4" s="2"/>
      <c r="J4" s="2"/>
      <c r="K4" s="2"/>
      <c r="L4" s="2"/>
    </row>
    <row r="5" spans="1:12" ht="24.95" customHeight="1" x14ac:dyDescent="0.3">
      <c r="A5" s="1">
        <v>3</v>
      </c>
      <c r="B5" s="3"/>
      <c r="C5" s="2"/>
      <c r="D5" s="2"/>
      <c r="E5" s="2"/>
      <c r="F5" s="2"/>
      <c r="G5" s="2"/>
      <c r="H5" s="2"/>
      <c r="I5" s="2"/>
      <c r="J5" s="2"/>
      <c r="K5" s="2"/>
      <c r="L5" s="2"/>
    </row>
    <row r="6" spans="1:12" ht="24.95" customHeight="1" x14ac:dyDescent="0.3">
      <c r="A6" s="1">
        <v>4</v>
      </c>
      <c r="B6" s="3"/>
      <c r="C6" s="2"/>
      <c r="D6" s="2"/>
      <c r="E6" s="2"/>
      <c r="F6" s="2"/>
      <c r="G6" s="2"/>
      <c r="H6" s="2"/>
      <c r="I6" s="2"/>
      <c r="J6" s="2"/>
      <c r="K6" s="2"/>
      <c r="L6" s="2"/>
    </row>
    <row r="7" spans="1:12" ht="24.95" customHeight="1" x14ac:dyDescent="0.3">
      <c r="A7" s="1">
        <v>5</v>
      </c>
      <c r="B7" s="3"/>
      <c r="C7" s="2"/>
      <c r="D7" s="2"/>
      <c r="E7" s="2"/>
      <c r="F7" s="2"/>
      <c r="G7" s="2"/>
      <c r="H7" s="2"/>
      <c r="I7" s="2"/>
      <c r="J7" s="2"/>
      <c r="K7" s="2"/>
      <c r="L7" s="2"/>
    </row>
    <row r="8" spans="1:12" ht="24.95" customHeight="1" x14ac:dyDescent="0.3">
      <c r="A8" s="1">
        <v>6</v>
      </c>
      <c r="B8" s="3"/>
      <c r="C8" s="2"/>
      <c r="D8" s="2"/>
      <c r="E8" s="2"/>
      <c r="F8" s="2"/>
      <c r="G8" s="2"/>
      <c r="H8" s="2"/>
      <c r="I8" s="2"/>
      <c r="J8" s="2"/>
      <c r="K8" s="2"/>
      <c r="L8" s="2"/>
    </row>
    <row r="9" spans="1:12" ht="24.95" customHeight="1" x14ac:dyDescent="0.3">
      <c r="A9" s="1">
        <v>7</v>
      </c>
      <c r="B9" s="3"/>
      <c r="C9" s="2"/>
      <c r="D9" s="2"/>
      <c r="E9" s="2"/>
      <c r="F9" s="2"/>
      <c r="G9" s="2"/>
      <c r="H9" s="2"/>
      <c r="I9" s="2"/>
      <c r="J9" s="2"/>
      <c r="K9" s="2"/>
      <c r="L9" s="2"/>
    </row>
    <row r="10" spans="1:12" ht="24.95" customHeight="1" x14ac:dyDescent="0.3">
      <c r="A10" s="1">
        <v>8</v>
      </c>
      <c r="B10" s="3"/>
      <c r="C10" s="2"/>
      <c r="D10" s="2"/>
      <c r="E10" s="2"/>
      <c r="F10" s="2"/>
      <c r="G10" s="2"/>
      <c r="H10" s="2"/>
      <c r="I10" s="2"/>
      <c r="J10" s="2"/>
      <c r="K10" s="2"/>
      <c r="L10" s="2"/>
    </row>
    <row r="11" spans="1:12" ht="24.95" customHeight="1" x14ac:dyDescent="0.3">
      <c r="A11" s="1">
        <v>9</v>
      </c>
      <c r="B11" s="3"/>
      <c r="C11" s="2"/>
      <c r="D11" s="2"/>
      <c r="E11" s="2"/>
      <c r="F11" s="2"/>
      <c r="G11" s="2"/>
      <c r="H11" s="2"/>
      <c r="I11" s="2"/>
      <c r="J11" s="2"/>
      <c r="K11" s="2"/>
      <c r="L11" s="2"/>
    </row>
    <row r="12" spans="1:12" ht="24.95" customHeight="1" x14ac:dyDescent="0.3">
      <c r="A12" s="1">
        <v>8</v>
      </c>
      <c r="B12" s="3"/>
      <c r="C12" s="2"/>
      <c r="D12" s="2"/>
      <c r="E12" s="2"/>
      <c r="F12" s="2"/>
      <c r="G12" s="2"/>
      <c r="H12" s="2"/>
      <c r="I12" s="2"/>
      <c r="J12" s="2"/>
      <c r="K12" s="2"/>
      <c r="L12" s="2"/>
    </row>
    <row r="13" spans="1:12" ht="24.95" customHeight="1" x14ac:dyDescent="0.3">
      <c r="A13" s="1">
        <v>9</v>
      </c>
      <c r="B13" s="3"/>
      <c r="C13" s="2"/>
      <c r="D13" s="2"/>
      <c r="E13" s="2"/>
      <c r="F13" s="2"/>
      <c r="G13" s="2"/>
      <c r="H13" s="2"/>
      <c r="I13" s="2"/>
      <c r="J13" s="2"/>
      <c r="K13" s="2"/>
      <c r="L13" s="2"/>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24"/>
  <sheetViews>
    <sheetView topLeftCell="A10" workbookViewId="0">
      <selection activeCell="N2" sqref="N2:N24"/>
    </sheetView>
  </sheetViews>
  <sheetFormatPr baseColWidth="10" defaultRowHeight="16.5" x14ac:dyDescent="0.3"/>
  <cols>
    <col min="1" max="1" width="5.7109375" customWidth="1"/>
    <col min="2" max="3" width="20.7109375" customWidth="1"/>
    <col min="4" max="4" width="20.7109375" hidden="1" customWidth="1"/>
    <col min="5" max="5" width="20.7109375" customWidth="1"/>
    <col min="6" max="6" width="15.7109375" customWidth="1"/>
    <col min="7" max="7" width="20.7109375" hidden="1" customWidth="1"/>
    <col min="8" max="9" width="15.7109375" hidden="1" customWidth="1"/>
    <col min="10" max="10" width="15.7109375" customWidth="1"/>
    <col min="11" max="11" width="10.7109375" customWidth="1"/>
  </cols>
  <sheetData>
    <row r="1" spans="1:14" ht="24.95" customHeight="1" x14ac:dyDescent="0.3">
      <c r="A1" s="9" t="s">
        <v>0</v>
      </c>
      <c r="B1" s="9" t="s">
        <v>203</v>
      </c>
      <c r="C1" s="9" t="s">
        <v>206</v>
      </c>
      <c r="D1" s="9" t="s">
        <v>237</v>
      </c>
      <c r="E1" s="9" t="s">
        <v>215</v>
      </c>
      <c r="F1" s="9" t="s">
        <v>23</v>
      </c>
      <c r="G1" s="15" t="s">
        <v>238</v>
      </c>
      <c r="H1" s="15" t="s">
        <v>240</v>
      </c>
      <c r="I1" s="15" t="s">
        <v>239</v>
      </c>
      <c r="J1" s="9" t="s">
        <v>209</v>
      </c>
      <c r="K1" s="9" t="s">
        <v>69</v>
      </c>
    </row>
    <row r="2" spans="1:14" ht="24.95" customHeight="1" x14ac:dyDescent="0.3">
      <c r="A2" s="9" t="s">
        <v>204</v>
      </c>
      <c r="B2" s="9" t="s">
        <v>207</v>
      </c>
      <c r="C2" s="9" t="s">
        <v>205</v>
      </c>
      <c r="D2" s="9" t="s">
        <v>213</v>
      </c>
      <c r="E2" s="9" t="s">
        <v>213</v>
      </c>
      <c r="F2" s="9" t="s">
        <v>208</v>
      </c>
      <c r="G2" s="15" t="s">
        <v>226</v>
      </c>
      <c r="H2" s="15" t="s">
        <v>227</v>
      </c>
      <c r="I2" s="15" t="s">
        <v>228</v>
      </c>
      <c r="J2" s="9" t="s">
        <v>210</v>
      </c>
      <c r="K2" s="9" t="s">
        <v>226</v>
      </c>
      <c r="M2" t="s">
        <v>1118</v>
      </c>
      <c r="N2" t="str">
        <f>CONCATENATE(M2,A2,",",B2,",",C2,",",E2,",",F2,",",J2,") values")</f>
        <v>Insert into T_20_11 (F_00,F_02,F_01,F_04,F_03,F_05) values</v>
      </c>
    </row>
    <row r="3" spans="1:14" ht="24.95" customHeight="1" x14ac:dyDescent="0.3">
      <c r="A3" s="1">
        <v>1</v>
      </c>
      <c r="B3" s="2" t="s">
        <v>24</v>
      </c>
      <c r="C3" s="2" t="s">
        <v>31</v>
      </c>
      <c r="D3" s="33">
        <v>0</v>
      </c>
      <c r="E3" s="33">
        <v>1</v>
      </c>
      <c r="F3" s="2">
        <v>2</v>
      </c>
      <c r="G3" s="16">
        <v>0</v>
      </c>
      <c r="H3" s="16">
        <v>1</v>
      </c>
      <c r="I3" s="16">
        <v>1</v>
      </c>
      <c r="J3" s="2">
        <v>2</v>
      </c>
      <c r="K3" s="2">
        <v>1</v>
      </c>
      <c r="N3" t="str">
        <f>CONCATENATE("(",A3,",'",B3,"','",C3,"',",E3,",",F3,",",J3,"),")</f>
        <v>(1,'STC OZ1/OZ2','OZ1/OZ2',1,2,2),</v>
      </c>
    </row>
    <row r="4" spans="1:14" ht="24.95" customHeight="1" x14ac:dyDescent="0.3">
      <c r="A4" s="1">
        <v>2</v>
      </c>
      <c r="B4" s="2" t="s">
        <v>25</v>
      </c>
      <c r="C4" s="2" t="s">
        <v>32</v>
      </c>
      <c r="D4" s="33">
        <v>0</v>
      </c>
      <c r="E4" s="33">
        <v>1</v>
      </c>
      <c r="F4" s="2">
        <v>2</v>
      </c>
      <c r="G4" s="16">
        <v>0</v>
      </c>
      <c r="H4" s="16">
        <v>1</v>
      </c>
      <c r="I4" s="16">
        <v>1</v>
      </c>
      <c r="J4" s="2">
        <v>4</v>
      </c>
      <c r="K4" s="2">
        <v>1</v>
      </c>
      <c r="N4" t="str">
        <f t="shared" ref="N4:N24" si="0">CONCATENATE("(",A4,",'",B4,"','",C4,"',",E4,",",F4,",",J4,"),")</f>
        <v>(2,'STC OK1','OK1',1,2,4),</v>
      </c>
    </row>
    <row r="5" spans="1:14" ht="24.95" customHeight="1" x14ac:dyDescent="0.3">
      <c r="A5" s="1">
        <v>3</v>
      </c>
      <c r="B5" s="2" t="s">
        <v>26</v>
      </c>
      <c r="C5" s="2" t="s">
        <v>33</v>
      </c>
      <c r="D5" s="33">
        <v>0</v>
      </c>
      <c r="E5" s="33">
        <v>1</v>
      </c>
      <c r="F5" s="2">
        <v>2</v>
      </c>
      <c r="G5" s="16">
        <v>0</v>
      </c>
      <c r="H5" s="16">
        <v>1</v>
      </c>
      <c r="I5" s="16">
        <v>1</v>
      </c>
      <c r="J5" s="2">
        <v>3</v>
      </c>
      <c r="K5" s="2">
        <v>1</v>
      </c>
      <c r="N5" t="str">
        <f t="shared" si="0"/>
        <v>(3,'STC OB1/OG1','OB1/OG1',1,2,3),</v>
      </c>
    </row>
    <row r="6" spans="1:14" ht="24.95" customHeight="1" x14ac:dyDescent="0.3">
      <c r="A6" s="1">
        <v>4</v>
      </c>
      <c r="B6" s="2" t="s">
        <v>27</v>
      </c>
      <c r="C6" s="2" t="s">
        <v>34</v>
      </c>
      <c r="D6" s="33">
        <v>0</v>
      </c>
      <c r="E6" s="33">
        <v>1</v>
      </c>
      <c r="F6" s="2">
        <v>2</v>
      </c>
      <c r="G6" s="16">
        <v>0</v>
      </c>
      <c r="H6" s="16">
        <v>1</v>
      </c>
      <c r="I6" s="16">
        <v>1</v>
      </c>
      <c r="J6" s="2">
        <v>9</v>
      </c>
      <c r="K6" s="2">
        <v>2</v>
      </c>
      <c r="N6" t="str">
        <f t="shared" si="0"/>
        <v>(4,'STC OT1','OT1',1,2,9),</v>
      </c>
    </row>
    <row r="7" spans="1:14" ht="24.95" customHeight="1" x14ac:dyDescent="0.3">
      <c r="A7" s="1">
        <v>5</v>
      </c>
      <c r="B7" s="2" t="s">
        <v>28</v>
      </c>
      <c r="C7" s="2" t="s">
        <v>35</v>
      </c>
      <c r="D7" s="33">
        <v>0</v>
      </c>
      <c r="E7" s="33">
        <v>1</v>
      </c>
      <c r="F7" s="2">
        <v>2</v>
      </c>
      <c r="G7" s="16">
        <v>0</v>
      </c>
      <c r="H7" s="16">
        <v>1</v>
      </c>
      <c r="I7" s="16">
        <v>1</v>
      </c>
      <c r="J7" s="2">
        <v>9</v>
      </c>
      <c r="K7" s="2">
        <v>2</v>
      </c>
      <c r="N7" t="str">
        <f t="shared" si="0"/>
        <v>(5,'STC OH1','OH1',1,2,9),</v>
      </c>
    </row>
    <row r="8" spans="1:14" ht="24.95" customHeight="1" x14ac:dyDescent="0.3">
      <c r="A8" s="1">
        <v>6</v>
      </c>
      <c r="B8" s="2" t="s">
        <v>29</v>
      </c>
      <c r="C8" s="2" t="s">
        <v>36</v>
      </c>
      <c r="D8" s="33">
        <v>0</v>
      </c>
      <c r="E8" s="33">
        <v>1</v>
      </c>
      <c r="F8" s="2">
        <v>2</v>
      </c>
      <c r="G8" s="16">
        <v>0</v>
      </c>
      <c r="H8" s="16">
        <v>1</v>
      </c>
      <c r="I8" s="16">
        <v>1</v>
      </c>
      <c r="J8" s="2">
        <v>7</v>
      </c>
      <c r="K8" s="2">
        <v>2</v>
      </c>
      <c r="N8" t="str">
        <f t="shared" si="0"/>
        <v>(6,'STC OD1/OD3/OH2','OD1/OD3/OH2',1,2,7),</v>
      </c>
    </row>
    <row r="9" spans="1:14" ht="24.95" customHeight="1" x14ac:dyDescent="0.3">
      <c r="A9" s="1">
        <v>7</v>
      </c>
      <c r="B9" s="2" t="s">
        <v>30</v>
      </c>
      <c r="C9" s="2" t="s">
        <v>37</v>
      </c>
      <c r="D9" s="33">
        <v>0</v>
      </c>
      <c r="E9" s="33">
        <v>1</v>
      </c>
      <c r="F9" s="2">
        <v>2</v>
      </c>
      <c r="G9" s="16">
        <v>0</v>
      </c>
      <c r="H9" s="16">
        <v>1</v>
      </c>
      <c r="I9" s="16">
        <v>1</v>
      </c>
      <c r="J9" s="2">
        <v>7</v>
      </c>
      <c r="K9" s="2">
        <v>2</v>
      </c>
      <c r="N9" t="str">
        <f t="shared" si="0"/>
        <v>(7,'STC OH3/OH4','OH3/OH4',1,2,7),</v>
      </c>
    </row>
    <row r="10" spans="1:14" ht="24.95" customHeight="1" x14ac:dyDescent="0.3">
      <c r="A10" s="1">
        <v>8</v>
      </c>
      <c r="B10" s="2" t="s">
        <v>38</v>
      </c>
      <c r="C10" s="2" t="s">
        <v>55</v>
      </c>
      <c r="D10" s="33">
        <v>0</v>
      </c>
      <c r="E10" s="33">
        <v>1</v>
      </c>
      <c r="F10" s="2">
        <v>3</v>
      </c>
      <c r="G10" s="16">
        <v>0</v>
      </c>
      <c r="H10" s="16">
        <v>1</v>
      </c>
      <c r="I10" s="16">
        <v>1</v>
      </c>
      <c r="J10" s="2">
        <v>2</v>
      </c>
      <c r="K10" s="2">
        <v>1</v>
      </c>
      <c r="N10" t="str">
        <f t="shared" si="0"/>
        <v>(8,'STC NZ1','NZ1',1,3,2),</v>
      </c>
    </row>
    <row r="11" spans="1:14" ht="24.95" customHeight="1" x14ac:dyDescent="0.3">
      <c r="A11" s="1">
        <v>9</v>
      </c>
      <c r="B11" s="2" t="s">
        <v>39</v>
      </c>
      <c r="C11" s="2" t="s">
        <v>56</v>
      </c>
      <c r="D11" s="33">
        <v>0</v>
      </c>
      <c r="E11" s="33">
        <v>1</v>
      </c>
      <c r="F11" s="2">
        <v>3</v>
      </c>
      <c r="G11" s="16">
        <v>0</v>
      </c>
      <c r="H11" s="16">
        <v>1</v>
      </c>
      <c r="I11" s="16">
        <v>1</v>
      </c>
      <c r="J11" s="2">
        <v>4</v>
      </c>
      <c r="K11" s="2">
        <v>1</v>
      </c>
      <c r="N11" t="str">
        <f t="shared" si="0"/>
        <v>(9,'STC NK1','NK1',1,3,4),</v>
      </c>
    </row>
    <row r="12" spans="1:14" ht="24.95" customHeight="1" x14ac:dyDescent="0.3">
      <c r="A12" s="1">
        <v>10</v>
      </c>
      <c r="B12" s="2" t="s">
        <v>40</v>
      </c>
      <c r="C12" s="2" t="s">
        <v>57</v>
      </c>
      <c r="D12" s="33">
        <v>0</v>
      </c>
      <c r="E12" s="33">
        <v>1</v>
      </c>
      <c r="F12" s="2">
        <v>3</v>
      </c>
      <c r="G12" s="16">
        <v>0</v>
      </c>
      <c r="H12" s="16">
        <v>1</v>
      </c>
      <c r="I12" s="16">
        <v>1</v>
      </c>
      <c r="J12" s="2">
        <v>9</v>
      </c>
      <c r="K12" s="2">
        <v>2</v>
      </c>
      <c r="N12" t="str">
        <f t="shared" si="0"/>
        <v>(10,'STC NH2','NH2',1,3,9),</v>
      </c>
    </row>
    <row r="13" spans="1:14" ht="24.95" customHeight="1" x14ac:dyDescent="0.3">
      <c r="A13" s="1">
        <v>11</v>
      </c>
      <c r="B13" s="2" t="s">
        <v>41</v>
      </c>
      <c r="C13" s="2" t="s">
        <v>58</v>
      </c>
      <c r="D13" s="33">
        <v>0</v>
      </c>
      <c r="E13" s="33">
        <v>1</v>
      </c>
      <c r="F13" s="2">
        <v>4</v>
      </c>
      <c r="G13" s="16">
        <v>0</v>
      </c>
      <c r="H13" s="16">
        <v>1</v>
      </c>
      <c r="I13" s="16">
        <v>1</v>
      </c>
      <c r="J13" s="2">
        <v>2</v>
      </c>
      <c r="K13" s="2">
        <v>1</v>
      </c>
      <c r="N13" t="str">
        <f t="shared" si="0"/>
        <v>(11,'STC LZ1/LZ2','LZ1/LZ2',1,4,2),</v>
      </c>
    </row>
    <row r="14" spans="1:14" ht="24.95" customHeight="1" x14ac:dyDescent="0.3">
      <c r="A14" s="1">
        <v>12</v>
      </c>
      <c r="B14" s="2" t="s">
        <v>42</v>
      </c>
      <c r="C14" s="2" t="s">
        <v>59</v>
      </c>
      <c r="D14" s="33">
        <v>0</v>
      </c>
      <c r="E14" s="33">
        <v>1</v>
      </c>
      <c r="F14" s="2">
        <v>4</v>
      </c>
      <c r="G14" s="16">
        <v>0</v>
      </c>
      <c r="H14" s="16">
        <v>1</v>
      </c>
      <c r="I14" s="16">
        <v>1</v>
      </c>
      <c r="J14" s="2">
        <v>7</v>
      </c>
      <c r="K14" s="2">
        <v>2</v>
      </c>
      <c r="N14" t="str">
        <f t="shared" si="0"/>
        <v>(12,'STC LR1/DLR1/ELR1','LR1/DLR1/ELR1',1,4,7),</v>
      </c>
    </row>
    <row r="15" spans="1:14" ht="24.95" customHeight="1" x14ac:dyDescent="0.3">
      <c r="A15" s="1">
        <v>13</v>
      </c>
      <c r="B15" s="2" t="s">
        <v>45</v>
      </c>
      <c r="C15" s="2" t="s">
        <v>60</v>
      </c>
      <c r="D15" s="33">
        <v>0</v>
      </c>
      <c r="E15" s="33">
        <v>1</v>
      </c>
      <c r="F15" s="2">
        <v>1</v>
      </c>
      <c r="G15" s="16">
        <v>0</v>
      </c>
      <c r="H15" s="16">
        <v>1</v>
      </c>
      <c r="I15" s="16">
        <v>1</v>
      </c>
      <c r="J15" s="2">
        <v>2</v>
      </c>
      <c r="K15" s="2">
        <v>1</v>
      </c>
      <c r="N15" t="str">
        <f t="shared" si="0"/>
        <v>(13,'STC GZ0','GZ0',1,1,2),</v>
      </c>
    </row>
    <row r="16" spans="1:14" ht="24.95" customHeight="1" x14ac:dyDescent="0.3">
      <c r="A16" s="1">
        <v>14</v>
      </c>
      <c r="B16" s="2" t="s">
        <v>46</v>
      </c>
      <c r="C16" s="2" t="s">
        <v>61</v>
      </c>
      <c r="D16" s="33">
        <v>0</v>
      </c>
      <c r="E16" s="33">
        <v>1</v>
      </c>
      <c r="F16" s="2">
        <v>1</v>
      </c>
      <c r="G16" s="16">
        <v>0</v>
      </c>
      <c r="H16" s="16">
        <v>1</v>
      </c>
      <c r="I16" s="16">
        <v>1</v>
      </c>
      <c r="J16" s="2">
        <v>2</v>
      </c>
      <c r="K16" s="2">
        <v>1</v>
      </c>
      <c r="N16" t="str">
        <f t="shared" si="0"/>
        <v>(14,'STC GZ1/GZ2/GZ3','GZ1/GZ2/GZ3',1,1,2),</v>
      </c>
    </row>
    <row r="17" spans="1:14" ht="24.95" customHeight="1" x14ac:dyDescent="0.3">
      <c r="A17" s="1">
        <v>15</v>
      </c>
      <c r="B17" s="2" t="s">
        <v>47</v>
      </c>
      <c r="C17" s="2" t="s">
        <v>62</v>
      </c>
      <c r="D17" s="33">
        <v>0</v>
      </c>
      <c r="E17" s="33">
        <v>1</v>
      </c>
      <c r="F17" s="2">
        <v>1</v>
      </c>
      <c r="G17" s="16">
        <v>0</v>
      </c>
      <c r="H17" s="16">
        <v>1</v>
      </c>
      <c r="I17" s="16">
        <v>1</v>
      </c>
      <c r="J17" s="2">
        <v>2</v>
      </c>
      <c r="K17" s="2">
        <v>1</v>
      </c>
      <c r="N17" t="str">
        <f t="shared" si="0"/>
        <v>(15,'STC GZ4','GZ4',1,1,2),</v>
      </c>
    </row>
    <row r="18" spans="1:14" ht="24.95" customHeight="1" x14ac:dyDescent="0.3">
      <c r="A18" s="1">
        <v>16</v>
      </c>
      <c r="B18" s="2" t="s">
        <v>48</v>
      </c>
      <c r="C18" s="2" t="s">
        <v>8</v>
      </c>
      <c r="D18" s="33">
        <v>0</v>
      </c>
      <c r="E18" s="33">
        <v>1</v>
      </c>
      <c r="F18" s="2">
        <v>1</v>
      </c>
      <c r="G18" s="16">
        <v>0</v>
      </c>
      <c r="H18" s="16">
        <v>1</v>
      </c>
      <c r="I18" s="16">
        <v>1</v>
      </c>
      <c r="J18" s="2">
        <v>5</v>
      </c>
      <c r="K18" s="2">
        <v>1</v>
      </c>
      <c r="N18" t="str">
        <f t="shared" si="0"/>
        <v>(16,'STC GPDF','GPDF',1,1,5),</v>
      </c>
    </row>
    <row r="19" spans="1:14" ht="24.95" customHeight="1" x14ac:dyDescent="0.3">
      <c r="A19" s="1">
        <v>17</v>
      </c>
      <c r="B19" s="2" t="s">
        <v>49</v>
      </c>
      <c r="C19" s="2" t="s">
        <v>63</v>
      </c>
      <c r="D19" s="33">
        <v>0</v>
      </c>
      <c r="E19" s="33">
        <v>1</v>
      </c>
      <c r="F19" s="2">
        <v>1</v>
      </c>
      <c r="G19" s="16">
        <v>0</v>
      </c>
      <c r="H19" s="16">
        <v>1</v>
      </c>
      <c r="I19" s="16">
        <v>1</v>
      </c>
      <c r="J19" s="2">
        <v>4</v>
      </c>
      <c r="K19" s="2">
        <v>1</v>
      </c>
      <c r="N19" t="str">
        <f t="shared" si="0"/>
        <v>(17,'STC GK1/GK2','GK1/GK2',1,1,4),</v>
      </c>
    </row>
    <row r="20" spans="1:14" ht="24.95" customHeight="1" x14ac:dyDescent="0.3">
      <c r="A20" s="1">
        <v>18</v>
      </c>
      <c r="B20" s="2" t="s">
        <v>50</v>
      </c>
      <c r="C20" s="2" t="s">
        <v>64</v>
      </c>
      <c r="D20" s="33">
        <v>0</v>
      </c>
      <c r="E20" s="33">
        <v>1</v>
      </c>
      <c r="F20" s="2">
        <v>1</v>
      </c>
      <c r="G20" s="16">
        <v>0</v>
      </c>
      <c r="H20" s="16">
        <v>1</v>
      </c>
      <c r="I20" s="16">
        <v>1</v>
      </c>
      <c r="J20" s="2">
        <v>4</v>
      </c>
      <c r="K20" s="2">
        <v>1</v>
      </c>
      <c r="N20" t="str">
        <f t="shared" si="0"/>
        <v>(18,'STC GK3','GK3',1,1,4),</v>
      </c>
    </row>
    <row r="21" spans="1:14" ht="24.95" customHeight="1" x14ac:dyDescent="0.3">
      <c r="A21" s="1">
        <v>19</v>
      </c>
      <c r="B21" s="2" t="s">
        <v>51</v>
      </c>
      <c r="C21" s="2" t="s">
        <v>65</v>
      </c>
      <c r="D21" s="33">
        <v>0</v>
      </c>
      <c r="E21" s="33">
        <v>1</v>
      </c>
      <c r="F21" s="2">
        <v>1</v>
      </c>
      <c r="G21" s="16">
        <v>0</v>
      </c>
      <c r="H21" s="16">
        <v>1</v>
      </c>
      <c r="I21" s="16">
        <v>1</v>
      </c>
      <c r="J21" s="2">
        <v>6</v>
      </c>
      <c r="K21" s="2">
        <v>1</v>
      </c>
      <c r="N21" t="str">
        <f t="shared" si="0"/>
        <v>(19,'STC GO1/GO2/GO3','GO1/GO2/GO3',1,1,6),</v>
      </c>
    </row>
    <row r="22" spans="1:14" ht="24.95" customHeight="1" x14ac:dyDescent="0.3">
      <c r="A22" s="1">
        <v>20</v>
      </c>
      <c r="B22" s="2" t="s">
        <v>52</v>
      </c>
      <c r="C22" s="2" t="s">
        <v>66</v>
      </c>
      <c r="D22" s="33">
        <v>0</v>
      </c>
      <c r="E22" s="33">
        <v>1</v>
      </c>
      <c r="F22" s="2">
        <v>1</v>
      </c>
      <c r="G22" s="16">
        <v>0</v>
      </c>
      <c r="H22" s="16">
        <v>1</v>
      </c>
      <c r="I22" s="16">
        <v>1</v>
      </c>
      <c r="J22" s="2">
        <v>3</v>
      </c>
      <c r="K22" s="2">
        <v>1</v>
      </c>
      <c r="N22" t="str">
        <f t="shared" si="0"/>
        <v>(20,'STC GG1','GG1',1,1,3),</v>
      </c>
    </row>
    <row r="23" spans="1:14" ht="24.95" customHeight="1" x14ac:dyDescent="0.3">
      <c r="A23" s="1">
        <v>21</v>
      </c>
      <c r="B23" s="2" t="s">
        <v>53</v>
      </c>
      <c r="C23" s="2" t="s">
        <v>67</v>
      </c>
      <c r="D23" s="33">
        <v>0</v>
      </c>
      <c r="E23" s="33">
        <v>1</v>
      </c>
      <c r="F23" s="2">
        <v>1</v>
      </c>
      <c r="G23" s="16">
        <v>0</v>
      </c>
      <c r="H23" s="16">
        <v>1</v>
      </c>
      <c r="I23" s="16">
        <v>1</v>
      </c>
      <c r="J23" s="2">
        <v>9</v>
      </c>
      <c r="K23" s="2">
        <v>2</v>
      </c>
      <c r="N23" t="str">
        <f t="shared" si="0"/>
        <v>(21,'STC GR1/GR2/GR4/GR6','GR1/GR2/GR4/GR6',1,1,9),</v>
      </c>
    </row>
    <row r="24" spans="1:14" ht="24.95" customHeight="1" x14ac:dyDescent="0.3">
      <c r="A24" s="1">
        <v>22</v>
      </c>
      <c r="B24" s="2" t="s">
        <v>1380</v>
      </c>
      <c r="C24" s="2" t="s">
        <v>68</v>
      </c>
      <c r="D24" s="33">
        <v>0</v>
      </c>
      <c r="E24" s="33">
        <v>1</v>
      </c>
      <c r="F24" s="2">
        <v>1</v>
      </c>
      <c r="G24" s="16">
        <v>0</v>
      </c>
      <c r="H24" s="16">
        <v>1</v>
      </c>
      <c r="I24" s="16">
        <v>1</v>
      </c>
      <c r="J24" s="2">
        <v>8</v>
      </c>
      <c r="K24" s="2">
        <v>2</v>
      </c>
      <c r="N24" t="str">
        <f t="shared" si="0"/>
        <v>(22,'STC GR5/GR7','GR5',1,1,8),</v>
      </c>
    </row>
  </sheetData>
  <autoFilter ref="A2:K24">
    <sortState ref="A3:K24">
      <sortCondition ref="A2:A24"/>
    </sortState>
  </autoFilter>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C45"/>
  <sheetViews>
    <sheetView tabSelected="1" topLeftCell="K30" workbookViewId="0">
      <selection activeCell="AC2" sqref="AC2:AC45"/>
    </sheetView>
  </sheetViews>
  <sheetFormatPr baseColWidth="10" defaultRowHeight="16.5" x14ac:dyDescent="0.3"/>
  <cols>
    <col min="1" max="1" width="5.7109375" customWidth="1"/>
    <col min="2" max="2" width="10.7109375" customWidth="1"/>
    <col min="3" max="3" width="13.28515625" bestFit="1" customWidth="1"/>
    <col min="4" max="8" width="15.7109375" customWidth="1"/>
    <col min="9" max="9" width="11.42578125" bestFit="1" customWidth="1"/>
    <col min="10" max="11" width="11.42578125" customWidth="1"/>
    <col min="12" max="12" width="11.140625" bestFit="1" customWidth="1"/>
    <col min="13" max="13" width="11.140625" customWidth="1"/>
    <col min="14" max="14" width="11.140625" bestFit="1" customWidth="1"/>
    <col min="15" max="21" width="11.140625" customWidth="1"/>
    <col min="22" max="24" width="10.5703125" customWidth="1"/>
    <col min="27" max="27" width="17.42578125" bestFit="1" customWidth="1"/>
    <col min="28" max="28" width="17.42578125" hidden="1" customWidth="1"/>
    <col min="29" max="29" width="11.140625" customWidth="1"/>
  </cols>
  <sheetData>
    <row r="1" spans="1:29" ht="47.25" x14ac:dyDescent="0.3">
      <c r="A1" s="9" t="s">
        <v>0</v>
      </c>
      <c r="B1" s="9" t="s">
        <v>206</v>
      </c>
      <c r="C1" s="9" t="s">
        <v>203</v>
      </c>
      <c r="D1" s="14" t="s">
        <v>1121</v>
      </c>
      <c r="E1" s="14" t="s">
        <v>1122</v>
      </c>
      <c r="F1" s="14" t="s">
        <v>1123</v>
      </c>
      <c r="G1" s="14" t="s">
        <v>1124</v>
      </c>
      <c r="H1" s="14" t="s">
        <v>1446</v>
      </c>
      <c r="I1" s="14" t="s">
        <v>1120</v>
      </c>
      <c r="J1" s="14" t="s">
        <v>1447</v>
      </c>
      <c r="K1" s="14" t="s">
        <v>1448</v>
      </c>
      <c r="L1" s="14" t="s">
        <v>1449</v>
      </c>
      <c r="M1" s="14" t="s">
        <v>1450</v>
      </c>
      <c r="N1" s="14" t="s">
        <v>1451</v>
      </c>
      <c r="O1" s="14" t="s">
        <v>1452</v>
      </c>
      <c r="P1" s="14" t="s">
        <v>353</v>
      </c>
      <c r="Q1" s="14" t="s">
        <v>1119</v>
      </c>
      <c r="R1" s="14" t="s">
        <v>1459</v>
      </c>
      <c r="S1" s="14" t="s">
        <v>1458</v>
      </c>
      <c r="T1" s="14" t="s">
        <v>1457</v>
      </c>
      <c r="U1" s="14" t="s">
        <v>1456</v>
      </c>
      <c r="V1" s="14" t="s">
        <v>1129</v>
      </c>
      <c r="W1" s="14" t="s">
        <v>1127</v>
      </c>
      <c r="X1" s="14" t="s">
        <v>1128</v>
      </c>
    </row>
    <row r="2" spans="1:29" ht="24.95" customHeight="1" x14ac:dyDescent="0.3">
      <c r="A2" s="9" t="s">
        <v>204</v>
      </c>
      <c r="B2" s="9" t="s">
        <v>205</v>
      </c>
      <c r="C2" s="9" t="s">
        <v>207</v>
      </c>
      <c r="D2" s="9" t="s">
        <v>208</v>
      </c>
      <c r="E2" s="9" t="s">
        <v>213</v>
      </c>
      <c r="F2" s="9" t="s">
        <v>210</v>
      </c>
      <c r="G2" s="9" t="s">
        <v>226</v>
      </c>
      <c r="H2" s="9" t="s">
        <v>227</v>
      </c>
      <c r="I2" s="9" t="s">
        <v>228</v>
      </c>
      <c r="J2" s="9" t="s">
        <v>229</v>
      </c>
      <c r="K2" s="9" t="s">
        <v>230</v>
      </c>
      <c r="L2" s="9" t="s">
        <v>231</v>
      </c>
      <c r="M2" s="9" t="s">
        <v>1125</v>
      </c>
      <c r="N2" s="9" t="s">
        <v>1126</v>
      </c>
      <c r="O2" s="9" t="s">
        <v>1453</v>
      </c>
      <c r="P2" s="9" t="s">
        <v>1454</v>
      </c>
      <c r="Q2" s="9" t="s">
        <v>1455</v>
      </c>
      <c r="R2" s="9" t="s">
        <v>1460</v>
      </c>
      <c r="S2" s="9" t="s">
        <v>1461</v>
      </c>
      <c r="T2" s="9" t="s">
        <v>1462</v>
      </c>
      <c r="U2" s="9" t="s">
        <v>1463</v>
      </c>
      <c r="V2" s="9" t="s">
        <v>1464</v>
      </c>
      <c r="W2" s="9" t="s">
        <v>1465</v>
      </c>
      <c r="X2" s="9" t="s">
        <v>1466</v>
      </c>
      <c r="AA2" t="s">
        <v>1468</v>
      </c>
      <c r="AB2" t="str">
        <f>CONCATENATE(AA2,",",A2,",",B2,",",C2,",",D2,",",E2,",",F2,",",G2,") values")</f>
        <v>Insert into T_03_03_07 (,F_00,F_01,F_02,F_03,F_04,F_05,F_06) values</v>
      </c>
      <c r="AC2" t="str">
        <f>CONCATENATE(AA2,A2,",",H2,",",I2,",",J2,",",K2,",",L2,",",M2,",",N2,",",O2,",",P2,",",Q2,",",R2,",",S2,",",T2,",",U2,",",V2,",",W2,",",X2,") values")</f>
        <v>Insert into T_03_03_07 (F_00,F_07,F_08,F_09,F_10,F_11,F_12,F_13,F_14,F_15,F_16,F_17,F_18,F_19,F_20,F_21,F_22,F_23) values</v>
      </c>
    </row>
    <row r="3" spans="1:29" ht="24.95" customHeight="1" x14ac:dyDescent="0.3">
      <c r="A3" s="1">
        <v>81</v>
      </c>
      <c r="B3" s="6" t="s">
        <v>72</v>
      </c>
      <c r="C3" s="6" t="str">
        <f>CONCATENATE("Pipeline ",B3)</f>
        <v>Pipeline OZ1</v>
      </c>
      <c r="D3" s="46" t="s">
        <v>1130</v>
      </c>
      <c r="E3" s="46" t="s">
        <v>1130</v>
      </c>
      <c r="F3" s="46"/>
      <c r="G3" s="31">
        <v>1</v>
      </c>
      <c r="H3" s="31">
        <v>20</v>
      </c>
      <c r="I3" s="45">
        <v>801.47799999999995</v>
      </c>
      <c r="J3" s="53">
        <v>1</v>
      </c>
      <c r="K3" s="52">
        <v>0.5</v>
      </c>
      <c r="L3" s="35">
        <v>63</v>
      </c>
      <c r="M3" s="35">
        <v>54</v>
      </c>
      <c r="N3" s="35">
        <v>0</v>
      </c>
      <c r="O3" s="35">
        <v>0</v>
      </c>
      <c r="P3" s="35">
        <v>21</v>
      </c>
      <c r="Q3" s="35">
        <v>11</v>
      </c>
      <c r="R3" s="51">
        <v>1</v>
      </c>
      <c r="S3" s="51">
        <v>1</v>
      </c>
      <c r="T3" s="51">
        <v>1</v>
      </c>
      <c r="U3" s="51">
        <v>1</v>
      </c>
      <c r="V3" s="2">
        <v>1</v>
      </c>
      <c r="W3" s="2">
        <v>2</v>
      </c>
      <c r="X3" s="2">
        <v>3</v>
      </c>
      <c r="AB3" t="str">
        <f>CONCATENATE("(",A3,",'",B3,"','",C3,"','",D3,"','",E3,"','",F3,"',",G3,"),")</f>
        <v>(81,'OZ1','Pipeline OZ1','1965-11-07','1965-11-07','',1),</v>
      </c>
      <c r="AC3" t="str">
        <f>CONCATENATE("(",A3,"*",H3,"*",I3,"*",J3,"*",K3,"*",L3,"*",M3,"*",N3,"*",O3,"*",P3,"*",Q3,"*",R3,"*",S3,"*",T3,"*",U3,"*",V3,"*",W3,"*",X3,"),")</f>
        <v>(81*20*801,478*1*0,5*63*54*0*0*21*11*1*1*1*1*1*2*3),</v>
      </c>
    </row>
    <row r="4" spans="1:29" ht="24.95" customHeight="1" x14ac:dyDescent="0.3">
      <c r="A4" s="1">
        <v>82</v>
      </c>
      <c r="B4" s="6" t="s">
        <v>71</v>
      </c>
      <c r="C4" s="6" t="str">
        <f t="shared" ref="C4:C45" si="0">CONCATENATE("Pipeline ",B4)</f>
        <v>Pipeline OZ2</v>
      </c>
      <c r="D4" s="46" t="s">
        <v>1212</v>
      </c>
      <c r="E4" s="46" t="s">
        <v>1212</v>
      </c>
      <c r="F4" s="46"/>
      <c r="G4" s="31">
        <v>1</v>
      </c>
      <c r="H4" s="31">
        <v>20</v>
      </c>
      <c r="I4" s="45">
        <v>821</v>
      </c>
      <c r="J4" s="53">
        <v>1</v>
      </c>
      <c r="K4" s="52">
        <v>0.5</v>
      </c>
      <c r="L4" s="35">
        <v>70</v>
      </c>
      <c r="M4" s="35">
        <v>70</v>
      </c>
      <c r="N4" s="35">
        <v>0</v>
      </c>
      <c r="O4" s="35">
        <v>0</v>
      </c>
      <c r="P4" s="35">
        <v>34</v>
      </c>
      <c r="Q4" s="35">
        <v>34</v>
      </c>
      <c r="R4" s="51">
        <v>1</v>
      </c>
      <c r="S4" s="51">
        <v>1</v>
      </c>
      <c r="T4" s="51">
        <v>1</v>
      </c>
      <c r="U4" s="51">
        <v>1</v>
      </c>
      <c r="V4" s="2">
        <v>1</v>
      </c>
      <c r="W4" s="2">
        <v>2</v>
      </c>
      <c r="X4" s="2">
        <v>3</v>
      </c>
      <c r="AB4" t="str">
        <f t="shared" ref="AB4:AB45" si="1">CONCATENATE("(",A4,",'",B4,"','",C4,"','",D4,"','",E4,"','",F4,"',",G4,"),")</f>
        <v>(82,'OZ2','Pipeline OZ2','2003-08-18','2003-08-18','',1),</v>
      </c>
      <c r="AC4" t="str">
        <f t="shared" ref="AC4:AC45" si="2">CONCATENATE("(",A4,"*",H4,"*",I4,"*",J4,"*",K4,"*",L4,"*",M4,"*",N4,"*",O4,"*",P4,"*",Q4,"*",R4,"*",S4,"*",T4,"*",U4,"*",V4,"*",W4,"*",X4,"),")</f>
        <v>(82*20*821*1*0,5*70*70*0*0*34*34*1*1*1*1*1*2*3),</v>
      </c>
    </row>
    <row r="5" spans="1:29" ht="24.95" customHeight="1" x14ac:dyDescent="0.3">
      <c r="A5" s="1">
        <v>83</v>
      </c>
      <c r="B5" s="6" t="s">
        <v>32</v>
      </c>
      <c r="C5" s="6" t="str">
        <f t="shared" si="0"/>
        <v>Pipeline OK1</v>
      </c>
      <c r="D5" s="46" t="s">
        <v>1213</v>
      </c>
      <c r="E5" s="46" t="s">
        <v>1213</v>
      </c>
      <c r="F5" s="46"/>
      <c r="G5" s="31">
        <v>1</v>
      </c>
      <c r="H5" s="31">
        <v>20</v>
      </c>
      <c r="I5" s="45">
        <v>646</v>
      </c>
      <c r="J5" s="53">
        <v>1</v>
      </c>
      <c r="K5" s="52">
        <v>0.5</v>
      </c>
      <c r="L5" s="35">
        <v>75</v>
      </c>
      <c r="M5" s="35">
        <v>75</v>
      </c>
      <c r="N5" s="35">
        <v>0</v>
      </c>
      <c r="O5" s="35">
        <v>0</v>
      </c>
      <c r="P5" s="35">
        <v>30</v>
      </c>
      <c r="Q5" s="35">
        <v>30</v>
      </c>
      <c r="R5" s="51">
        <v>1</v>
      </c>
      <c r="S5" s="51">
        <v>1</v>
      </c>
      <c r="T5" s="51">
        <v>1</v>
      </c>
      <c r="U5" s="51">
        <v>1</v>
      </c>
      <c r="V5" s="2">
        <v>2</v>
      </c>
      <c r="W5" s="2">
        <v>2</v>
      </c>
      <c r="X5" s="2">
        <v>4</v>
      </c>
      <c r="AB5" t="str">
        <f t="shared" si="1"/>
        <v>(83,'OK1','Pipeline OK1','1972-01-01','1972-01-01','',1),</v>
      </c>
      <c r="AC5" t="str">
        <f t="shared" si="2"/>
        <v>(83*20*646*1*0,5*75*75*0*0*30*30*1*1*1*1*2*2*4),</v>
      </c>
    </row>
    <row r="6" spans="1:29" ht="24.95" customHeight="1" x14ac:dyDescent="0.3">
      <c r="A6" s="1">
        <v>84</v>
      </c>
      <c r="B6" s="6" t="s">
        <v>73</v>
      </c>
      <c r="C6" s="6" t="str">
        <f t="shared" si="0"/>
        <v>Pipeline OB1</v>
      </c>
      <c r="D6" s="46" t="s">
        <v>1214</v>
      </c>
      <c r="E6" s="46" t="s">
        <v>1214</v>
      </c>
      <c r="F6" s="46"/>
      <c r="G6" s="31">
        <v>1</v>
      </c>
      <c r="H6" s="31">
        <v>20</v>
      </c>
      <c r="I6" s="45">
        <v>672</v>
      </c>
      <c r="J6" s="53">
        <v>1</v>
      </c>
      <c r="K6" s="52">
        <v>0.5</v>
      </c>
      <c r="L6" s="35">
        <v>83</v>
      </c>
      <c r="M6" s="35">
        <v>83</v>
      </c>
      <c r="N6" s="35">
        <v>0</v>
      </c>
      <c r="O6" s="35">
        <v>0</v>
      </c>
      <c r="P6" s="35">
        <v>14</v>
      </c>
      <c r="Q6" s="35">
        <v>11.4</v>
      </c>
      <c r="R6" s="51">
        <v>1</v>
      </c>
      <c r="S6" s="51">
        <v>1</v>
      </c>
      <c r="T6" s="51">
        <v>1</v>
      </c>
      <c r="U6" s="51">
        <v>1</v>
      </c>
      <c r="V6" s="2">
        <v>3</v>
      </c>
      <c r="W6" s="2">
        <v>2</v>
      </c>
      <c r="X6" s="2">
        <v>5</v>
      </c>
      <c r="AB6" t="str">
        <f t="shared" si="1"/>
        <v>(84,'OB1','Pipeline OB1','1959-11-10','1959-11-10','',1),</v>
      </c>
      <c r="AC6" t="str">
        <f t="shared" si="2"/>
        <v>(84*20*672*1*0,5*83*83*0*0*14*11,4*1*1*1*1*3*2*5),</v>
      </c>
    </row>
    <row r="7" spans="1:29" ht="24.95" customHeight="1" x14ac:dyDescent="0.3">
      <c r="A7" s="1">
        <v>85</v>
      </c>
      <c r="B7" s="6" t="s">
        <v>74</v>
      </c>
      <c r="C7" s="6" t="str">
        <f t="shared" si="0"/>
        <v>Pipeline OG1</v>
      </c>
      <c r="D7" s="46" t="s">
        <v>1215</v>
      </c>
      <c r="E7" s="46" t="s">
        <v>1215</v>
      </c>
      <c r="F7" s="46"/>
      <c r="G7" s="31">
        <v>1</v>
      </c>
      <c r="H7" s="31">
        <v>20</v>
      </c>
      <c r="I7" s="45">
        <v>144.74</v>
      </c>
      <c r="J7" s="53">
        <v>1</v>
      </c>
      <c r="K7" s="52">
        <v>0.5</v>
      </c>
      <c r="L7" s="35">
        <v>72</v>
      </c>
      <c r="M7" s="35">
        <v>72</v>
      </c>
      <c r="N7" s="35">
        <v>0</v>
      </c>
      <c r="O7" s="35">
        <v>0</v>
      </c>
      <c r="P7" s="35">
        <v>4</v>
      </c>
      <c r="Q7" s="35">
        <v>4</v>
      </c>
      <c r="R7" s="51">
        <v>1</v>
      </c>
      <c r="S7" s="51">
        <v>1</v>
      </c>
      <c r="T7" s="51">
        <v>1</v>
      </c>
      <c r="U7" s="51">
        <v>1</v>
      </c>
      <c r="V7" s="2">
        <v>3</v>
      </c>
      <c r="W7" s="2">
        <v>2</v>
      </c>
      <c r="X7" s="2">
        <v>10</v>
      </c>
      <c r="AB7" t="str">
        <f t="shared" si="1"/>
        <v>(85,'OG1','Pipeline OG1','2005-07-04','2005-07-04','',1),</v>
      </c>
      <c r="AC7" t="str">
        <f t="shared" si="2"/>
        <v>(85*20*144,74*1*0,5*72*72*0*0*4*4*1*1*1*1*3*2*10),</v>
      </c>
    </row>
    <row r="8" spans="1:29" ht="24.95" customHeight="1" x14ac:dyDescent="0.3">
      <c r="A8" s="1">
        <v>86</v>
      </c>
      <c r="B8" s="6" t="s">
        <v>34</v>
      </c>
      <c r="C8" s="6" t="str">
        <f t="shared" si="0"/>
        <v>Pipeline OT1</v>
      </c>
      <c r="D8" s="46" t="s">
        <v>1216</v>
      </c>
      <c r="E8" s="46" t="s">
        <v>1216</v>
      </c>
      <c r="F8" s="46"/>
      <c r="G8" s="31">
        <v>1</v>
      </c>
      <c r="H8" s="31">
        <v>20</v>
      </c>
      <c r="I8" s="45">
        <v>265</v>
      </c>
      <c r="J8" s="53">
        <v>1</v>
      </c>
      <c r="K8" s="52">
        <v>0.5</v>
      </c>
      <c r="L8" s="35">
        <v>70</v>
      </c>
      <c r="M8" s="35">
        <v>70</v>
      </c>
      <c r="N8" s="35">
        <v>0</v>
      </c>
      <c r="O8" s="35">
        <v>0</v>
      </c>
      <c r="P8" s="35">
        <v>13.9</v>
      </c>
      <c r="Q8" s="35">
        <v>7.8</v>
      </c>
      <c r="R8" s="51">
        <v>1</v>
      </c>
      <c r="S8" s="51">
        <v>1</v>
      </c>
      <c r="T8" s="51">
        <v>1</v>
      </c>
      <c r="U8" s="51">
        <v>1</v>
      </c>
      <c r="V8" s="2">
        <v>4</v>
      </c>
      <c r="W8" s="2">
        <v>2</v>
      </c>
      <c r="X8" s="2">
        <v>9</v>
      </c>
      <c r="AB8" t="str">
        <f t="shared" si="1"/>
        <v>(86,'OT1','Pipeline OT1','1960-01-01','1960-01-01','',1),</v>
      </c>
      <c r="AC8" t="str">
        <f t="shared" si="2"/>
        <v>(86*20*265*1*0,5*70*70*0*0*13,9*7,8*1*1*1*1*4*2*9),</v>
      </c>
    </row>
    <row r="9" spans="1:29" ht="24.95" customHeight="1" x14ac:dyDescent="0.3">
      <c r="A9" s="1">
        <v>87</v>
      </c>
      <c r="B9" s="6" t="s">
        <v>35</v>
      </c>
      <c r="C9" s="6" t="str">
        <f t="shared" si="0"/>
        <v>Pipeline OH1</v>
      </c>
      <c r="D9" s="46" t="s">
        <v>1217</v>
      </c>
      <c r="E9" s="46" t="s">
        <v>1217</v>
      </c>
      <c r="F9" s="46"/>
      <c r="G9" s="31">
        <v>1</v>
      </c>
      <c r="H9" s="31">
        <v>20</v>
      </c>
      <c r="I9" s="45">
        <v>630</v>
      </c>
      <c r="J9" s="53">
        <v>1</v>
      </c>
      <c r="K9" s="52">
        <v>0.5</v>
      </c>
      <c r="L9" s="35">
        <v>49</v>
      </c>
      <c r="M9" s="35">
        <v>15</v>
      </c>
      <c r="N9" s="35">
        <v>0</v>
      </c>
      <c r="O9" s="35">
        <v>0</v>
      </c>
      <c r="P9" s="35">
        <v>18</v>
      </c>
      <c r="Q9" s="35">
        <v>3.3</v>
      </c>
      <c r="R9" s="51">
        <v>1</v>
      </c>
      <c r="S9" s="51">
        <v>1</v>
      </c>
      <c r="T9" s="51">
        <v>1</v>
      </c>
      <c r="U9" s="51">
        <v>1</v>
      </c>
      <c r="V9" s="2">
        <v>5</v>
      </c>
      <c r="W9" s="2">
        <v>2</v>
      </c>
      <c r="X9" s="2">
        <v>2</v>
      </c>
      <c r="AB9" t="str">
        <f t="shared" si="1"/>
        <v>(87,'OH1','Pipeline OH1','1982-01-01','1982-01-01','',1),</v>
      </c>
      <c r="AC9" t="str">
        <f t="shared" si="2"/>
        <v>(87*20*630*1*0,5*49*15*0*0*18*3,3*1*1*1*1*5*2*2),</v>
      </c>
    </row>
    <row r="10" spans="1:29" ht="24.95" customHeight="1" x14ac:dyDescent="0.3">
      <c r="A10" s="1">
        <v>88</v>
      </c>
      <c r="B10" s="6" t="s">
        <v>75</v>
      </c>
      <c r="C10" s="6" t="str">
        <f t="shared" si="0"/>
        <v>Pipeline OD1</v>
      </c>
      <c r="D10" s="46" t="s">
        <v>1218</v>
      </c>
      <c r="E10" s="46" t="s">
        <v>1218</v>
      </c>
      <c r="F10" s="46"/>
      <c r="G10" s="31">
        <v>1</v>
      </c>
      <c r="H10" s="31">
        <v>20</v>
      </c>
      <c r="I10" s="45">
        <v>272.35000000000002</v>
      </c>
      <c r="J10" s="53">
        <v>1</v>
      </c>
      <c r="K10" s="52">
        <v>0.5</v>
      </c>
      <c r="L10" s="35">
        <v>72</v>
      </c>
      <c r="M10" s="35">
        <v>12</v>
      </c>
      <c r="N10" s="35">
        <v>0</v>
      </c>
      <c r="O10" s="35">
        <v>0</v>
      </c>
      <c r="P10" s="35">
        <v>5</v>
      </c>
      <c r="Q10" s="35">
        <v>2</v>
      </c>
      <c r="R10" s="51">
        <v>1</v>
      </c>
      <c r="S10" s="51">
        <v>1</v>
      </c>
      <c r="T10" s="51">
        <v>1</v>
      </c>
      <c r="U10" s="51">
        <v>1</v>
      </c>
      <c r="V10" s="2">
        <v>6</v>
      </c>
      <c r="W10" s="2">
        <v>2</v>
      </c>
      <c r="X10" s="2">
        <v>39</v>
      </c>
      <c r="AB10" t="str">
        <f t="shared" si="1"/>
        <v>(88,'OD1','Pipeline OD1','1977-03-23','1977-03-23','',1),</v>
      </c>
      <c r="AC10" t="str">
        <f t="shared" si="2"/>
        <v>(88*20*272,35*1*0,5*72*12*0*0*5*2*1*1*1*1*6*2*39),</v>
      </c>
    </row>
    <row r="11" spans="1:29" ht="24.95" customHeight="1" x14ac:dyDescent="0.3">
      <c r="A11" s="1">
        <v>89</v>
      </c>
      <c r="B11" s="6" t="s">
        <v>76</v>
      </c>
      <c r="C11" s="6" t="str">
        <f t="shared" si="0"/>
        <v>Pipeline OD3</v>
      </c>
      <c r="D11" s="46" t="s">
        <v>1219</v>
      </c>
      <c r="E11" s="46" t="s">
        <v>1219</v>
      </c>
      <c r="F11" s="46"/>
      <c r="G11" s="31">
        <v>1</v>
      </c>
      <c r="H11" s="31">
        <v>20</v>
      </c>
      <c r="I11" s="45">
        <v>33</v>
      </c>
      <c r="J11" s="53">
        <v>1</v>
      </c>
      <c r="K11" s="52">
        <v>0.5</v>
      </c>
      <c r="L11" s="35">
        <v>55</v>
      </c>
      <c r="M11" s="35">
        <v>55</v>
      </c>
      <c r="N11" s="35">
        <v>0</v>
      </c>
      <c r="O11" s="35">
        <v>0</v>
      </c>
      <c r="P11" s="35">
        <v>5</v>
      </c>
      <c r="Q11" s="35">
        <v>5</v>
      </c>
      <c r="R11" s="51">
        <v>1</v>
      </c>
      <c r="S11" s="51">
        <v>1</v>
      </c>
      <c r="T11" s="51">
        <v>1</v>
      </c>
      <c r="U11" s="51">
        <v>1</v>
      </c>
      <c r="V11" s="2">
        <v>6</v>
      </c>
      <c r="W11" s="2">
        <v>2</v>
      </c>
      <c r="X11" s="2">
        <v>39</v>
      </c>
      <c r="AB11" t="str">
        <f t="shared" si="1"/>
        <v>(89,'OD3','Pipeline OD3','1999-12-11','1999-12-11','',1),</v>
      </c>
      <c r="AC11" t="str">
        <f t="shared" si="2"/>
        <v>(89*20*33*1*0,5*55*55*0*0*5*5*1*1*1*1*6*2*39),</v>
      </c>
    </row>
    <row r="12" spans="1:29" ht="24.95" customHeight="1" x14ac:dyDescent="0.3">
      <c r="A12" s="1">
        <v>90</v>
      </c>
      <c r="B12" s="6" t="s">
        <v>77</v>
      </c>
      <c r="C12" s="6" t="str">
        <f t="shared" si="0"/>
        <v>Pipeline OH2</v>
      </c>
      <c r="D12" s="46" t="s">
        <v>1220</v>
      </c>
      <c r="E12" s="46" t="s">
        <v>1220</v>
      </c>
      <c r="F12" s="46"/>
      <c r="G12" s="31">
        <v>1</v>
      </c>
      <c r="H12" s="31">
        <v>20</v>
      </c>
      <c r="I12" s="45">
        <v>108</v>
      </c>
      <c r="J12" s="53">
        <v>1</v>
      </c>
      <c r="K12" s="52">
        <v>0.5</v>
      </c>
      <c r="L12" s="35">
        <v>40</v>
      </c>
      <c r="M12" s="35">
        <v>40</v>
      </c>
      <c r="N12" s="35">
        <v>0</v>
      </c>
      <c r="O12" s="35">
        <v>0</v>
      </c>
      <c r="P12" s="35">
        <v>12</v>
      </c>
      <c r="Q12" s="35">
        <v>12</v>
      </c>
      <c r="R12" s="51">
        <v>1</v>
      </c>
      <c r="S12" s="51">
        <v>1</v>
      </c>
      <c r="T12" s="51">
        <v>1</v>
      </c>
      <c r="U12" s="51">
        <v>1</v>
      </c>
      <c r="V12" s="2">
        <v>6</v>
      </c>
      <c r="W12" s="2">
        <v>2</v>
      </c>
      <c r="X12" s="2">
        <v>2</v>
      </c>
      <c r="AB12" t="str">
        <f t="shared" si="1"/>
        <v>(90,'OH2','Pipeline OH2','1972-04-10','1972-04-10','',1),</v>
      </c>
      <c r="AC12" t="str">
        <f t="shared" si="2"/>
        <v>(90*20*108*1*0,5*40*40*0*0*12*12*1*1*1*1*6*2*2),</v>
      </c>
    </row>
    <row r="13" spans="1:29" ht="24.95" customHeight="1" x14ac:dyDescent="0.3">
      <c r="A13" s="1">
        <v>91</v>
      </c>
      <c r="B13" s="6" t="s">
        <v>78</v>
      </c>
      <c r="C13" s="6" t="str">
        <f t="shared" si="0"/>
        <v>Pipeline OH3</v>
      </c>
      <c r="D13" s="46" t="s">
        <v>1221</v>
      </c>
      <c r="E13" s="46" t="s">
        <v>1221</v>
      </c>
      <c r="F13" s="46"/>
      <c r="G13" s="31">
        <v>1</v>
      </c>
      <c r="H13" s="31">
        <v>20</v>
      </c>
      <c r="I13" s="45">
        <v>292</v>
      </c>
      <c r="J13" s="53">
        <v>1</v>
      </c>
      <c r="K13" s="52">
        <v>0.5</v>
      </c>
      <c r="L13" s="35">
        <v>70</v>
      </c>
      <c r="M13" s="35">
        <v>70</v>
      </c>
      <c r="N13" s="35">
        <v>0</v>
      </c>
      <c r="O13" s="35">
        <v>0</v>
      </c>
      <c r="P13" s="35">
        <v>30</v>
      </c>
      <c r="Q13" s="35">
        <v>30</v>
      </c>
      <c r="R13" s="51">
        <v>1</v>
      </c>
      <c r="S13" s="51">
        <v>1</v>
      </c>
      <c r="T13" s="51">
        <v>1</v>
      </c>
      <c r="U13" s="51">
        <v>1</v>
      </c>
      <c r="V13" s="2">
        <v>7</v>
      </c>
      <c r="W13" s="2">
        <v>2</v>
      </c>
      <c r="X13" s="2">
        <v>2</v>
      </c>
      <c r="AB13" t="str">
        <f t="shared" si="1"/>
        <v>(91,'OH3','Pipeline OH3','1999-01-01','1999-01-01','',1),</v>
      </c>
      <c r="AC13" t="str">
        <f t="shared" si="2"/>
        <v>(91*20*292*1*0,5*70*70*0*0*30*30*1*1*1*1*7*2*2),</v>
      </c>
    </row>
    <row r="14" spans="1:29" ht="24.95" customHeight="1" x14ac:dyDescent="0.3">
      <c r="A14" s="1">
        <v>92</v>
      </c>
      <c r="B14" s="6" t="s">
        <v>79</v>
      </c>
      <c r="C14" s="6" t="str">
        <f t="shared" si="0"/>
        <v>Pipeline OH4</v>
      </c>
      <c r="D14" s="46" t="s">
        <v>1222</v>
      </c>
      <c r="E14" s="46" t="s">
        <v>1222</v>
      </c>
      <c r="F14" s="46"/>
      <c r="G14" s="31">
        <v>1</v>
      </c>
      <c r="H14" s="31">
        <v>20</v>
      </c>
      <c r="I14" s="45">
        <v>292</v>
      </c>
      <c r="J14" s="53">
        <v>1</v>
      </c>
      <c r="K14" s="52">
        <v>0.5</v>
      </c>
      <c r="L14" s="35">
        <v>70</v>
      </c>
      <c r="M14" s="35">
        <v>70</v>
      </c>
      <c r="N14" s="35">
        <v>0</v>
      </c>
      <c r="O14" s="35">
        <v>0</v>
      </c>
      <c r="P14" s="35">
        <v>30</v>
      </c>
      <c r="Q14" s="35">
        <v>30</v>
      </c>
      <c r="R14" s="51">
        <v>1</v>
      </c>
      <c r="S14" s="51">
        <v>1</v>
      </c>
      <c r="T14" s="51">
        <v>1</v>
      </c>
      <c r="U14" s="51">
        <v>1</v>
      </c>
      <c r="V14" s="2">
        <v>7</v>
      </c>
      <c r="W14" s="2">
        <v>2</v>
      </c>
      <c r="X14" s="2">
        <v>2</v>
      </c>
      <c r="AB14" t="str">
        <f t="shared" si="1"/>
        <v>(92,'OH4','Pipeline OH4','2006-01-01','2006-01-01','',1),</v>
      </c>
      <c r="AC14" t="str">
        <f t="shared" si="2"/>
        <v>(92*20*292*1*0,5*70*70*0*0*30*30*1*1*1*1*7*2*2),</v>
      </c>
    </row>
    <row r="15" spans="1:29" ht="24.95" customHeight="1" x14ac:dyDescent="0.3">
      <c r="A15" s="1">
        <v>93</v>
      </c>
      <c r="B15" s="7" t="s">
        <v>55</v>
      </c>
      <c r="C15" s="7" t="str">
        <f t="shared" si="0"/>
        <v>Pipeline NZ1</v>
      </c>
      <c r="D15" s="46" t="s">
        <v>1223</v>
      </c>
      <c r="E15" s="46" t="s">
        <v>1223</v>
      </c>
      <c r="F15" s="46"/>
      <c r="G15" s="31">
        <v>1</v>
      </c>
      <c r="H15" s="31">
        <v>20</v>
      </c>
      <c r="I15" s="45">
        <v>507</v>
      </c>
      <c r="J15" s="53">
        <v>1</v>
      </c>
      <c r="K15" s="52">
        <v>0.5</v>
      </c>
      <c r="L15" s="35">
        <v>66</v>
      </c>
      <c r="M15" s="35">
        <v>66</v>
      </c>
      <c r="N15" s="35">
        <v>0</v>
      </c>
      <c r="O15" s="35">
        <v>0</v>
      </c>
      <c r="P15" s="35">
        <v>21</v>
      </c>
      <c r="Q15" s="35">
        <v>13.6</v>
      </c>
      <c r="R15" s="51">
        <v>1</v>
      </c>
      <c r="S15" s="51">
        <v>1</v>
      </c>
      <c r="T15" s="51">
        <v>1</v>
      </c>
      <c r="U15" s="51">
        <v>1</v>
      </c>
      <c r="V15" s="2">
        <v>8</v>
      </c>
      <c r="W15" s="2">
        <v>2</v>
      </c>
      <c r="X15" s="2">
        <v>3</v>
      </c>
      <c r="AB15" t="str">
        <f t="shared" si="1"/>
        <v>(93,'NZ1','Pipeline NZ1','1978-11-01','1978-11-01','',1),</v>
      </c>
      <c r="AC15" t="str">
        <f t="shared" si="2"/>
        <v>(93*20*507*1*0,5*66*66*0*0*21*13,6*1*1*1*1*8*2*3),</v>
      </c>
    </row>
    <row r="16" spans="1:29" ht="24.95" customHeight="1" x14ac:dyDescent="0.3">
      <c r="A16" s="1">
        <v>94</v>
      </c>
      <c r="B16" s="7" t="s">
        <v>56</v>
      </c>
      <c r="C16" s="7" t="str">
        <f t="shared" si="0"/>
        <v>Pipeline NK1</v>
      </c>
      <c r="D16" s="46" t="s">
        <v>1224</v>
      </c>
      <c r="E16" s="46" t="s">
        <v>1224</v>
      </c>
      <c r="F16" s="46"/>
      <c r="G16" s="31">
        <v>1</v>
      </c>
      <c r="H16" s="31">
        <v>20</v>
      </c>
      <c r="I16" s="45">
        <v>646</v>
      </c>
      <c r="J16" s="53">
        <v>1</v>
      </c>
      <c r="K16" s="52">
        <v>0.5</v>
      </c>
      <c r="L16" s="35">
        <v>82.9</v>
      </c>
      <c r="M16" s="35">
        <v>82.9</v>
      </c>
      <c r="N16" s="35">
        <v>0</v>
      </c>
      <c r="O16" s="35">
        <v>0</v>
      </c>
      <c r="P16" s="35">
        <v>11.41</v>
      </c>
      <c r="Q16" s="35">
        <v>11.41</v>
      </c>
      <c r="R16" s="51">
        <v>1</v>
      </c>
      <c r="S16" s="51">
        <v>1</v>
      </c>
      <c r="T16" s="51">
        <v>1</v>
      </c>
      <c r="U16" s="51">
        <v>1</v>
      </c>
      <c r="V16" s="2">
        <v>9</v>
      </c>
      <c r="W16" s="2">
        <v>2</v>
      </c>
      <c r="X16" s="2">
        <v>4</v>
      </c>
      <c r="AB16" t="str">
        <f t="shared" si="1"/>
        <v>(94,'NK1','Pipeline NK1','2009-08-04','2009-08-04','',1),</v>
      </c>
      <c r="AC16" t="str">
        <f t="shared" si="2"/>
        <v>(94*20*646*1*0,5*82,9*82,9*0*0*11,41*11,41*1*1*1*1*9*2*4),</v>
      </c>
    </row>
    <row r="17" spans="1:29" ht="24.95" customHeight="1" x14ac:dyDescent="0.3">
      <c r="A17" s="1">
        <v>95</v>
      </c>
      <c r="B17" s="7" t="s">
        <v>57</v>
      </c>
      <c r="C17" s="7" t="str">
        <f t="shared" si="0"/>
        <v>Pipeline NH2</v>
      </c>
      <c r="D17" s="46" t="s">
        <v>1216</v>
      </c>
      <c r="E17" s="46" t="s">
        <v>1216</v>
      </c>
      <c r="F17" s="46"/>
      <c r="G17" s="31">
        <v>1</v>
      </c>
      <c r="H17" s="31">
        <v>20</v>
      </c>
      <c r="I17" s="45">
        <v>565</v>
      </c>
      <c r="J17" s="53">
        <v>1</v>
      </c>
      <c r="K17" s="52">
        <v>0.5</v>
      </c>
      <c r="L17" s="35">
        <v>11</v>
      </c>
      <c r="M17" s="35">
        <v>11</v>
      </c>
      <c r="N17" s="35">
        <v>0</v>
      </c>
      <c r="O17" s="35">
        <v>0</v>
      </c>
      <c r="P17" s="35">
        <v>7.9</v>
      </c>
      <c r="Q17" s="35">
        <v>7.9</v>
      </c>
      <c r="R17" s="51">
        <v>1</v>
      </c>
      <c r="S17" s="51">
        <v>1</v>
      </c>
      <c r="T17" s="51">
        <v>1</v>
      </c>
      <c r="U17" s="51">
        <v>1</v>
      </c>
      <c r="V17" s="2">
        <v>10</v>
      </c>
      <c r="W17" s="2">
        <v>2</v>
      </c>
      <c r="X17" s="2">
        <v>2</v>
      </c>
      <c r="AB17" t="str">
        <f t="shared" si="1"/>
        <v>(95,'NH2','Pipeline NH2','1960-01-01','1960-01-01','',1),</v>
      </c>
      <c r="AC17" t="str">
        <f t="shared" si="2"/>
        <v>(95*20*565*1*0,5*11*11*0*0*7,9*7,9*1*1*1*1*10*2*2),</v>
      </c>
    </row>
    <row r="18" spans="1:29" ht="24.95" customHeight="1" x14ac:dyDescent="0.3">
      <c r="A18" s="1">
        <v>96</v>
      </c>
      <c r="B18" s="5" t="s">
        <v>99</v>
      </c>
      <c r="C18" s="5" t="str">
        <f t="shared" si="0"/>
        <v>Pipeline LZ1</v>
      </c>
      <c r="D18" s="46" t="s">
        <v>1225</v>
      </c>
      <c r="E18" s="46" t="s">
        <v>1225</v>
      </c>
      <c r="F18" s="46"/>
      <c r="G18" s="31">
        <v>1</v>
      </c>
      <c r="H18" s="31">
        <v>20</v>
      </c>
      <c r="I18" s="45">
        <v>503.46</v>
      </c>
      <c r="J18" s="53">
        <v>1</v>
      </c>
      <c r="K18" s="52">
        <v>0.5</v>
      </c>
      <c r="L18" s="35">
        <v>84</v>
      </c>
      <c r="M18" s="35">
        <v>84</v>
      </c>
      <c r="N18" s="35">
        <v>0</v>
      </c>
      <c r="O18" s="35">
        <v>0</v>
      </c>
      <c r="P18" s="35">
        <v>9</v>
      </c>
      <c r="Q18" s="35">
        <v>9</v>
      </c>
      <c r="R18" s="51">
        <v>1</v>
      </c>
      <c r="S18" s="51">
        <v>1</v>
      </c>
      <c r="T18" s="51">
        <v>1</v>
      </c>
      <c r="U18" s="51">
        <v>1</v>
      </c>
      <c r="V18" s="2">
        <v>11</v>
      </c>
      <c r="W18" s="2">
        <v>2</v>
      </c>
      <c r="X18" s="2">
        <v>3</v>
      </c>
      <c r="AB18" t="str">
        <f t="shared" si="1"/>
        <v>(96,'LZ1','Pipeline LZ1','1984-02-08','1984-02-08','',1),</v>
      </c>
      <c r="AC18" t="str">
        <f t="shared" si="2"/>
        <v>(96*20*503,46*1*0,5*84*84*0*0*9*9*1*1*1*1*11*2*3),</v>
      </c>
    </row>
    <row r="19" spans="1:29" ht="24.95" customHeight="1" x14ac:dyDescent="0.3">
      <c r="A19" s="1">
        <v>97</v>
      </c>
      <c r="B19" s="5" t="s">
        <v>100</v>
      </c>
      <c r="C19" s="5" t="str">
        <f t="shared" si="0"/>
        <v>Pipeline LZ2</v>
      </c>
      <c r="D19" s="46" t="s">
        <v>1226</v>
      </c>
      <c r="E19" s="46" t="s">
        <v>1226</v>
      </c>
      <c r="F19" s="46"/>
      <c r="G19" s="31">
        <v>1</v>
      </c>
      <c r="H19" s="31">
        <v>20</v>
      </c>
      <c r="I19" s="45">
        <v>495</v>
      </c>
      <c r="J19" s="53">
        <v>1</v>
      </c>
      <c r="K19" s="52">
        <v>0.5</v>
      </c>
      <c r="L19" s="35">
        <v>114.1</v>
      </c>
      <c r="M19" s="35">
        <v>114.1</v>
      </c>
      <c r="N19" s="35">
        <v>0</v>
      </c>
      <c r="O19" s="35">
        <v>0</v>
      </c>
      <c r="P19" s="35">
        <v>6</v>
      </c>
      <c r="Q19" s="35">
        <v>6</v>
      </c>
      <c r="R19" s="51">
        <v>1</v>
      </c>
      <c r="S19" s="51">
        <v>1</v>
      </c>
      <c r="T19" s="51">
        <v>1</v>
      </c>
      <c r="U19" s="51">
        <v>1</v>
      </c>
      <c r="V19" s="2">
        <v>11</v>
      </c>
      <c r="W19" s="2">
        <v>2</v>
      </c>
      <c r="X19" s="2">
        <v>3</v>
      </c>
      <c r="AB19" t="str">
        <f t="shared" si="1"/>
        <v>(97,'LZ2','Pipeline LZ2','2010-11-01','2010-11-01','',1),</v>
      </c>
      <c r="AC19" t="str">
        <f t="shared" si="2"/>
        <v>(97*20*495*1*0,5*114,1*114,1*0*0*6*6*1*1*1*1*11*2*3),</v>
      </c>
    </row>
    <row r="20" spans="1:29" ht="24.95" customHeight="1" x14ac:dyDescent="0.3">
      <c r="A20" s="1">
        <v>98</v>
      </c>
      <c r="B20" s="5" t="s">
        <v>96</v>
      </c>
      <c r="C20" s="5" t="str">
        <f t="shared" si="0"/>
        <v>Pipeline LR1</v>
      </c>
      <c r="D20" s="46" t="s">
        <v>1227</v>
      </c>
      <c r="E20" s="46" t="s">
        <v>1227</v>
      </c>
      <c r="F20" s="46"/>
      <c r="G20" s="31">
        <v>1</v>
      </c>
      <c r="H20" s="31">
        <v>20</v>
      </c>
      <c r="I20" s="45">
        <v>989</v>
      </c>
      <c r="J20" s="53">
        <v>1</v>
      </c>
      <c r="K20" s="52">
        <v>0.5</v>
      </c>
      <c r="L20" s="35">
        <v>91.7</v>
      </c>
      <c r="M20" s="35">
        <v>91.7</v>
      </c>
      <c r="N20" s="35">
        <v>0</v>
      </c>
      <c r="O20" s="35">
        <v>0</v>
      </c>
      <c r="P20" s="35">
        <v>6.5</v>
      </c>
      <c r="Q20" s="35">
        <v>5.7</v>
      </c>
      <c r="R20" s="51">
        <v>1</v>
      </c>
      <c r="S20" s="51">
        <v>1</v>
      </c>
      <c r="T20" s="51">
        <v>1</v>
      </c>
      <c r="U20" s="51">
        <v>1</v>
      </c>
      <c r="V20" s="2">
        <v>12</v>
      </c>
      <c r="W20" s="2">
        <v>2</v>
      </c>
      <c r="X20" s="2">
        <v>1</v>
      </c>
      <c r="AB20" t="str">
        <f t="shared" si="1"/>
        <v>(98,'LR1','Pipeline LR1','1996-01-01','1996-01-01','',1),</v>
      </c>
      <c r="AC20" t="str">
        <f t="shared" si="2"/>
        <v>(98*20*989*1*0,5*91,7*91,7*0*0*6,5*5,7*1*1*1*1*12*2*1),</v>
      </c>
    </row>
    <row r="21" spans="1:29" ht="24.95" customHeight="1" x14ac:dyDescent="0.3">
      <c r="A21" s="1">
        <v>99</v>
      </c>
      <c r="B21" s="5" t="s">
        <v>97</v>
      </c>
      <c r="C21" s="5" t="str">
        <f t="shared" si="0"/>
        <v>Pipeline DLR1</v>
      </c>
      <c r="D21" s="46" t="s">
        <v>1228</v>
      </c>
      <c r="E21" s="46" t="s">
        <v>1228</v>
      </c>
      <c r="F21" s="46"/>
      <c r="G21" s="31">
        <v>1</v>
      </c>
      <c r="H21" s="31">
        <v>20</v>
      </c>
      <c r="I21" s="45">
        <v>404</v>
      </c>
      <c r="J21" s="53">
        <v>1</v>
      </c>
      <c r="K21" s="52">
        <v>0.5</v>
      </c>
      <c r="L21" s="35">
        <v>89.2</v>
      </c>
      <c r="M21" s="35">
        <v>89.2</v>
      </c>
      <c r="N21" s="35">
        <v>0</v>
      </c>
      <c r="O21" s="35">
        <v>0</v>
      </c>
      <c r="P21" s="35">
        <v>3.26</v>
      </c>
      <c r="Q21" s="35">
        <v>3.26</v>
      </c>
      <c r="R21" s="51">
        <v>1</v>
      </c>
      <c r="S21" s="51">
        <v>1</v>
      </c>
      <c r="T21" s="51">
        <v>1</v>
      </c>
      <c r="U21" s="51">
        <v>1</v>
      </c>
      <c r="V21" s="2">
        <v>12</v>
      </c>
      <c r="W21" s="2">
        <v>2</v>
      </c>
      <c r="X21" s="2">
        <v>2</v>
      </c>
      <c r="AB21" t="str">
        <f t="shared" si="1"/>
        <v>(99,'DLR1','Pipeline DLR1','2004-10-04','2004-10-04','',1),</v>
      </c>
      <c r="AC21" t="str">
        <f t="shared" si="2"/>
        <v>(99*20*404*1*0,5*89,2*89,2*0*0*3,26*3,26*1*1*1*1*12*2*2),</v>
      </c>
    </row>
    <row r="22" spans="1:29" ht="24.95" customHeight="1" x14ac:dyDescent="0.3">
      <c r="A22" s="1">
        <v>100</v>
      </c>
      <c r="B22" s="5" t="s">
        <v>98</v>
      </c>
      <c r="C22" s="5" t="str">
        <f t="shared" si="0"/>
        <v>Pipeline ELR1</v>
      </c>
      <c r="D22" s="46" t="s">
        <v>1229</v>
      </c>
      <c r="E22" s="46" t="s">
        <v>1229</v>
      </c>
      <c r="F22" s="46"/>
      <c r="G22" s="31">
        <v>1</v>
      </c>
      <c r="H22" s="31">
        <v>20</v>
      </c>
      <c r="I22" s="45">
        <v>336</v>
      </c>
      <c r="J22" s="53">
        <v>1</v>
      </c>
      <c r="K22" s="52">
        <v>0.5</v>
      </c>
      <c r="L22" s="35">
        <v>77</v>
      </c>
      <c r="M22" s="35">
        <v>77</v>
      </c>
      <c r="N22" s="35">
        <v>0</v>
      </c>
      <c r="O22" s="35">
        <v>0</v>
      </c>
      <c r="P22" s="35">
        <v>4.5</v>
      </c>
      <c r="Q22" s="35">
        <v>4.5</v>
      </c>
      <c r="R22" s="51">
        <v>1</v>
      </c>
      <c r="S22" s="51">
        <v>1</v>
      </c>
      <c r="T22" s="51">
        <v>1</v>
      </c>
      <c r="U22" s="51">
        <v>1</v>
      </c>
      <c r="V22" s="2">
        <v>12</v>
      </c>
      <c r="W22" s="2">
        <v>2</v>
      </c>
      <c r="X22" s="2">
        <v>1</v>
      </c>
      <c r="AB22" t="str">
        <f t="shared" si="1"/>
        <v>(100,'ELR1','Pipeline ELR1','2014-01-01','2014-01-01','',1),</v>
      </c>
      <c r="AC22" t="str">
        <f t="shared" si="2"/>
        <v>(100*20*336*1*0,5*77*77*0*0*4,5*4,5*1*1*1*1*12*2*1),</v>
      </c>
    </row>
    <row r="23" spans="1:29" ht="24.95" customHeight="1" x14ac:dyDescent="0.3">
      <c r="A23" s="1">
        <v>101</v>
      </c>
      <c r="B23" s="8" t="s">
        <v>60</v>
      </c>
      <c r="C23" s="8" t="str">
        <f t="shared" si="0"/>
        <v>Pipeline GZ0</v>
      </c>
      <c r="D23" s="46" t="s">
        <v>1230</v>
      </c>
      <c r="E23" s="46" t="s">
        <v>1230</v>
      </c>
      <c r="F23" s="46" t="s">
        <v>1231</v>
      </c>
      <c r="G23" s="31">
        <v>8</v>
      </c>
      <c r="H23" s="31">
        <v>20</v>
      </c>
      <c r="I23" s="45">
        <v>509</v>
      </c>
      <c r="J23" s="53">
        <v>1</v>
      </c>
      <c r="K23" s="52">
        <v>0.5</v>
      </c>
      <c r="L23" s="35">
        <v>65</v>
      </c>
      <c r="M23" s="35">
        <v>0</v>
      </c>
      <c r="N23" s="35">
        <v>0</v>
      </c>
      <c r="O23" s="35">
        <v>0</v>
      </c>
      <c r="P23" s="35">
        <v>3.56</v>
      </c>
      <c r="Q23" s="35">
        <v>0</v>
      </c>
      <c r="R23" s="51">
        <v>1</v>
      </c>
      <c r="S23" s="51">
        <v>1</v>
      </c>
      <c r="T23" s="51">
        <v>1</v>
      </c>
      <c r="U23" s="51">
        <v>1</v>
      </c>
      <c r="V23" s="2">
        <v>13</v>
      </c>
      <c r="W23" s="2">
        <v>1</v>
      </c>
      <c r="X23" s="2">
        <v>6</v>
      </c>
      <c r="AB23" t="str">
        <f t="shared" si="1"/>
        <v>(101,'GZ0','Pipeline GZ0','1961-01-01','1961-01-01','2022-01-01',8),</v>
      </c>
      <c r="AC23" t="str">
        <f t="shared" si="2"/>
        <v>(101*20*509*1*0,5*65*0*0*0*3,56*0*1*1*1*1*13*1*6),</v>
      </c>
    </row>
    <row r="24" spans="1:29" ht="24.95" customHeight="1" x14ac:dyDescent="0.3">
      <c r="A24" s="1">
        <v>102</v>
      </c>
      <c r="B24" s="8" t="s">
        <v>111</v>
      </c>
      <c r="C24" s="8" t="str">
        <f t="shared" si="0"/>
        <v>Pipeline GZ1</v>
      </c>
      <c r="D24" s="46" t="s">
        <v>1232</v>
      </c>
      <c r="E24" s="46" t="s">
        <v>1232</v>
      </c>
      <c r="F24" s="46"/>
      <c r="G24" s="31">
        <v>1</v>
      </c>
      <c r="H24" s="31">
        <v>20</v>
      </c>
      <c r="I24" s="45">
        <v>507</v>
      </c>
      <c r="J24" s="53">
        <v>1</v>
      </c>
      <c r="K24" s="52">
        <v>0.5</v>
      </c>
      <c r="L24" s="35">
        <v>69.8</v>
      </c>
      <c r="M24" s="35">
        <v>69.8</v>
      </c>
      <c r="N24" s="35">
        <v>0</v>
      </c>
      <c r="O24" s="35">
        <v>0</v>
      </c>
      <c r="P24" s="35">
        <v>13.679</v>
      </c>
      <c r="Q24" s="35">
        <v>13.679</v>
      </c>
      <c r="R24" s="51">
        <v>1</v>
      </c>
      <c r="S24" s="51">
        <v>1</v>
      </c>
      <c r="T24" s="51">
        <v>1</v>
      </c>
      <c r="U24" s="51">
        <v>1</v>
      </c>
      <c r="V24" s="2">
        <v>14</v>
      </c>
      <c r="W24" s="2">
        <v>1</v>
      </c>
      <c r="X24" s="2">
        <v>6</v>
      </c>
      <c r="AB24" t="str">
        <f t="shared" si="1"/>
        <v>(102,'GZ1','Pipeline GZ1','1976-01-01','1976-01-01','',1),</v>
      </c>
      <c r="AC24" t="str">
        <f t="shared" si="2"/>
        <v>(102*20*507*1*0,5*69,8*69,8*0*0*13,679*13,679*1*1*1*1*14*1*6),</v>
      </c>
    </row>
    <row r="25" spans="1:29" ht="24.95" customHeight="1" x14ac:dyDescent="0.3">
      <c r="A25" s="1">
        <v>103</v>
      </c>
      <c r="B25" s="8" t="s">
        <v>1233</v>
      </c>
      <c r="C25" s="8" t="str">
        <f t="shared" si="0"/>
        <v>Pipeline GZ0 Bis</v>
      </c>
      <c r="D25" s="46" t="s">
        <v>1234</v>
      </c>
      <c r="E25" s="46" t="s">
        <v>1234</v>
      </c>
      <c r="F25" s="46"/>
      <c r="G25" s="31">
        <v>1</v>
      </c>
      <c r="H25" s="31">
        <v>20</v>
      </c>
      <c r="I25" s="45">
        <v>3.6</v>
      </c>
      <c r="J25" s="53">
        <v>1</v>
      </c>
      <c r="K25" s="52">
        <v>0.5</v>
      </c>
      <c r="L25" s="35">
        <v>70</v>
      </c>
      <c r="M25" s="35">
        <v>70</v>
      </c>
      <c r="N25" s="35">
        <v>0</v>
      </c>
      <c r="O25" s="35">
        <v>0</v>
      </c>
      <c r="P25" s="35">
        <v>0</v>
      </c>
      <c r="Q25" s="35">
        <v>0</v>
      </c>
      <c r="R25" s="51">
        <v>1</v>
      </c>
      <c r="S25" s="51">
        <v>1</v>
      </c>
      <c r="T25" s="51">
        <v>1</v>
      </c>
      <c r="U25" s="51">
        <v>1</v>
      </c>
      <c r="V25" s="2">
        <v>14</v>
      </c>
      <c r="W25" s="2">
        <v>1</v>
      </c>
      <c r="X25" s="2">
        <v>6</v>
      </c>
      <c r="AB25" t="str">
        <f t="shared" si="1"/>
        <v>(103,'GZ0 Bis','Pipeline GZ0 Bis','2022-09-01','2022-09-01','',1),</v>
      </c>
      <c r="AC25" t="str">
        <f t="shared" si="2"/>
        <v>(103*20*3,6*1*0,5*70*70*0*0*0*0*1*1*1*1*14*1*6),</v>
      </c>
    </row>
    <row r="26" spans="1:29" ht="24.95" customHeight="1" x14ac:dyDescent="0.3">
      <c r="A26" s="1">
        <v>104</v>
      </c>
      <c r="B26" s="8" t="s">
        <v>112</v>
      </c>
      <c r="C26" s="8" t="str">
        <f t="shared" si="0"/>
        <v>Pipeline GZ2</v>
      </c>
      <c r="D26" s="46" t="s">
        <v>1217</v>
      </c>
      <c r="E26" s="46" t="s">
        <v>1217</v>
      </c>
      <c r="F26" s="46"/>
      <c r="G26" s="31">
        <v>1</v>
      </c>
      <c r="H26" s="31">
        <v>20</v>
      </c>
      <c r="I26" s="45">
        <v>511</v>
      </c>
      <c r="J26" s="53">
        <v>1</v>
      </c>
      <c r="K26" s="52">
        <v>0.5</v>
      </c>
      <c r="L26" s="35">
        <v>67</v>
      </c>
      <c r="M26" s="35">
        <v>67</v>
      </c>
      <c r="N26" s="35">
        <v>0</v>
      </c>
      <c r="O26" s="35">
        <v>0</v>
      </c>
      <c r="P26" s="35">
        <v>12.507</v>
      </c>
      <c r="Q26" s="35">
        <v>12.507</v>
      </c>
      <c r="R26" s="51">
        <v>1</v>
      </c>
      <c r="S26" s="51">
        <v>1</v>
      </c>
      <c r="T26" s="51">
        <v>1</v>
      </c>
      <c r="U26" s="51">
        <v>1</v>
      </c>
      <c r="V26" s="2">
        <v>14</v>
      </c>
      <c r="W26" s="2">
        <v>1</v>
      </c>
      <c r="X26" s="2">
        <v>6</v>
      </c>
      <c r="AB26" t="str">
        <f t="shared" si="1"/>
        <v>(104,'GZ2','Pipeline GZ2','1982-01-01','1982-01-01','',1),</v>
      </c>
      <c r="AC26" t="str">
        <f t="shared" si="2"/>
        <v>(104*20*511*1*0,5*67*67*0*0*12,507*12,507*1*1*1*1*14*1*6),</v>
      </c>
    </row>
    <row r="27" spans="1:29" ht="24.95" customHeight="1" x14ac:dyDescent="0.3">
      <c r="A27" s="1">
        <v>105</v>
      </c>
      <c r="B27" s="8" t="s">
        <v>1236</v>
      </c>
      <c r="C27" s="8" t="str">
        <f t="shared" si="0"/>
        <v>Pipeline GZ3</v>
      </c>
      <c r="D27" s="46" t="s">
        <v>1235</v>
      </c>
      <c r="E27" s="46" t="s">
        <v>1235</v>
      </c>
      <c r="F27" s="46"/>
      <c r="G27" s="31">
        <v>1</v>
      </c>
      <c r="H27" s="31">
        <v>20</v>
      </c>
      <c r="I27" s="45">
        <v>517</v>
      </c>
      <c r="J27" s="53">
        <v>1</v>
      </c>
      <c r="K27" s="52">
        <v>0.5</v>
      </c>
      <c r="L27" s="35">
        <v>65</v>
      </c>
      <c r="M27" s="35">
        <v>65</v>
      </c>
      <c r="N27" s="35">
        <v>0</v>
      </c>
      <c r="O27" s="35">
        <v>0</v>
      </c>
      <c r="P27" s="35">
        <v>14.462</v>
      </c>
      <c r="Q27" s="35">
        <v>14.462</v>
      </c>
      <c r="R27" s="51">
        <v>1</v>
      </c>
      <c r="S27" s="51">
        <v>1</v>
      </c>
      <c r="T27" s="51">
        <v>1</v>
      </c>
      <c r="U27" s="51">
        <v>1</v>
      </c>
      <c r="V27" s="2">
        <v>14</v>
      </c>
      <c r="W27" s="2">
        <v>1</v>
      </c>
      <c r="X27" s="2">
        <v>6</v>
      </c>
      <c r="AB27" t="str">
        <f t="shared" si="1"/>
        <v>(105,'GZ3','Pipeline GZ3','1989-01-01','1989-01-01','',1),</v>
      </c>
      <c r="AC27" t="str">
        <f t="shared" si="2"/>
        <v>(105*20*517*1*0,5*65*65*0*0*14,462*14,462*1*1*1*1*14*1*6),</v>
      </c>
    </row>
    <row r="28" spans="1:29" ht="24.95" customHeight="1" x14ac:dyDescent="0.3">
      <c r="A28" s="1">
        <v>106</v>
      </c>
      <c r="B28" s="8" t="s">
        <v>1237</v>
      </c>
      <c r="C28" s="8" t="str">
        <f t="shared" si="0"/>
        <v>Pipeline RGZ3</v>
      </c>
      <c r="D28" s="46" t="s">
        <v>1238</v>
      </c>
      <c r="E28" s="46" t="s">
        <v>1238</v>
      </c>
      <c r="F28" s="46"/>
      <c r="G28" s="31">
        <v>1</v>
      </c>
      <c r="H28" s="31">
        <v>20</v>
      </c>
      <c r="I28" s="45">
        <v>221</v>
      </c>
      <c r="J28" s="53">
        <v>1</v>
      </c>
      <c r="K28" s="52">
        <v>0.5</v>
      </c>
      <c r="L28" s="35">
        <v>65</v>
      </c>
      <c r="M28" s="35">
        <v>65</v>
      </c>
      <c r="N28" s="35">
        <v>0</v>
      </c>
      <c r="O28" s="35">
        <v>0</v>
      </c>
      <c r="P28" s="35">
        <v>14.462</v>
      </c>
      <c r="Q28" s="35">
        <v>14.462</v>
      </c>
      <c r="R28" s="51">
        <v>1</v>
      </c>
      <c r="S28" s="51">
        <v>1</v>
      </c>
      <c r="T28" s="51">
        <v>1</v>
      </c>
      <c r="U28" s="51">
        <v>1</v>
      </c>
      <c r="V28" s="2">
        <v>14</v>
      </c>
      <c r="W28" s="2">
        <v>1</v>
      </c>
      <c r="X28" s="2">
        <v>6</v>
      </c>
      <c r="AB28" t="str">
        <f t="shared" si="1"/>
        <v>(106,'RGZ3','Pipeline RGZ3','2018-01-01','2018-01-01','',1),</v>
      </c>
      <c r="AC28" t="str">
        <f t="shared" si="2"/>
        <v>(106*20*221*1*0,5*65*65*0*0*14,462*14,462*1*1*1*1*14*1*6),</v>
      </c>
    </row>
    <row r="29" spans="1:29" ht="24.95" customHeight="1" x14ac:dyDescent="0.3">
      <c r="A29" s="1">
        <v>107</v>
      </c>
      <c r="B29" s="8" t="s">
        <v>62</v>
      </c>
      <c r="C29" s="8" t="str">
        <f t="shared" si="0"/>
        <v>Pipeline GZ4</v>
      </c>
      <c r="D29" s="46" t="s">
        <v>1239</v>
      </c>
      <c r="E29" s="46" t="s">
        <v>1239</v>
      </c>
      <c r="F29" s="46"/>
      <c r="G29" s="31">
        <v>1</v>
      </c>
      <c r="H29" s="31">
        <v>20</v>
      </c>
      <c r="I29" s="45">
        <v>633</v>
      </c>
      <c r="J29" s="53">
        <v>1</v>
      </c>
      <c r="K29" s="52">
        <v>0.5</v>
      </c>
      <c r="L29" s="35">
        <v>70</v>
      </c>
      <c r="M29" s="35">
        <v>45</v>
      </c>
      <c r="N29" s="35">
        <v>0</v>
      </c>
      <c r="O29" s="35">
        <v>0</v>
      </c>
      <c r="P29" s="35">
        <v>11.25</v>
      </c>
      <c r="Q29" s="35">
        <v>11.25</v>
      </c>
      <c r="R29" s="51">
        <v>1</v>
      </c>
      <c r="S29" s="51">
        <v>1</v>
      </c>
      <c r="T29" s="51">
        <v>1</v>
      </c>
      <c r="U29" s="51">
        <v>1</v>
      </c>
      <c r="V29" s="2">
        <v>15</v>
      </c>
      <c r="W29" s="2">
        <v>1</v>
      </c>
      <c r="X29" s="2">
        <v>6</v>
      </c>
      <c r="AB29" t="str">
        <f t="shared" si="1"/>
        <v>(107,'GZ4','Pipeline GZ4','2010-04-16','2010-04-16','',1),</v>
      </c>
      <c r="AC29" t="str">
        <f t="shared" si="2"/>
        <v>(107*20*633*1*0,5*70*45*0*0*11,25*11,25*1*1*1*1*15*1*6),</v>
      </c>
    </row>
    <row r="30" spans="1:29" ht="24.95" customHeight="1" x14ac:dyDescent="0.3">
      <c r="A30" s="1">
        <v>108</v>
      </c>
      <c r="B30" s="8" t="s">
        <v>8</v>
      </c>
      <c r="C30" s="8" t="str">
        <f t="shared" si="0"/>
        <v>Pipeline GPDF</v>
      </c>
      <c r="D30" s="46" t="s">
        <v>1227</v>
      </c>
      <c r="E30" s="46" t="s">
        <v>1227</v>
      </c>
      <c r="F30" s="46"/>
      <c r="G30" s="31">
        <v>1</v>
      </c>
      <c r="H30" s="31">
        <v>20</v>
      </c>
      <c r="I30" s="45">
        <v>521</v>
      </c>
      <c r="J30" s="53">
        <v>1</v>
      </c>
      <c r="K30" s="52">
        <v>0.5</v>
      </c>
      <c r="L30" s="35">
        <v>71</v>
      </c>
      <c r="M30" s="35">
        <v>50</v>
      </c>
      <c r="N30" s="35">
        <v>0</v>
      </c>
      <c r="O30" s="35">
        <v>0</v>
      </c>
      <c r="P30" s="35">
        <v>11.47</v>
      </c>
      <c r="Q30" s="35">
        <v>11.47</v>
      </c>
      <c r="R30" s="51">
        <v>1</v>
      </c>
      <c r="S30" s="51">
        <v>1</v>
      </c>
      <c r="T30" s="51">
        <v>1</v>
      </c>
      <c r="U30" s="51">
        <v>1</v>
      </c>
      <c r="V30" s="2">
        <v>16</v>
      </c>
      <c r="W30" s="2">
        <v>1</v>
      </c>
      <c r="X30" s="2">
        <v>77</v>
      </c>
      <c r="AB30" t="str">
        <f t="shared" si="1"/>
        <v>(108,'GPDF','Pipeline GPDF','1996-01-01','1996-01-01','',1),</v>
      </c>
      <c r="AC30" t="str">
        <f t="shared" si="2"/>
        <v>(108*20*521*1*0,5*71*50*0*0*11,47*11,47*1*1*1*1*16*1*77),</v>
      </c>
    </row>
    <row r="31" spans="1:29" ht="24.95" customHeight="1" x14ac:dyDescent="0.3">
      <c r="A31" s="1">
        <v>109</v>
      </c>
      <c r="B31" s="8" t="s">
        <v>110</v>
      </c>
      <c r="C31" s="8" t="str">
        <f t="shared" si="0"/>
        <v>Pipeline EGPDF</v>
      </c>
      <c r="D31" s="46" t="s">
        <v>1240</v>
      </c>
      <c r="E31" s="46" t="s">
        <v>1240</v>
      </c>
      <c r="F31" s="46"/>
      <c r="G31" s="31">
        <v>1</v>
      </c>
      <c r="H31" s="31">
        <v>20</v>
      </c>
      <c r="I31" s="45">
        <v>198</v>
      </c>
      <c r="J31" s="53">
        <v>1</v>
      </c>
      <c r="K31" s="52">
        <v>0.5</v>
      </c>
      <c r="L31" s="35">
        <v>70</v>
      </c>
      <c r="M31" s="35">
        <v>70</v>
      </c>
      <c r="N31" s="35">
        <v>0</v>
      </c>
      <c r="O31" s="35">
        <v>0</v>
      </c>
      <c r="P31" s="35">
        <v>9</v>
      </c>
      <c r="Q31" s="35">
        <v>9</v>
      </c>
      <c r="R31" s="51">
        <v>1</v>
      </c>
      <c r="S31" s="51">
        <v>1</v>
      </c>
      <c r="T31" s="51">
        <v>1</v>
      </c>
      <c r="U31" s="51">
        <v>1</v>
      </c>
      <c r="V31" s="2">
        <v>16</v>
      </c>
      <c r="W31" s="2">
        <v>1</v>
      </c>
      <c r="X31" s="2">
        <v>78</v>
      </c>
      <c r="AB31" t="str">
        <f t="shared" si="1"/>
        <v>(109,'EGPDF','Pipeline EGPDF','2021-01-01','2021-01-01','',1),</v>
      </c>
      <c r="AC31" t="str">
        <f t="shared" si="2"/>
        <v>(109*20*198*1*0,5*70*70*0*0*9*9*1*1*1*1*16*1*78),</v>
      </c>
    </row>
    <row r="32" spans="1:29" ht="24.95" customHeight="1" x14ac:dyDescent="0.3">
      <c r="A32" s="1">
        <v>110</v>
      </c>
      <c r="B32" s="8" t="s">
        <v>109</v>
      </c>
      <c r="C32" s="8" t="str">
        <f t="shared" si="0"/>
        <v>Pipeline GK1</v>
      </c>
      <c r="D32" s="46" t="s">
        <v>1241</v>
      </c>
      <c r="E32" s="46" t="s">
        <v>1242</v>
      </c>
      <c r="F32" s="46"/>
      <c r="G32" s="31">
        <v>1</v>
      </c>
      <c r="H32" s="31">
        <v>20</v>
      </c>
      <c r="I32" s="45">
        <v>575</v>
      </c>
      <c r="J32" s="53">
        <v>1</v>
      </c>
      <c r="K32" s="52">
        <v>0.5</v>
      </c>
      <c r="L32" s="35">
        <v>70</v>
      </c>
      <c r="M32" s="35">
        <v>70</v>
      </c>
      <c r="N32" s="35">
        <v>0</v>
      </c>
      <c r="O32" s="35">
        <v>0</v>
      </c>
      <c r="P32" s="35">
        <v>20.47</v>
      </c>
      <c r="Q32" s="35">
        <v>20.47</v>
      </c>
      <c r="R32" s="51">
        <v>1</v>
      </c>
      <c r="S32" s="51">
        <v>1</v>
      </c>
      <c r="T32" s="51">
        <v>1</v>
      </c>
      <c r="U32" s="51">
        <v>1</v>
      </c>
      <c r="V32" s="2">
        <v>17</v>
      </c>
      <c r="W32" s="2">
        <v>1</v>
      </c>
      <c r="X32" s="2">
        <v>7</v>
      </c>
      <c r="AB32" t="str">
        <f t="shared" si="1"/>
        <v>(110,'GK1','Pipeline GK1','1971-01-01','1978-01-01','',1),</v>
      </c>
      <c r="AC32" t="str">
        <f t="shared" si="2"/>
        <v>(110*20*575*1*0,5*70*70*0*0*20,47*20,47*1*1*1*1*17*1*7),</v>
      </c>
    </row>
    <row r="33" spans="1:29" ht="24.95" customHeight="1" x14ac:dyDescent="0.3">
      <c r="A33" s="1">
        <v>111</v>
      </c>
      <c r="B33" s="8" t="s">
        <v>108</v>
      </c>
      <c r="C33" s="8" t="str">
        <f t="shared" si="0"/>
        <v>Pipeline GK2</v>
      </c>
      <c r="D33" s="46" t="s">
        <v>1244</v>
      </c>
      <c r="E33" s="46" t="s">
        <v>1243</v>
      </c>
      <c r="F33" s="46"/>
      <c r="G33" s="31">
        <v>1</v>
      </c>
      <c r="H33" s="31">
        <v>20</v>
      </c>
      <c r="I33" s="45">
        <v>576</v>
      </c>
      <c r="J33" s="53">
        <v>1</v>
      </c>
      <c r="K33" s="52">
        <v>0.5</v>
      </c>
      <c r="L33" s="35">
        <v>70</v>
      </c>
      <c r="M33" s="35">
        <v>70</v>
      </c>
      <c r="N33" s="35">
        <v>0</v>
      </c>
      <c r="O33" s="35">
        <v>0</v>
      </c>
      <c r="P33" s="35">
        <v>20.47</v>
      </c>
      <c r="Q33" s="35">
        <v>20.47</v>
      </c>
      <c r="R33" s="51">
        <v>1</v>
      </c>
      <c r="S33" s="51">
        <v>1</v>
      </c>
      <c r="T33" s="51">
        <v>1</v>
      </c>
      <c r="U33" s="51">
        <v>1</v>
      </c>
      <c r="V33" s="2">
        <v>17</v>
      </c>
      <c r="W33" s="2">
        <v>1</v>
      </c>
      <c r="X33" s="2">
        <v>7</v>
      </c>
      <c r="AB33" t="str">
        <f t="shared" si="1"/>
        <v>(111,'GK2','Pipeline GK2','1998-01-01','2001-01-01','',1),</v>
      </c>
      <c r="AC33" t="str">
        <f t="shared" si="2"/>
        <v>(111*20*576*1*0,5*70*70*0*0*20,47*20,47*1*1*1*1*17*1*7),</v>
      </c>
    </row>
    <row r="34" spans="1:29" ht="24.95" customHeight="1" x14ac:dyDescent="0.3">
      <c r="A34" s="1">
        <v>112</v>
      </c>
      <c r="B34" s="8" t="s">
        <v>64</v>
      </c>
      <c r="C34" s="8" t="str">
        <f t="shared" si="0"/>
        <v>Pipeline GK3</v>
      </c>
      <c r="D34" s="46" t="s">
        <v>1245</v>
      </c>
      <c r="E34" s="46" t="s">
        <v>1245</v>
      </c>
      <c r="F34" s="46"/>
      <c r="G34" s="31">
        <v>1</v>
      </c>
      <c r="H34" s="31">
        <v>20</v>
      </c>
      <c r="I34" s="45">
        <v>786</v>
      </c>
      <c r="J34" s="53">
        <v>1</v>
      </c>
      <c r="K34" s="52">
        <v>0.5</v>
      </c>
      <c r="L34" s="35">
        <v>71.5</v>
      </c>
      <c r="M34" s="35">
        <v>45</v>
      </c>
      <c r="N34" s="35">
        <v>0</v>
      </c>
      <c r="O34" s="35">
        <v>0</v>
      </c>
      <c r="P34" s="35">
        <v>9.66</v>
      </c>
      <c r="Q34" s="35">
        <v>9.66</v>
      </c>
      <c r="R34" s="51">
        <v>1</v>
      </c>
      <c r="S34" s="51">
        <v>1</v>
      </c>
      <c r="T34" s="51">
        <v>1</v>
      </c>
      <c r="U34" s="51">
        <v>1</v>
      </c>
      <c r="V34" s="2">
        <v>18</v>
      </c>
      <c r="W34" s="2">
        <v>1</v>
      </c>
      <c r="X34" s="2">
        <v>7</v>
      </c>
      <c r="AB34" t="str">
        <f t="shared" si="1"/>
        <v>(112,'GK3','Pipeline GK3','2012-01-01','2012-01-01','',1),</v>
      </c>
      <c r="AC34" t="str">
        <f t="shared" si="2"/>
        <v>(112*20*786*1*0,5*71,5*45*0*0*9,66*9,66*1*1*1*1*18*1*7),</v>
      </c>
    </row>
    <row r="35" spans="1:29" ht="24.95" customHeight="1" x14ac:dyDescent="0.3">
      <c r="A35" s="1">
        <v>113</v>
      </c>
      <c r="B35" s="8" t="s">
        <v>105</v>
      </c>
      <c r="C35" s="8" t="str">
        <f t="shared" si="0"/>
        <v>Pipeline GO1</v>
      </c>
      <c r="D35" s="46" t="s">
        <v>1217</v>
      </c>
      <c r="E35" s="46" t="s">
        <v>1217</v>
      </c>
      <c r="F35" s="46"/>
      <c r="G35" s="31">
        <v>1</v>
      </c>
      <c r="H35" s="31">
        <v>20</v>
      </c>
      <c r="I35" s="45">
        <v>548.28499999999997</v>
      </c>
      <c r="J35" s="53">
        <v>1</v>
      </c>
      <c r="K35" s="52">
        <v>0.5</v>
      </c>
      <c r="L35" s="35">
        <v>70</v>
      </c>
      <c r="M35" s="35">
        <v>0</v>
      </c>
      <c r="N35" s="35">
        <v>0</v>
      </c>
      <c r="O35" s="35">
        <v>0</v>
      </c>
      <c r="P35" s="35">
        <v>11.96</v>
      </c>
      <c r="Q35" s="35">
        <v>11.96</v>
      </c>
      <c r="R35" s="51">
        <v>1</v>
      </c>
      <c r="S35" s="51">
        <v>1</v>
      </c>
      <c r="T35" s="51">
        <v>1</v>
      </c>
      <c r="U35" s="51">
        <v>1</v>
      </c>
      <c r="V35" s="2">
        <v>18</v>
      </c>
      <c r="W35" s="2">
        <v>1</v>
      </c>
      <c r="X35" s="2">
        <v>8</v>
      </c>
      <c r="AB35" t="str">
        <f t="shared" si="1"/>
        <v>(113,'GO1','Pipeline GO1','1982-01-01','1982-01-01','',1),</v>
      </c>
      <c r="AC35" t="str">
        <f t="shared" si="2"/>
        <v>(113*20*548,285*1*0,5*70*0*0*0*11,96*11,96*1*1*1*1*18*1*8),</v>
      </c>
    </row>
    <row r="36" spans="1:29" ht="24.95" customHeight="1" x14ac:dyDescent="0.3">
      <c r="A36" s="1">
        <v>114</v>
      </c>
      <c r="B36" s="8" t="s">
        <v>106</v>
      </c>
      <c r="C36" s="8" t="str">
        <f t="shared" si="0"/>
        <v>Pipeline GO2</v>
      </c>
      <c r="D36" s="46" t="s">
        <v>1246</v>
      </c>
      <c r="E36" s="46" t="s">
        <v>1246</v>
      </c>
      <c r="F36" s="46"/>
      <c r="G36" s="31">
        <v>1</v>
      </c>
      <c r="H36" s="31">
        <v>20</v>
      </c>
      <c r="I36" s="45">
        <v>548.28499999999997</v>
      </c>
      <c r="J36" s="53">
        <v>1</v>
      </c>
      <c r="K36" s="52">
        <v>0.5</v>
      </c>
      <c r="L36" s="35">
        <v>70</v>
      </c>
      <c r="M36" s="35">
        <v>0</v>
      </c>
      <c r="N36" s="35">
        <v>0</v>
      </c>
      <c r="O36" s="35">
        <v>0</v>
      </c>
      <c r="P36" s="35">
        <v>11.96</v>
      </c>
      <c r="Q36" s="35">
        <v>11.96</v>
      </c>
      <c r="R36" s="51">
        <v>1</v>
      </c>
      <c r="S36" s="51">
        <v>1</v>
      </c>
      <c r="T36" s="51">
        <v>1</v>
      </c>
      <c r="U36" s="51">
        <v>1</v>
      </c>
      <c r="V36" s="2">
        <v>19</v>
      </c>
      <c r="W36" s="2">
        <v>1</v>
      </c>
      <c r="X36" s="2">
        <v>8</v>
      </c>
      <c r="AB36" t="str">
        <f t="shared" si="1"/>
        <v>(114,'GO2','Pipeline GO2','1987-01-01','1987-01-01','',1),</v>
      </c>
      <c r="AC36" t="str">
        <f t="shared" si="2"/>
        <v>(114*20*548,285*1*0,5*70*0*0*0*11,96*11,96*1*1*1*1*19*1*8),</v>
      </c>
    </row>
    <row r="37" spans="1:29" ht="24.95" customHeight="1" x14ac:dyDescent="0.3">
      <c r="A37" s="1">
        <v>115</v>
      </c>
      <c r="B37" s="8" t="s">
        <v>107</v>
      </c>
      <c r="C37" s="8" t="str">
        <f t="shared" si="0"/>
        <v>Pipeline GO3</v>
      </c>
      <c r="D37" s="46" t="s">
        <v>1247</v>
      </c>
      <c r="E37" s="46" t="s">
        <v>1248</v>
      </c>
      <c r="F37" s="46"/>
      <c r="G37" s="31">
        <v>1</v>
      </c>
      <c r="H37" s="31">
        <v>20</v>
      </c>
      <c r="I37" s="45">
        <v>548.28499999999997</v>
      </c>
      <c r="J37" s="53">
        <v>1</v>
      </c>
      <c r="K37" s="52">
        <v>0.5</v>
      </c>
      <c r="L37" s="35">
        <v>70</v>
      </c>
      <c r="M37" s="35">
        <v>0</v>
      </c>
      <c r="N37" s="35">
        <v>0</v>
      </c>
      <c r="O37" s="35">
        <v>0</v>
      </c>
      <c r="P37" s="35">
        <v>8.74</v>
      </c>
      <c r="Q37" s="35">
        <v>8.74</v>
      </c>
      <c r="R37" s="51">
        <v>1</v>
      </c>
      <c r="S37" s="51">
        <v>1</v>
      </c>
      <c r="T37" s="51">
        <v>1</v>
      </c>
      <c r="U37" s="51">
        <v>1</v>
      </c>
      <c r="V37" s="2">
        <v>19</v>
      </c>
      <c r="W37" s="2">
        <v>1</v>
      </c>
      <c r="X37" s="2">
        <v>8</v>
      </c>
      <c r="AB37" t="str">
        <f t="shared" si="1"/>
        <v>(115,'GO3','Pipeline GO3','2008-01-01','2010-01-01','',1),</v>
      </c>
      <c r="AC37" t="str">
        <f t="shared" si="2"/>
        <v>(115*20*548,285*1*0,5*70*0*0*0*8,74*8,74*1*1*1*1*19*1*8),</v>
      </c>
    </row>
    <row r="38" spans="1:29" ht="24.95" customHeight="1" x14ac:dyDescent="0.3">
      <c r="A38" s="1">
        <v>116</v>
      </c>
      <c r="B38" s="8" t="s">
        <v>66</v>
      </c>
      <c r="C38" s="8" t="str">
        <f t="shared" si="0"/>
        <v>Pipeline GG1</v>
      </c>
      <c r="D38" s="46" t="s">
        <v>1249</v>
      </c>
      <c r="E38" s="46" t="s">
        <v>1249</v>
      </c>
      <c r="F38" s="46"/>
      <c r="G38" s="31">
        <v>1</v>
      </c>
      <c r="H38" s="31">
        <v>20</v>
      </c>
      <c r="I38" s="45">
        <v>437</v>
      </c>
      <c r="J38" s="53">
        <v>1</v>
      </c>
      <c r="K38" s="52">
        <v>0.5</v>
      </c>
      <c r="L38" s="35">
        <v>70</v>
      </c>
      <c r="M38" s="35">
        <v>45</v>
      </c>
      <c r="N38" s="35">
        <v>0</v>
      </c>
      <c r="O38" s="35">
        <v>0</v>
      </c>
      <c r="P38" s="35">
        <v>11.3</v>
      </c>
      <c r="Q38" s="35">
        <v>11.3</v>
      </c>
      <c r="R38" s="51">
        <v>1</v>
      </c>
      <c r="S38" s="51">
        <v>1</v>
      </c>
      <c r="T38" s="51">
        <v>1</v>
      </c>
      <c r="U38" s="51">
        <v>1</v>
      </c>
      <c r="V38" s="2">
        <v>20</v>
      </c>
      <c r="W38" s="2">
        <v>1</v>
      </c>
      <c r="X38" s="2">
        <v>79</v>
      </c>
      <c r="AB38" t="str">
        <f t="shared" si="1"/>
        <v>(116,'GG1','Pipeline GG1','1981-01-01','1981-01-01','',1),</v>
      </c>
      <c r="AC38" t="str">
        <f t="shared" si="2"/>
        <v>(116*20*437*1*0,5*70*45*0*0*11,3*11,3*1*1*1*1*20*1*79),</v>
      </c>
    </row>
    <row r="39" spans="1:29" ht="24.95" customHeight="1" x14ac:dyDescent="0.3">
      <c r="A39" s="1">
        <v>117</v>
      </c>
      <c r="B39" s="8" t="s">
        <v>113</v>
      </c>
      <c r="C39" s="8" t="str">
        <f t="shared" si="0"/>
        <v>Pipeline RGG1</v>
      </c>
      <c r="D39" s="46" t="s">
        <v>1250</v>
      </c>
      <c r="E39" s="46" t="s">
        <v>1250</v>
      </c>
      <c r="F39" s="46"/>
      <c r="G39" s="31">
        <v>1</v>
      </c>
      <c r="H39" s="31">
        <v>20</v>
      </c>
      <c r="I39" s="45">
        <v>208</v>
      </c>
      <c r="J39" s="53">
        <v>1</v>
      </c>
      <c r="K39" s="52">
        <v>0.5</v>
      </c>
      <c r="L39" s="35">
        <v>70</v>
      </c>
      <c r="M39" s="35">
        <v>45</v>
      </c>
      <c r="N39" s="35">
        <v>0</v>
      </c>
      <c r="O39" s="35">
        <v>0</v>
      </c>
      <c r="P39" s="35">
        <v>11.3</v>
      </c>
      <c r="Q39" s="35">
        <v>11.3</v>
      </c>
      <c r="R39" s="51">
        <v>1</v>
      </c>
      <c r="S39" s="51">
        <v>1</v>
      </c>
      <c r="T39" s="51">
        <v>1</v>
      </c>
      <c r="U39" s="51">
        <v>1</v>
      </c>
      <c r="V39" s="2">
        <v>20</v>
      </c>
      <c r="W39" s="2">
        <v>1</v>
      </c>
      <c r="X39" s="2">
        <v>79</v>
      </c>
      <c r="AB39" t="str">
        <f t="shared" si="1"/>
        <v>(117,'RGG1','Pipeline RGG1','2019-01-01','2019-01-01','',1),</v>
      </c>
      <c r="AC39" t="str">
        <f t="shared" si="2"/>
        <v>(117*20*208*1*0,5*70*45*0*0*11,3*11,3*1*1*1*1*20*1*79),</v>
      </c>
    </row>
    <row r="40" spans="1:29" ht="24.95" customHeight="1" x14ac:dyDescent="0.3">
      <c r="A40" s="1">
        <v>118</v>
      </c>
      <c r="B40" s="8" t="s">
        <v>114</v>
      </c>
      <c r="C40" s="8" t="str">
        <f t="shared" si="0"/>
        <v>Pipeline GR1</v>
      </c>
      <c r="D40" s="46" t="s">
        <v>1251</v>
      </c>
      <c r="E40" s="46" t="s">
        <v>1251</v>
      </c>
      <c r="F40" s="46"/>
      <c r="G40" s="31">
        <v>1</v>
      </c>
      <c r="H40" s="31">
        <v>20</v>
      </c>
      <c r="I40" s="45">
        <v>966</v>
      </c>
      <c r="J40" s="53">
        <v>1</v>
      </c>
      <c r="K40" s="52">
        <v>0.5</v>
      </c>
      <c r="L40" s="35">
        <v>71</v>
      </c>
      <c r="M40" s="35">
        <v>47</v>
      </c>
      <c r="N40" s="35">
        <v>0</v>
      </c>
      <c r="O40" s="35">
        <v>0</v>
      </c>
      <c r="P40" s="35">
        <v>31.53</v>
      </c>
      <c r="Q40" s="35">
        <v>31.53</v>
      </c>
      <c r="R40" s="51">
        <v>1</v>
      </c>
      <c r="S40" s="51">
        <v>1</v>
      </c>
      <c r="T40" s="51">
        <v>1</v>
      </c>
      <c r="U40" s="51">
        <v>1</v>
      </c>
      <c r="V40" s="2">
        <v>21</v>
      </c>
      <c r="W40" s="2">
        <v>1</v>
      </c>
      <c r="X40" s="2">
        <v>1</v>
      </c>
      <c r="AB40" t="str">
        <f t="shared" si="1"/>
        <v>(118,'GR1','Pipeline GR1','1986-01-01','1986-01-01','',1),</v>
      </c>
      <c r="AC40" t="str">
        <f t="shared" si="2"/>
        <v>(118*20*966*1*0,5*71*47*0*0*31,53*31,53*1*1*1*1*21*1*1),</v>
      </c>
    </row>
    <row r="41" spans="1:29" ht="24.95" customHeight="1" x14ac:dyDescent="0.3">
      <c r="A41" s="1">
        <v>119</v>
      </c>
      <c r="B41" s="8" t="s">
        <v>115</v>
      </c>
      <c r="C41" s="8" t="str">
        <f t="shared" si="0"/>
        <v>Pipeline GR2</v>
      </c>
      <c r="D41" s="46" t="s">
        <v>1221</v>
      </c>
      <c r="E41" s="46" t="s">
        <v>1221</v>
      </c>
      <c r="F41" s="46"/>
      <c r="G41" s="31">
        <v>1</v>
      </c>
      <c r="H41" s="31">
        <v>20</v>
      </c>
      <c r="I41" s="45">
        <v>966</v>
      </c>
      <c r="J41" s="53">
        <v>1</v>
      </c>
      <c r="K41" s="52">
        <v>0.5</v>
      </c>
      <c r="L41" s="35">
        <v>71</v>
      </c>
      <c r="M41" s="35">
        <v>47</v>
      </c>
      <c r="N41" s="35">
        <v>0</v>
      </c>
      <c r="O41" s="35">
        <v>0</v>
      </c>
      <c r="P41" s="35">
        <v>31.53</v>
      </c>
      <c r="Q41" s="35">
        <v>31.53</v>
      </c>
      <c r="R41" s="51">
        <v>1</v>
      </c>
      <c r="S41" s="51">
        <v>1</v>
      </c>
      <c r="T41" s="51">
        <v>1</v>
      </c>
      <c r="U41" s="51">
        <v>1</v>
      </c>
      <c r="V41" s="2">
        <v>21</v>
      </c>
      <c r="W41" s="2">
        <v>1</v>
      </c>
      <c r="X41" s="2">
        <v>1</v>
      </c>
      <c r="AB41" t="str">
        <f t="shared" si="1"/>
        <v>(119,'GR2','Pipeline GR2','1999-01-01','1999-01-01','',1),</v>
      </c>
      <c r="AC41" t="str">
        <f t="shared" si="2"/>
        <v>(119*20*966*1*0,5*71*47*0*0*31,53*31,53*1*1*1*1*21*1*1),</v>
      </c>
    </row>
    <row r="42" spans="1:29" ht="24.95" customHeight="1" x14ac:dyDescent="0.3">
      <c r="A42" s="1">
        <v>120</v>
      </c>
      <c r="B42" s="8" t="s">
        <v>116</v>
      </c>
      <c r="C42" s="8" t="str">
        <f t="shared" si="0"/>
        <v>Pipeline GR4</v>
      </c>
      <c r="D42" s="46" t="s">
        <v>1229</v>
      </c>
      <c r="E42" s="46" t="s">
        <v>1229</v>
      </c>
      <c r="F42" s="46"/>
      <c r="G42" s="31">
        <v>1</v>
      </c>
      <c r="H42" s="31">
        <v>20</v>
      </c>
      <c r="I42" s="45">
        <v>535</v>
      </c>
      <c r="J42" s="53">
        <v>1</v>
      </c>
      <c r="K42" s="52">
        <v>0.5</v>
      </c>
      <c r="L42" s="35">
        <v>71</v>
      </c>
      <c r="M42" s="35">
        <v>47</v>
      </c>
      <c r="N42" s="35">
        <v>0</v>
      </c>
      <c r="O42" s="35">
        <v>0</v>
      </c>
      <c r="P42" s="35">
        <v>11.05</v>
      </c>
      <c r="Q42" s="35">
        <v>11.05</v>
      </c>
      <c r="R42" s="51">
        <v>1</v>
      </c>
      <c r="S42" s="51">
        <v>1</v>
      </c>
      <c r="T42" s="51">
        <v>1</v>
      </c>
      <c r="U42" s="51">
        <v>1</v>
      </c>
      <c r="V42" s="2">
        <v>21</v>
      </c>
      <c r="W42" s="2">
        <v>1</v>
      </c>
      <c r="X42" s="2">
        <v>1</v>
      </c>
      <c r="AB42" t="str">
        <f t="shared" si="1"/>
        <v>(120,'GR4','Pipeline GR4','2014-01-01','2014-01-01','',1),</v>
      </c>
      <c r="AC42" t="str">
        <f t="shared" si="2"/>
        <v>(120*20*535*1*0,5*71*47*0*0*11,05*11,05*1*1*1*1*21*1*1),</v>
      </c>
    </row>
    <row r="43" spans="1:29" ht="24.95" customHeight="1" x14ac:dyDescent="0.3">
      <c r="A43" s="1">
        <v>121</v>
      </c>
      <c r="B43" s="8" t="s">
        <v>117</v>
      </c>
      <c r="C43" s="8" t="str">
        <f t="shared" si="0"/>
        <v>Pipeline GR6</v>
      </c>
      <c r="D43" s="46" t="s">
        <v>1252</v>
      </c>
      <c r="E43" s="46" t="s">
        <v>1252</v>
      </c>
      <c r="F43" s="46"/>
      <c r="G43" s="31">
        <v>1</v>
      </c>
      <c r="H43" s="31">
        <v>20</v>
      </c>
      <c r="I43" s="45">
        <v>531</v>
      </c>
      <c r="J43" s="53">
        <v>1</v>
      </c>
      <c r="K43" s="52">
        <v>0.5</v>
      </c>
      <c r="L43" s="35">
        <v>71</v>
      </c>
      <c r="M43" s="35">
        <v>47</v>
      </c>
      <c r="N43" s="35">
        <v>0</v>
      </c>
      <c r="O43" s="35">
        <v>0</v>
      </c>
      <c r="P43" s="35">
        <v>8.52</v>
      </c>
      <c r="Q43" s="35">
        <v>8.52</v>
      </c>
      <c r="R43" s="51">
        <v>1</v>
      </c>
      <c r="S43" s="51">
        <v>1</v>
      </c>
      <c r="T43" s="51">
        <v>1</v>
      </c>
      <c r="U43" s="51">
        <v>1</v>
      </c>
      <c r="V43" s="2">
        <v>21</v>
      </c>
      <c r="W43" s="2">
        <v>1</v>
      </c>
      <c r="X43" s="2">
        <v>1</v>
      </c>
      <c r="AB43" t="str">
        <f t="shared" si="1"/>
        <v>(121,'GR6','Pipeline GR6','2017-01-01','2017-01-01','',1),</v>
      </c>
      <c r="AC43" t="str">
        <f t="shared" si="2"/>
        <v>(121*20*531*1*0,5*71*47*0*0*8,52*8,52*1*1*1*1*21*1*1),</v>
      </c>
    </row>
    <row r="44" spans="1:29" ht="24.95" customHeight="1" x14ac:dyDescent="0.3">
      <c r="A44" s="1">
        <v>122</v>
      </c>
      <c r="B44" s="8" t="s">
        <v>68</v>
      </c>
      <c r="C44" s="8" t="str">
        <f t="shared" si="0"/>
        <v>Pipeline GR5</v>
      </c>
      <c r="D44" s="46" t="s">
        <v>1254</v>
      </c>
      <c r="E44" s="46" t="s">
        <v>1254</v>
      </c>
      <c r="F44" s="46"/>
      <c r="G44" s="31">
        <v>1</v>
      </c>
      <c r="H44" s="31">
        <v>20</v>
      </c>
      <c r="I44" s="45">
        <v>770</v>
      </c>
      <c r="J44" s="53">
        <v>1</v>
      </c>
      <c r="K44" s="52">
        <v>0.5</v>
      </c>
      <c r="L44" s="35">
        <v>70</v>
      </c>
      <c r="M44" s="35">
        <v>45</v>
      </c>
      <c r="N44" s="35">
        <v>0</v>
      </c>
      <c r="O44" s="35">
        <v>0</v>
      </c>
      <c r="P44" s="35">
        <v>8.8000000000000007</v>
      </c>
      <c r="Q44" s="35">
        <v>8.8000000000000007</v>
      </c>
      <c r="R44" s="51">
        <v>1</v>
      </c>
      <c r="S44" s="51">
        <v>1</v>
      </c>
      <c r="T44" s="51">
        <v>1</v>
      </c>
      <c r="U44" s="51">
        <v>1</v>
      </c>
      <c r="V44" s="2">
        <v>22</v>
      </c>
      <c r="W44" s="2">
        <v>1</v>
      </c>
      <c r="X44" s="2">
        <v>1</v>
      </c>
      <c r="AB44" t="str">
        <f t="shared" si="1"/>
        <v>(122,'GR5','Pipeline GR5','2017-06-01','2017-06-01','',1),</v>
      </c>
      <c r="AC44" t="str">
        <f t="shared" si="2"/>
        <v>(122*20*770*1*0,5*70*45*0*0*8,8*8,8*1*1*1*1*22*1*1),</v>
      </c>
    </row>
    <row r="45" spans="1:29" ht="24.95" customHeight="1" x14ac:dyDescent="0.3">
      <c r="A45" s="1">
        <v>123</v>
      </c>
      <c r="B45" s="8" t="s">
        <v>118</v>
      </c>
      <c r="C45" s="8" t="str">
        <f t="shared" si="0"/>
        <v>Pipeline GR7</v>
      </c>
      <c r="D45" s="46" t="s">
        <v>1253</v>
      </c>
      <c r="E45" s="46" t="s">
        <v>1253</v>
      </c>
      <c r="F45" s="46"/>
      <c r="G45" s="31">
        <v>1</v>
      </c>
      <c r="H45" s="31">
        <v>20</v>
      </c>
      <c r="I45" s="45">
        <v>345</v>
      </c>
      <c r="J45" s="53">
        <v>1</v>
      </c>
      <c r="K45" s="52">
        <v>0.5</v>
      </c>
      <c r="L45" s="35">
        <v>70</v>
      </c>
      <c r="M45" s="35">
        <v>45</v>
      </c>
      <c r="N45" s="35">
        <v>0</v>
      </c>
      <c r="O45" s="35">
        <v>0</v>
      </c>
      <c r="P45" s="35">
        <v>5.3</v>
      </c>
      <c r="Q45" s="35">
        <v>5.3</v>
      </c>
      <c r="R45" s="51">
        <v>1</v>
      </c>
      <c r="S45" s="51">
        <v>1</v>
      </c>
      <c r="T45" s="51">
        <v>1</v>
      </c>
      <c r="U45" s="51">
        <v>1</v>
      </c>
      <c r="V45" s="2">
        <v>22</v>
      </c>
      <c r="W45" s="2">
        <v>1</v>
      </c>
      <c r="X45" s="2">
        <v>1</v>
      </c>
      <c r="AB45" t="str">
        <f t="shared" si="1"/>
        <v>(123,'GR7','Pipeline GR7','2019-12-01','2019-12-01','',1),</v>
      </c>
      <c r="AC45" t="str">
        <f t="shared" si="2"/>
        <v>(123*20*345*1*0,5*70*45*0*0*5,3*5,3*1*1*1*1*22*1*1),</v>
      </c>
    </row>
  </sheetData>
  <autoFilter ref="A2:X45">
    <sortState ref="A3:V48">
      <sortCondition ref="A2:A48"/>
    </sortState>
  </autoFilter>
  <phoneticPr fontId="6"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topLeftCell="C1" workbookViewId="0">
      <pane ySplit="1" topLeftCell="A26" activePane="bottomLeft" state="frozen"/>
      <selection pane="bottomLeft" activeCell="I32" sqref="I32"/>
    </sheetView>
  </sheetViews>
  <sheetFormatPr baseColWidth="10" defaultRowHeight="16.5" x14ac:dyDescent="0.3"/>
  <cols>
    <col min="1" max="1" width="5.5703125" customWidth="1"/>
    <col min="2" max="2" width="5.7109375" customWidth="1"/>
    <col min="3" max="3" width="10.7109375" customWidth="1"/>
    <col min="4" max="4" width="25.7109375" hidden="1" customWidth="1"/>
    <col min="5" max="6" width="15.5703125" customWidth="1"/>
    <col min="7" max="10" width="15.7109375" customWidth="1"/>
  </cols>
  <sheetData>
    <row r="1" spans="1:10" ht="24.95" customHeight="1" x14ac:dyDescent="0.3">
      <c r="A1" s="9" t="s">
        <v>1209</v>
      </c>
      <c r="B1" s="9" t="s">
        <v>354</v>
      </c>
      <c r="C1" s="9" t="s">
        <v>1</v>
      </c>
      <c r="D1" s="9" t="s">
        <v>70</v>
      </c>
      <c r="E1" s="9" t="s">
        <v>80</v>
      </c>
      <c r="F1" s="9" t="s">
        <v>81</v>
      </c>
      <c r="G1" s="9" t="s">
        <v>132</v>
      </c>
      <c r="H1" s="9" t="s">
        <v>978</v>
      </c>
      <c r="I1" s="9" t="s">
        <v>981</v>
      </c>
      <c r="J1" s="9" t="s">
        <v>982</v>
      </c>
    </row>
    <row r="2" spans="1:10" ht="24.95" customHeight="1" x14ac:dyDescent="0.3">
      <c r="A2" s="49"/>
      <c r="B2" s="1">
        <v>1</v>
      </c>
      <c r="C2" s="6" t="s">
        <v>72</v>
      </c>
      <c r="D2" s="2"/>
      <c r="E2" s="41"/>
      <c r="F2" s="41"/>
      <c r="G2" s="2"/>
      <c r="H2" s="2"/>
      <c r="I2" s="4"/>
      <c r="J2" s="4"/>
    </row>
    <row r="3" spans="1:10" ht="24.95" customHeight="1" x14ac:dyDescent="0.3">
      <c r="A3" s="49"/>
      <c r="B3" s="1">
        <v>2</v>
      </c>
      <c r="C3" s="6" t="s">
        <v>71</v>
      </c>
      <c r="D3" s="2"/>
      <c r="E3" s="41"/>
      <c r="F3" s="41"/>
      <c r="G3" s="2"/>
      <c r="H3" s="2"/>
      <c r="I3" s="4"/>
      <c r="J3" s="4"/>
    </row>
    <row r="4" spans="1:10" ht="24.95" customHeight="1" x14ac:dyDescent="0.3">
      <c r="A4" s="49"/>
      <c r="B4" s="1">
        <v>3</v>
      </c>
      <c r="C4" s="6" t="s">
        <v>32</v>
      </c>
      <c r="D4" s="2"/>
      <c r="E4" s="41"/>
      <c r="F4" s="41"/>
      <c r="G4" s="2"/>
      <c r="H4" s="2"/>
      <c r="I4" s="4"/>
      <c r="J4" s="4"/>
    </row>
    <row r="5" spans="1:10" ht="24.95" customHeight="1" x14ac:dyDescent="0.3">
      <c r="A5" s="49"/>
      <c r="B5" s="1">
        <v>4</v>
      </c>
      <c r="C5" s="6" t="s">
        <v>73</v>
      </c>
      <c r="D5" s="2"/>
      <c r="E5" s="41"/>
      <c r="F5" s="41"/>
      <c r="G5" s="2"/>
      <c r="H5" s="2"/>
      <c r="I5" s="4"/>
      <c r="J5" s="4"/>
    </row>
    <row r="6" spans="1:10" ht="24.95" customHeight="1" x14ac:dyDescent="0.3">
      <c r="A6" s="49"/>
      <c r="B6" s="1">
        <v>5</v>
      </c>
      <c r="C6" s="6" t="s">
        <v>74</v>
      </c>
      <c r="D6" s="2"/>
      <c r="E6" s="41"/>
      <c r="F6" s="41"/>
      <c r="G6" s="2"/>
      <c r="H6" s="2"/>
      <c r="I6" s="4"/>
      <c r="J6" s="4"/>
    </row>
    <row r="7" spans="1:10" ht="24.95" customHeight="1" x14ac:dyDescent="0.3">
      <c r="A7" s="49"/>
      <c r="B7" s="1">
        <v>6</v>
      </c>
      <c r="C7" s="6" t="s">
        <v>34</v>
      </c>
      <c r="D7" s="2"/>
      <c r="E7" s="41"/>
      <c r="F7" s="41"/>
      <c r="G7" s="2"/>
      <c r="H7" s="2"/>
      <c r="I7" s="4"/>
      <c r="J7" s="4"/>
    </row>
    <row r="8" spans="1:10" ht="24.95" customHeight="1" x14ac:dyDescent="0.3">
      <c r="A8" s="49"/>
      <c r="B8" s="1">
        <v>7</v>
      </c>
      <c r="C8" s="6" t="s">
        <v>35</v>
      </c>
      <c r="D8" s="2"/>
      <c r="E8" s="41"/>
      <c r="F8" s="41"/>
      <c r="G8" s="2"/>
      <c r="H8" s="2"/>
      <c r="I8" s="4"/>
      <c r="J8" s="4"/>
    </row>
    <row r="9" spans="1:10" ht="24.95" customHeight="1" x14ac:dyDescent="0.3">
      <c r="A9" s="49"/>
      <c r="B9" s="1">
        <v>8</v>
      </c>
      <c r="C9" s="6" t="s">
        <v>75</v>
      </c>
      <c r="D9" s="2"/>
      <c r="E9" s="41"/>
      <c r="F9" s="41"/>
      <c r="G9" s="2"/>
      <c r="H9" s="2"/>
      <c r="I9" s="4"/>
      <c r="J9" s="4"/>
    </row>
    <row r="10" spans="1:10" ht="24.95" customHeight="1" x14ac:dyDescent="0.3">
      <c r="A10" s="49"/>
      <c r="B10" s="1">
        <v>9</v>
      </c>
      <c r="C10" s="6" t="s">
        <v>76</v>
      </c>
      <c r="D10" s="2"/>
      <c r="E10" s="41"/>
      <c r="F10" s="41"/>
      <c r="G10" s="2"/>
      <c r="H10" s="2"/>
      <c r="I10" s="4"/>
      <c r="J10" s="4"/>
    </row>
    <row r="11" spans="1:10" ht="24.95" customHeight="1" x14ac:dyDescent="0.3">
      <c r="A11" s="49"/>
      <c r="B11" s="1">
        <v>10</v>
      </c>
      <c r="C11" s="6" t="s">
        <v>77</v>
      </c>
      <c r="D11" s="2"/>
      <c r="E11" s="41"/>
      <c r="F11" s="41"/>
      <c r="G11" s="41"/>
      <c r="H11" s="2"/>
      <c r="I11" s="4"/>
      <c r="J11" s="4"/>
    </row>
    <row r="12" spans="1:10" ht="24.95" customHeight="1" x14ac:dyDescent="0.3">
      <c r="A12" s="49"/>
      <c r="B12" s="1">
        <v>11</v>
      </c>
      <c r="C12" s="6" t="s">
        <v>78</v>
      </c>
      <c r="D12" s="2"/>
      <c r="E12" s="41"/>
      <c r="F12" s="41"/>
      <c r="G12" s="41"/>
      <c r="H12" s="2"/>
      <c r="I12" s="4"/>
      <c r="J12" s="4"/>
    </row>
    <row r="13" spans="1:10" ht="24.95" customHeight="1" x14ac:dyDescent="0.3">
      <c r="A13" s="49"/>
      <c r="B13" s="1">
        <v>12</v>
      </c>
      <c r="C13" s="6" t="s">
        <v>79</v>
      </c>
      <c r="D13" s="2"/>
      <c r="E13" s="41"/>
      <c r="F13" s="41"/>
      <c r="G13" s="41"/>
      <c r="H13" s="2"/>
      <c r="I13" s="4"/>
      <c r="J13" s="4"/>
    </row>
    <row r="14" spans="1:10" ht="24.95" customHeight="1" x14ac:dyDescent="0.3">
      <c r="A14" s="49"/>
      <c r="B14" s="1">
        <v>13</v>
      </c>
      <c r="C14" s="7" t="s">
        <v>55</v>
      </c>
      <c r="D14" s="2"/>
      <c r="E14" s="41"/>
      <c r="F14" s="41"/>
      <c r="G14" s="41"/>
      <c r="H14" s="2"/>
      <c r="I14" s="4"/>
      <c r="J14" s="4"/>
    </row>
    <row r="15" spans="1:10" ht="24.95" customHeight="1" x14ac:dyDescent="0.3">
      <c r="A15" s="49"/>
      <c r="B15" s="1">
        <v>14</v>
      </c>
      <c r="C15" s="7" t="s">
        <v>56</v>
      </c>
      <c r="D15" s="2"/>
      <c r="E15" s="41"/>
      <c r="F15" s="41"/>
      <c r="G15" s="41"/>
      <c r="H15" s="2"/>
      <c r="I15" s="4"/>
      <c r="J15" s="4"/>
    </row>
    <row r="16" spans="1:10" ht="24.95" customHeight="1" x14ac:dyDescent="0.3">
      <c r="A16" s="49"/>
      <c r="B16" s="1">
        <v>15</v>
      </c>
      <c r="C16" s="7" t="s">
        <v>57</v>
      </c>
      <c r="D16" s="2"/>
      <c r="E16" s="41"/>
      <c r="F16" s="41"/>
      <c r="G16" s="41"/>
      <c r="H16" s="2"/>
      <c r="I16" s="4"/>
      <c r="J16" s="4"/>
    </row>
    <row r="17" spans="1:10" ht="24.95" customHeight="1" x14ac:dyDescent="0.3">
      <c r="A17" s="49"/>
      <c r="B17" s="1">
        <v>16</v>
      </c>
      <c r="C17" s="5" t="s">
        <v>99</v>
      </c>
      <c r="D17" s="2"/>
      <c r="E17" s="41"/>
      <c r="F17" s="41"/>
      <c r="G17" s="41"/>
      <c r="H17" s="2"/>
      <c r="I17" s="4"/>
      <c r="J17" s="4"/>
    </row>
    <row r="18" spans="1:10" ht="24.95" customHeight="1" x14ac:dyDescent="0.3">
      <c r="A18" s="49"/>
      <c r="B18" s="1">
        <v>17</v>
      </c>
      <c r="C18" s="5" t="s">
        <v>100</v>
      </c>
      <c r="D18" s="2"/>
      <c r="E18" s="41"/>
      <c r="F18" s="41"/>
      <c r="G18" s="41"/>
      <c r="H18" s="2"/>
      <c r="I18" s="4"/>
      <c r="J18" s="4"/>
    </row>
    <row r="19" spans="1:10" ht="24.95" customHeight="1" x14ac:dyDescent="0.3">
      <c r="A19" s="49"/>
      <c r="B19" s="1">
        <v>18</v>
      </c>
      <c r="C19" s="5" t="s">
        <v>96</v>
      </c>
      <c r="D19" s="2"/>
      <c r="E19" s="41"/>
      <c r="F19" s="41"/>
      <c r="G19" s="41"/>
      <c r="H19" s="2"/>
      <c r="I19" s="4"/>
      <c r="J19" s="4"/>
    </row>
    <row r="20" spans="1:10" ht="24.95" customHeight="1" x14ac:dyDescent="0.3">
      <c r="A20" s="49"/>
      <c r="B20" s="1">
        <v>19</v>
      </c>
      <c r="C20" s="5" t="s">
        <v>97</v>
      </c>
      <c r="D20" s="2"/>
      <c r="E20" s="41"/>
      <c r="F20" s="41"/>
      <c r="G20" s="41"/>
      <c r="H20" s="2"/>
      <c r="I20" s="4"/>
      <c r="J20" s="4"/>
    </row>
    <row r="21" spans="1:10" ht="24.95" customHeight="1" x14ac:dyDescent="0.3">
      <c r="A21" s="49"/>
      <c r="B21" s="1">
        <v>20</v>
      </c>
      <c r="C21" s="5" t="s">
        <v>98</v>
      </c>
      <c r="D21" s="2"/>
      <c r="E21" s="41"/>
      <c r="F21" s="41"/>
      <c r="G21" s="41"/>
      <c r="H21" s="2"/>
      <c r="I21" s="4"/>
      <c r="J21" s="4"/>
    </row>
    <row r="22" spans="1:10" ht="24.95" customHeight="1" x14ac:dyDescent="0.3">
      <c r="A22" s="49"/>
      <c r="B22" s="1">
        <v>21</v>
      </c>
      <c r="C22" s="8" t="s">
        <v>60</v>
      </c>
      <c r="D22" s="2"/>
      <c r="E22" s="41">
        <v>0</v>
      </c>
      <c r="F22" s="41">
        <v>421.3</v>
      </c>
      <c r="G22" s="2">
        <v>24</v>
      </c>
      <c r="H22" s="2" t="s">
        <v>979</v>
      </c>
      <c r="I22" s="2" t="s">
        <v>984</v>
      </c>
      <c r="J22" s="2" t="s">
        <v>983</v>
      </c>
    </row>
    <row r="23" spans="1:10" ht="24.95" customHeight="1" x14ac:dyDescent="0.3">
      <c r="A23" s="49"/>
      <c r="B23" s="1">
        <v>21</v>
      </c>
      <c r="C23" s="8" t="s">
        <v>60</v>
      </c>
      <c r="D23" s="2"/>
      <c r="E23" s="41">
        <v>421.3</v>
      </c>
      <c r="F23" s="41">
        <v>509</v>
      </c>
      <c r="G23" s="2">
        <v>20</v>
      </c>
      <c r="H23" s="2" t="s">
        <v>980</v>
      </c>
      <c r="I23" s="2" t="s">
        <v>984</v>
      </c>
      <c r="J23" s="2" t="s">
        <v>983</v>
      </c>
    </row>
    <row r="24" spans="1:10" ht="24.95" customHeight="1" x14ac:dyDescent="0.3">
      <c r="A24" s="49"/>
      <c r="B24" s="1">
        <v>22</v>
      </c>
      <c r="C24" s="8" t="s">
        <v>111</v>
      </c>
      <c r="D24" s="2"/>
      <c r="E24" s="41"/>
      <c r="F24" s="41"/>
      <c r="G24" s="2"/>
      <c r="H24" s="2"/>
      <c r="I24" s="2" t="s">
        <v>984</v>
      </c>
      <c r="J24" s="2" t="s">
        <v>983</v>
      </c>
    </row>
    <row r="25" spans="1:10" ht="24.95" customHeight="1" x14ac:dyDescent="0.3">
      <c r="A25" s="49"/>
      <c r="B25" s="1">
        <v>23</v>
      </c>
      <c r="C25" s="8" t="s">
        <v>112</v>
      </c>
      <c r="D25" s="2"/>
      <c r="E25" s="41"/>
      <c r="F25" s="41"/>
      <c r="G25" s="2"/>
      <c r="H25" s="2"/>
      <c r="I25" s="4"/>
      <c r="J25" s="4"/>
    </row>
    <row r="26" spans="1:10" ht="24.95" customHeight="1" x14ac:dyDescent="0.3">
      <c r="A26" s="49"/>
      <c r="B26" s="1">
        <v>24</v>
      </c>
      <c r="C26" s="8" t="s">
        <v>131</v>
      </c>
      <c r="D26" s="2"/>
      <c r="E26" s="41"/>
      <c r="F26" s="41"/>
      <c r="G26" s="2"/>
      <c r="H26" s="2"/>
      <c r="I26" s="4"/>
      <c r="J26" s="4"/>
    </row>
    <row r="27" spans="1:10" ht="24.95" customHeight="1" x14ac:dyDescent="0.3">
      <c r="A27" s="49"/>
      <c r="B27" s="1">
        <v>25</v>
      </c>
      <c r="C27" s="8" t="s">
        <v>62</v>
      </c>
      <c r="D27" s="2"/>
      <c r="E27" s="41"/>
      <c r="F27" s="41"/>
      <c r="G27" s="2"/>
      <c r="H27" s="2"/>
      <c r="I27" s="4"/>
      <c r="J27" s="4"/>
    </row>
    <row r="28" spans="1:10" ht="24.95" customHeight="1" x14ac:dyDescent="0.3">
      <c r="A28" s="49"/>
      <c r="B28" s="1">
        <v>26</v>
      </c>
      <c r="C28" s="8" t="s">
        <v>62</v>
      </c>
      <c r="D28" s="2"/>
      <c r="E28" s="41"/>
      <c r="F28" s="41"/>
      <c r="G28" s="2"/>
      <c r="H28" s="2"/>
      <c r="I28" s="4"/>
      <c r="J28" s="4"/>
    </row>
    <row r="29" spans="1:10" ht="24.95" customHeight="1" x14ac:dyDescent="0.3">
      <c r="A29" s="49"/>
      <c r="B29" s="1">
        <v>27</v>
      </c>
      <c r="C29" s="8" t="s">
        <v>8</v>
      </c>
      <c r="D29" s="2"/>
      <c r="E29" s="41"/>
      <c r="F29" s="41"/>
      <c r="G29" s="2"/>
      <c r="H29" s="2"/>
      <c r="I29" s="4"/>
      <c r="J29" s="4"/>
    </row>
    <row r="30" spans="1:10" ht="24.95" customHeight="1" x14ac:dyDescent="0.3">
      <c r="A30" s="49"/>
      <c r="B30" s="1">
        <v>28</v>
      </c>
      <c r="C30" s="8" t="s">
        <v>110</v>
      </c>
      <c r="D30" s="2"/>
      <c r="E30" s="41"/>
      <c r="F30" s="41"/>
      <c r="G30" s="2"/>
      <c r="H30" s="2"/>
      <c r="I30" s="4"/>
      <c r="J30" s="4"/>
    </row>
    <row r="31" spans="1:10" ht="24.95" customHeight="1" x14ac:dyDescent="0.3">
      <c r="A31" s="49"/>
      <c r="B31" s="1">
        <v>29</v>
      </c>
      <c r="C31" s="8" t="s">
        <v>109</v>
      </c>
      <c r="D31" s="2"/>
      <c r="E31" s="41"/>
      <c r="F31" s="41"/>
      <c r="G31" s="2">
        <v>40</v>
      </c>
      <c r="H31" s="2"/>
      <c r="I31" s="4" t="s">
        <v>984</v>
      </c>
      <c r="J31" s="4"/>
    </row>
    <row r="32" spans="1:10" ht="24.95" customHeight="1" x14ac:dyDescent="0.3">
      <c r="A32" s="49"/>
      <c r="B32" s="1">
        <v>30</v>
      </c>
      <c r="C32" s="8" t="s">
        <v>108</v>
      </c>
      <c r="D32" s="2"/>
      <c r="E32" s="41"/>
      <c r="F32" s="41"/>
      <c r="G32" s="2"/>
      <c r="H32" s="2"/>
      <c r="I32" s="4"/>
      <c r="J32" s="4"/>
    </row>
    <row r="33" spans="1:10" ht="24.95" customHeight="1" x14ac:dyDescent="0.3">
      <c r="A33" s="49"/>
      <c r="B33" s="1">
        <v>31</v>
      </c>
      <c r="C33" s="8" t="s">
        <v>64</v>
      </c>
      <c r="D33" s="2"/>
      <c r="E33" s="41">
        <v>0</v>
      </c>
      <c r="F33" s="41">
        <v>431.71899999999999</v>
      </c>
      <c r="G33" s="2">
        <v>48</v>
      </c>
      <c r="H33" s="2" t="s">
        <v>1017</v>
      </c>
      <c r="I33" s="4"/>
      <c r="J33" s="4"/>
    </row>
    <row r="34" spans="1:10" ht="24.95" customHeight="1" x14ac:dyDescent="0.3">
      <c r="A34" s="49"/>
      <c r="B34" s="1">
        <v>32</v>
      </c>
      <c r="C34" s="8" t="s">
        <v>64</v>
      </c>
      <c r="D34" s="2"/>
      <c r="E34" s="41">
        <v>431.71899999999999</v>
      </c>
      <c r="F34" s="41">
        <v>534.44000000000005</v>
      </c>
      <c r="G34" s="2">
        <v>48</v>
      </c>
      <c r="H34" s="2" t="s">
        <v>1017</v>
      </c>
      <c r="I34" s="4"/>
      <c r="J34" s="4"/>
    </row>
    <row r="35" spans="1:10" ht="24.95" customHeight="1" x14ac:dyDescent="0.3">
      <c r="A35" s="49"/>
      <c r="B35" s="1">
        <v>33</v>
      </c>
      <c r="C35" s="8" t="s">
        <v>64</v>
      </c>
      <c r="D35" s="2"/>
      <c r="E35" s="41">
        <v>534.44000000000005</v>
      </c>
      <c r="F35" s="41">
        <v>615.33000000000004</v>
      </c>
      <c r="G35" s="2">
        <v>48</v>
      </c>
      <c r="H35" s="2" t="s">
        <v>1017</v>
      </c>
      <c r="I35" s="4"/>
      <c r="J35" s="4"/>
    </row>
    <row r="36" spans="1:10" ht="24.95" customHeight="1" x14ac:dyDescent="0.3">
      <c r="A36" s="49"/>
      <c r="B36" s="1">
        <v>34</v>
      </c>
      <c r="C36" s="8" t="s">
        <v>105</v>
      </c>
      <c r="D36" s="2"/>
      <c r="E36" s="41">
        <v>0</v>
      </c>
      <c r="F36" s="41">
        <v>548.28499999999997</v>
      </c>
      <c r="G36" s="2">
        <v>48</v>
      </c>
      <c r="H36" s="2" t="s">
        <v>980</v>
      </c>
      <c r="I36" s="2" t="s">
        <v>984</v>
      </c>
      <c r="J36" s="44" t="s">
        <v>1257</v>
      </c>
    </row>
    <row r="37" spans="1:10" ht="24.95" customHeight="1" x14ac:dyDescent="0.3">
      <c r="A37" s="49"/>
      <c r="B37" s="1">
        <v>35</v>
      </c>
      <c r="C37" s="8" t="s">
        <v>106</v>
      </c>
      <c r="D37" s="2"/>
      <c r="E37" s="41">
        <v>0</v>
      </c>
      <c r="F37" s="41">
        <v>548.28499999999997</v>
      </c>
      <c r="G37" s="2">
        <v>48</v>
      </c>
      <c r="H37" s="2" t="s">
        <v>980</v>
      </c>
      <c r="I37" s="2" t="s">
        <v>984</v>
      </c>
      <c r="J37" s="44" t="s">
        <v>1257</v>
      </c>
    </row>
    <row r="38" spans="1:10" ht="24.95" customHeight="1" x14ac:dyDescent="0.3">
      <c r="A38" s="49"/>
      <c r="B38" s="1">
        <v>36</v>
      </c>
      <c r="C38" s="8" t="s">
        <v>107</v>
      </c>
      <c r="D38" s="2"/>
      <c r="E38" s="41">
        <v>0</v>
      </c>
      <c r="F38" s="41">
        <v>548.28499999999997</v>
      </c>
      <c r="G38" s="2">
        <v>48</v>
      </c>
      <c r="H38" s="2" t="s">
        <v>1017</v>
      </c>
      <c r="I38" s="2" t="s">
        <v>984</v>
      </c>
      <c r="J38" s="2" t="s">
        <v>1263</v>
      </c>
    </row>
    <row r="39" spans="1:10" ht="24.95" customHeight="1" x14ac:dyDescent="0.3">
      <c r="A39" s="49"/>
      <c r="B39" s="1">
        <v>37</v>
      </c>
      <c r="C39" s="8" t="s">
        <v>66</v>
      </c>
      <c r="D39" s="2"/>
      <c r="E39" s="41">
        <v>0</v>
      </c>
      <c r="F39" s="41">
        <v>437</v>
      </c>
      <c r="G39" s="2">
        <v>42</v>
      </c>
      <c r="H39" s="2" t="s">
        <v>980</v>
      </c>
      <c r="I39" s="4"/>
      <c r="J39" s="44" t="s">
        <v>1257</v>
      </c>
    </row>
    <row r="40" spans="1:10" ht="24.95" customHeight="1" x14ac:dyDescent="0.3">
      <c r="A40" s="49"/>
      <c r="B40" s="1">
        <v>38</v>
      </c>
      <c r="C40" s="8" t="s">
        <v>113</v>
      </c>
      <c r="D40" s="2"/>
      <c r="E40" s="41">
        <v>0</v>
      </c>
      <c r="F40" s="41">
        <v>207</v>
      </c>
      <c r="G40" s="2">
        <v>42</v>
      </c>
      <c r="H40" s="2" t="s">
        <v>1017</v>
      </c>
      <c r="I40" s="4"/>
      <c r="J40" s="44" t="s">
        <v>1262</v>
      </c>
    </row>
    <row r="41" spans="1:10" ht="24.95" customHeight="1" x14ac:dyDescent="0.3">
      <c r="A41" s="49"/>
      <c r="B41" s="1">
        <v>39</v>
      </c>
      <c r="C41" s="8" t="s">
        <v>1255</v>
      </c>
      <c r="D41" s="2"/>
      <c r="E41" s="41">
        <v>0</v>
      </c>
      <c r="F41" s="41">
        <v>232.38</v>
      </c>
      <c r="G41" s="2">
        <v>42</v>
      </c>
      <c r="H41" s="2" t="s">
        <v>1017</v>
      </c>
      <c r="I41" s="44" t="s">
        <v>1259</v>
      </c>
      <c r="J41" s="44" t="s">
        <v>1257</v>
      </c>
    </row>
    <row r="42" spans="1:10" ht="24.95" customHeight="1" x14ac:dyDescent="0.3">
      <c r="A42" s="49"/>
      <c r="B42" s="1">
        <v>39</v>
      </c>
      <c r="C42" s="8" t="s">
        <v>1256</v>
      </c>
      <c r="D42" s="2"/>
      <c r="E42" s="41">
        <v>232.38</v>
      </c>
      <c r="F42" s="41">
        <v>966</v>
      </c>
      <c r="G42" s="2">
        <v>48</v>
      </c>
      <c r="H42" s="2" t="s">
        <v>980</v>
      </c>
      <c r="I42" s="44" t="s">
        <v>1259</v>
      </c>
      <c r="J42" s="44" t="s">
        <v>1257</v>
      </c>
    </row>
    <row r="43" spans="1:10" ht="24.95" customHeight="1" x14ac:dyDescent="0.3">
      <c r="A43" s="49"/>
      <c r="B43" s="1">
        <v>40</v>
      </c>
      <c r="C43" s="8" t="s">
        <v>1260</v>
      </c>
      <c r="D43" s="2"/>
      <c r="E43" s="41">
        <v>0</v>
      </c>
      <c r="F43" s="41">
        <v>232.38</v>
      </c>
      <c r="G43" s="2">
        <v>42</v>
      </c>
      <c r="H43" s="2" t="s">
        <v>1017</v>
      </c>
      <c r="I43" s="44" t="s">
        <v>1259</v>
      </c>
      <c r="J43" s="44" t="s">
        <v>1258</v>
      </c>
    </row>
    <row r="44" spans="1:10" ht="24.95" customHeight="1" x14ac:dyDescent="0.3">
      <c r="A44" s="49"/>
      <c r="B44" s="1">
        <v>40</v>
      </c>
      <c r="C44" s="8" t="s">
        <v>1261</v>
      </c>
      <c r="D44" s="2"/>
      <c r="E44" s="41">
        <v>232.38</v>
      </c>
      <c r="F44" s="41">
        <v>966</v>
      </c>
      <c r="G44" s="2">
        <v>42</v>
      </c>
      <c r="H44" s="2" t="s">
        <v>1017</v>
      </c>
      <c r="I44" s="44" t="s">
        <v>1259</v>
      </c>
      <c r="J44" s="44" t="s">
        <v>1258</v>
      </c>
    </row>
    <row r="45" spans="1:10" ht="24.95" customHeight="1" x14ac:dyDescent="0.3">
      <c r="A45" s="49"/>
      <c r="B45" s="1">
        <v>41</v>
      </c>
      <c r="C45" s="8" t="s">
        <v>116</v>
      </c>
      <c r="D45" s="2"/>
      <c r="E45" s="41">
        <v>0</v>
      </c>
      <c r="F45" s="41">
        <v>535</v>
      </c>
      <c r="G45" s="2">
        <v>48</v>
      </c>
      <c r="H45" s="2" t="s">
        <v>1017</v>
      </c>
      <c r="I45" s="4"/>
      <c r="J45" s="4"/>
    </row>
    <row r="46" spans="1:10" ht="24.95" customHeight="1" x14ac:dyDescent="0.3">
      <c r="A46" s="49"/>
      <c r="B46" s="1">
        <v>42</v>
      </c>
      <c r="C46" s="8" t="s">
        <v>117</v>
      </c>
      <c r="D46" s="2"/>
      <c r="E46" s="41">
        <v>0</v>
      </c>
      <c r="F46" s="41">
        <v>531</v>
      </c>
      <c r="G46" s="2">
        <v>48</v>
      </c>
      <c r="H46" s="2" t="s">
        <v>1017</v>
      </c>
      <c r="I46" s="4"/>
      <c r="J46" s="4"/>
    </row>
    <row r="47" spans="1:10" ht="24.95" customHeight="1" x14ac:dyDescent="0.3">
      <c r="A47" s="49"/>
      <c r="B47" s="1">
        <v>43</v>
      </c>
      <c r="C47" s="8" t="s">
        <v>68</v>
      </c>
      <c r="D47" s="2"/>
      <c r="E47" s="41">
        <v>0</v>
      </c>
      <c r="F47" s="41">
        <v>195</v>
      </c>
      <c r="G47" s="2">
        <v>56</v>
      </c>
      <c r="H47" s="2" t="s">
        <v>1017</v>
      </c>
      <c r="I47" s="4"/>
      <c r="J47" s="4"/>
    </row>
    <row r="48" spans="1:10" ht="24.95" customHeight="1" x14ac:dyDescent="0.3">
      <c r="A48" s="49"/>
      <c r="B48" s="1"/>
      <c r="C48" s="8"/>
      <c r="D48" s="2"/>
      <c r="E48" s="41">
        <v>195</v>
      </c>
      <c r="F48" s="41">
        <v>770</v>
      </c>
      <c r="G48" s="2">
        <v>48</v>
      </c>
      <c r="H48" s="2" t="s">
        <v>1017</v>
      </c>
      <c r="I48" s="4"/>
      <c r="J48" s="4"/>
    </row>
    <row r="49" spans="1:10" ht="24.95" customHeight="1" x14ac:dyDescent="0.3">
      <c r="A49" s="49"/>
      <c r="B49" s="1">
        <v>44</v>
      </c>
      <c r="C49" s="8" t="s">
        <v>118</v>
      </c>
      <c r="D49" s="2"/>
      <c r="E49" s="41">
        <v>0</v>
      </c>
      <c r="F49" s="41">
        <v>345</v>
      </c>
      <c r="G49" s="2">
        <v>48</v>
      </c>
      <c r="H49" s="2" t="s">
        <v>1017</v>
      </c>
      <c r="I49" s="4"/>
      <c r="J49" s="4"/>
    </row>
  </sheetData>
  <phoneticPr fontId="6"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54"/>
  <sheetViews>
    <sheetView workbookViewId="0">
      <selection activeCell="C42" sqref="C42:C45"/>
    </sheetView>
  </sheetViews>
  <sheetFormatPr baseColWidth="10" defaultRowHeight="16.5" x14ac:dyDescent="0.3"/>
  <cols>
    <col min="1" max="1" width="5.7109375" customWidth="1"/>
    <col min="2" max="2" width="20.7109375" customWidth="1"/>
    <col min="3" max="3" width="40.7109375" customWidth="1"/>
    <col min="4" max="4" width="5.7109375" customWidth="1"/>
    <col min="5" max="5" width="20.7109375" customWidth="1"/>
  </cols>
  <sheetData>
    <row r="1" spans="1:5" ht="24.95" customHeight="1" x14ac:dyDescent="0.3">
      <c r="A1" s="9" t="s">
        <v>0</v>
      </c>
      <c r="B1" s="9" t="s">
        <v>206</v>
      </c>
      <c r="C1" s="9" t="s">
        <v>216</v>
      </c>
      <c r="D1" s="9" t="s">
        <v>354</v>
      </c>
      <c r="E1" s="9" t="s">
        <v>70</v>
      </c>
    </row>
    <row r="2" spans="1:5" ht="24.95" customHeight="1" x14ac:dyDescent="0.3">
      <c r="A2" s="9" t="s">
        <v>204</v>
      </c>
      <c r="B2" s="9" t="s">
        <v>205</v>
      </c>
      <c r="C2" s="9"/>
      <c r="D2" s="9" t="s">
        <v>204</v>
      </c>
      <c r="E2" s="9" t="s">
        <v>205</v>
      </c>
    </row>
    <row r="3" spans="1:5" ht="24.95" customHeight="1" x14ac:dyDescent="0.3">
      <c r="A3" s="1">
        <v>1</v>
      </c>
      <c r="B3" s="2" t="s">
        <v>356</v>
      </c>
      <c r="C3" s="2" t="s">
        <v>355</v>
      </c>
      <c r="D3" s="1">
        <v>1</v>
      </c>
      <c r="E3" s="2" t="s">
        <v>24</v>
      </c>
    </row>
    <row r="4" spans="1:5" ht="24.95" customHeight="1" x14ac:dyDescent="0.3">
      <c r="A4" s="1">
        <v>2</v>
      </c>
      <c r="B4" s="2" t="s">
        <v>357</v>
      </c>
      <c r="C4" s="2" t="s">
        <v>363</v>
      </c>
      <c r="D4" s="1">
        <v>1</v>
      </c>
      <c r="E4" s="2" t="s">
        <v>24</v>
      </c>
    </row>
    <row r="5" spans="1:5" ht="24.95" customHeight="1" x14ac:dyDescent="0.3">
      <c r="A5" s="1">
        <v>3</v>
      </c>
      <c r="B5" s="2" t="s">
        <v>358</v>
      </c>
      <c r="C5" s="2" t="s">
        <v>364</v>
      </c>
      <c r="D5" s="1">
        <v>1</v>
      </c>
      <c r="E5" s="2" t="s">
        <v>24</v>
      </c>
    </row>
    <row r="6" spans="1:5" ht="24.95" customHeight="1" x14ac:dyDescent="0.3">
      <c r="A6" s="1">
        <v>4</v>
      </c>
      <c r="B6" s="2" t="s">
        <v>359</v>
      </c>
      <c r="C6" s="2" t="s">
        <v>365</v>
      </c>
      <c r="D6" s="1">
        <v>1</v>
      </c>
      <c r="E6" s="2" t="s">
        <v>24</v>
      </c>
    </row>
    <row r="7" spans="1:5" ht="24.95" customHeight="1" x14ac:dyDescent="0.3">
      <c r="A7" s="1">
        <v>5</v>
      </c>
      <c r="B7" s="2" t="s">
        <v>360</v>
      </c>
      <c r="C7" s="2" t="s">
        <v>366</v>
      </c>
      <c r="D7" s="1">
        <v>1</v>
      </c>
      <c r="E7" s="2" t="s">
        <v>24</v>
      </c>
    </row>
    <row r="8" spans="1:5" ht="24.95" customHeight="1" x14ac:dyDescent="0.3">
      <c r="A8" s="1">
        <v>6</v>
      </c>
      <c r="B8" s="2" t="s">
        <v>361</v>
      </c>
      <c r="C8" s="2" t="s">
        <v>367</v>
      </c>
      <c r="D8" s="1">
        <v>1</v>
      </c>
      <c r="E8" s="2" t="s">
        <v>24</v>
      </c>
    </row>
    <row r="9" spans="1:5" ht="24.95" customHeight="1" x14ac:dyDescent="0.3">
      <c r="A9" s="1">
        <v>7</v>
      </c>
      <c r="B9" s="2" t="s">
        <v>362</v>
      </c>
      <c r="C9" s="2" t="s">
        <v>478</v>
      </c>
      <c r="D9" s="1">
        <v>1</v>
      </c>
      <c r="E9" s="2" t="s">
        <v>24</v>
      </c>
    </row>
    <row r="10" spans="1:5" ht="24.95" customHeight="1" x14ac:dyDescent="0.3">
      <c r="A10" s="1">
        <v>8</v>
      </c>
      <c r="B10" s="2" t="s">
        <v>356</v>
      </c>
      <c r="C10" s="2" t="s">
        <v>355</v>
      </c>
      <c r="D10" s="1">
        <v>2</v>
      </c>
      <c r="E10" s="2" t="s">
        <v>25</v>
      </c>
    </row>
    <row r="11" spans="1:5" ht="24.95" customHeight="1" x14ac:dyDescent="0.3">
      <c r="A11" s="1">
        <v>9</v>
      </c>
      <c r="B11" s="2" t="s">
        <v>357</v>
      </c>
      <c r="C11" s="2" t="s">
        <v>535</v>
      </c>
      <c r="D11" s="1">
        <v>2</v>
      </c>
      <c r="E11" s="2" t="s">
        <v>25</v>
      </c>
    </row>
    <row r="12" spans="1:5" ht="24.95" customHeight="1" x14ac:dyDescent="0.3">
      <c r="A12" s="1">
        <v>10</v>
      </c>
      <c r="B12" s="2" t="s">
        <v>358</v>
      </c>
      <c r="C12" s="2" t="s">
        <v>547</v>
      </c>
      <c r="D12" s="1">
        <v>2</v>
      </c>
      <c r="E12" s="2" t="s">
        <v>25</v>
      </c>
    </row>
    <row r="13" spans="1:5" ht="24.95" customHeight="1" x14ac:dyDescent="0.3">
      <c r="A13" s="1">
        <v>11</v>
      </c>
      <c r="B13" s="2" t="s">
        <v>359</v>
      </c>
      <c r="C13" s="2" t="s">
        <v>538</v>
      </c>
      <c r="D13" s="1">
        <v>2</v>
      </c>
      <c r="E13" s="2" t="s">
        <v>25</v>
      </c>
    </row>
    <row r="14" spans="1:5" ht="24.95" customHeight="1" x14ac:dyDescent="0.3">
      <c r="A14" s="1">
        <v>12</v>
      </c>
      <c r="B14" s="2" t="s">
        <v>356</v>
      </c>
      <c r="C14" s="2" t="s">
        <v>553</v>
      </c>
      <c r="D14" s="1">
        <v>3</v>
      </c>
      <c r="E14" s="2" t="s">
        <v>26</v>
      </c>
    </row>
    <row r="15" spans="1:5" ht="24.95" customHeight="1" x14ac:dyDescent="0.3">
      <c r="A15" s="1">
        <v>13</v>
      </c>
      <c r="B15" s="2" t="s">
        <v>549</v>
      </c>
      <c r="C15" s="2" t="s">
        <v>550</v>
      </c>
      <c r="D15" s="1">
        <v>3</v>
      </c>
      <c r="E15" s="2" t="s">
        <v>26</v>
      </c>
    </row>
    <row r="16" spans="1:5" ht="24.95" customHeight="1" x14ac:dyDescent="0.3">
      <c r="A16" s="1">
        <v>14</v>
      </c>
      <c r="B16" s="2" t="s">
        <v>357</v>
      </c>
      <c r="C16" s="2" t="s">
        <v>552</v>
      </c>
      <c r="D16" s="1">
        <v>3</v>
      </c>
      <c r="E16" s="2" t="s">
        <v>26</v>
      </c>
    </row>
    <row r="17" spans="1:5" ht="24.95" customHeight="1" x14ac:dyDescent="0.3">
      <c r="A17" s="1">
        <v>15</v>
      </c>
      <c r="B17" s="2" t="s">
        <v>358</v>
      </c>
      <c r="C17" s="2" t="s">
        <v>551</v>
      </c>
      <c r="D17" s="1">
        <v>3</v>
      </c>
      <c r="E17" s="2" t="s">
        <v>26</v>
      </c>
    </row>
    <row r="18" spans="1:5" ht="24.95" customHeight="1" x14ac:dyDescent="0.3">
      <c r="A18" s="1">
        <v>16</v>
      </c>
      <c r="B18" s="2" t="s">
        <v>554</v>
      </c>
      <c r="C18" s="2" t="s">
        <v>555</v>
      </c>
      <c r="D18" s="1">
        <v>3</v>
      </c>
      <c r="E18" s="2" t="s">
        <v>26</v>
      </c>
    </row>
    <row r="19" spans="1:5" ht="24.95" customHeight="1" x14ac:dyDescent="0.3">
      <c r="A19" s="1">
        <v>17</v>
      </c>
      <c r="B19" s="2" t="s">
        <v>356</v>
      </c>
      <c r="C19" s="2" t="s">
        <v>582</v>
      </c>
      <c r="D19" s="1">
        <v>4</v>
      </c>
      <c r="E19" s="2" t="s">
        <v>27</v>
      </c>
    </row>
    <row r="20" spans="1:5" ht="24.95" customHeight="1" x14ac:dyDescent="0.3">
      <c r="A20" s="1">
        <v>18</v>
      </c>
      <c r="B20" s="2" t="s">
        <v>357</v>
      </c>
      <c r="C20" s="2" t="s">
        <v>583</v>
      </c>
      <c r="D20" s="1">
        <v>4</v>
      </c>
      <c r="E20" s="2" t="s">
        <v>27</v>
      </c>
    </row>
    <row r="21" spans="1:5" ht="24.95" customHeight="1" x14ac:dyDescent="0.3">
      <c r="A21" s="1">
        <v>19</v>
      </c>
      <c r="B21" s="2" t="s">
        <v>356</v>
      </c>
      <c r="C21" s="2" t="s">
        <v>582</v>
      </c>
      <c r="D21" s="1">
        <v>5</v>
      </c>
      <c r="E21" s="2" t="s">
        <v>28</v>
      </c>
    </row>
    <row r="22" spans="1:5" ht="24.95" customHeight="1" x14ac:dyDescent="0.3">
      <c r="A22" s="1">
        <v>20</v>
      </c>
      <c r="B22" s="2" t="s">
        <v>625</v>
      </c>
      <c r="C22" s="2" t="s">
        <v>628</v>
      </c>
      <c r="D22" s="1">
        <v>5</v>
      </c>
      <c r="E22" s="2" t="s">
        <v>28</v>
      </c>
    </row>
    <row r="23" spans="1:5" ht="24.95" customHeight="1" x14ac:dyDescent="0.3">
      <c r="A23" s="1">
        <v>21</v>
      </c>
      <c r="B23" s="2" t="s">
        <v>626</v>
      </c>
      <c r="C23" s="2" t="s">
        <v>629</v>
      </c>
      <c r="D23" s="1">
        <v>5</v>
      </c>
      <c r="E23" s="2" t="s">
        <v>28</v>
      </c>
    </row>
    <row r="24" spans="1:5" ht="24.95" customHeight="1" x14ac:dyDescent="0.3">
      <c r="A24" s="1">
        <v>22</v>
      </c>
      <c r="B24" s="2" t="s">
        <v>627</v>
      </c>
      <c r="C24" s="2" t="s">
        <v>630</v>
      </c>
      <c r="D24" s="1">
        <v>5</v>
      </c>
      <c r="E24" s="2" t="s">
        <v>28</v>
      </c>
    </row>
    <row r="25" spans="1:5" ht="24.95" customHeight="1" x14ac:dyDescent="0.3">
      <c r="A25" s="1">
        <v>23</v>
      </c>
      <c r="B25" s="2" t="s">
        <v>356</v>
      </c>
      <c r="C25" s="2" t="s">
        <v>594</v>
      </c>
      <c r="D25" s="1">
        <v>6</v>
      </c>
      <c r="E25" s="2" t="s">
        <v>29</v>
      </c>
    </row>
    <row r="26" spans="1:5" ht="24.95" customHeight="1" x14ac:dyDescent="0.3">
      <c r="A26" s="1">
        <v>24</v>
      </c>
      <c r="B26" s="2" t="s">
        <v>357</v>
      </c>
      <c r="C26" s="2" t="s">
        <v>595</v>
      </c>
      <c r="D26" s="1">
        <v>6</v>
      </c>
      <c r="E26" s="2" t="s">
        <v>29</v>
      </c>
    </row>
    <row r="27" spans="1:5" ht="24.95" customHeight="1" x14ac:dyDescent="0.3">
      <c r="A27" s="1">
        <v>25</v>
      </c>
      <c r="B27" s="2" t="s">
        <v>356</v>
      </c>
      <c r="C27" s="2" t="s">
        <v>632</v>
      </c>
      <c r="D27" s="1">
        <v>7</v>
      </c>
      <c r="E27" s="2" t="s">
        <v>30</v>
      </c>
    </row>
    <row r="28" spans="1:5" ht="24.95" customHeight="1" x14ac:dyDescent="0.3">
      <c r="A28" s="1">
        <v>26</v>
      </c>
      <c r="B28" s="2" t="s">
        <v>357</v>
      </c>
      <c r="C28" s="2" t="s">
        <v>631</v>
      </c>
      <c r="D28" s="1">
        <v>7</v>
      </c>
      <c r="E28" s="2" t="s">
        <v>30</v>
      </c>
    </row>
    <row r="29" spans="1:5" ht="24.95" customHeight="1" x14ac:dyDescent="0.3">
      <c r="A29" s="1">
        <v>27</v>
      </c>
      <c r="B29" s="2" t="s">
        <v>359</v>
      </c>
      <c r="C29" s="2" t="s">
        <v>456</v>
      </c>
      <c r="D29" s="1">
        <v>8</v>
      </c>
      <c r="E29" s="2" t="s">
        <v>38</v>
      </c>
    </row>
    <row r="30" spans="1:5" ht="24.95" customHeight="1" x14ac:dyDescent="0.3">
      <c r="A30" s="1">
        <v>28</v>
      </c>
      <c r="B30" s="2" t="s">
        <v>360</v>
      </c>
      <c r="C30" s="2" t="s">
        <v>700</v>
      </c>
      <c r="D30" s="1">
        <v>8</v>
      </c>
      <c r="E30" s="2" t="s">
        <v>38</v>
      </c>
    </row>
    <row r="31" spans="1:5" ht="24.95" customHeight="1" x14ac:dyDescent="0.3">
      <c r="A31" s="1">
        <v>29</v>
      </c>
      <c r="B31" s="2" t="s">
        <v>361</v>
      </c>
      <c r="C31" s="2" t="s">
        <v>701</v>
      </c>
      <c r="D31" s="1">
        <v>8</v>
      </c>
      <c r="E31" s="2" t="s">
        <v>38</v>
      </c>
    </row>
    <row r="32" spans="1:5" ht="24.95" customHeight="1" x14ac:dyDescent="0.3">
      <c r="A32" s="1">
        <v>30</v>
      </c>
      <c r="B32" s="2" t="s">
        <v>356</v>
      </c>
      <c r="C32" s="2" t="s">
        <v>553</v>
      </c>
      <c r="D32" s="1">
        <v>9</v>
      </c>
      <c r="E32" s="2" t="s">
        <v>39</v>
      </c>
    </row>
    <row r="33" spans="1:7" ht="24.95" customHeight="1" x14ac:dyDescent="0.3">
      <c r="A33" s="1">
        <v>31</v>
      </c>
      <c r="B33" s="2" t="s">
        <v>358</v>
      </c>
      <c r="C33" s="2" t="s">
        <v>552</v>
      </c>
      <c r="D33" s="1">
        <v>9</v>
      </c>
      <c r="E33" s="2" t="s">
        <v>39</v>
      </c>
    </row>
    <row r="34" spans="1:7" ht="24.95" customHeight="1" x14ac:dyDescent="0.3">
      <c r="A34" s="1"/>
      <c r="B34" s="2"/>
      <c r="C34" s="2"/>
      <c r="D34" s="1">
        <v>10</v>
      </c>
      <c r="E34" s="2" t="s">
        <v>40</v>
      </c>
    </row>
    <row r="35" spans="1:7" ht="24.95" customHeight="1" x14ac:dyDescent="0.3">
      <c r="A35" s="1"/>
      <c r="B35" s="2" t="s">
        <v>356</v>
      </c>
      <c r="C35" s="2" t="s">
        <v>814</v>
      </c>
      <c r="D35" s="1">
        <v>11</v>
      </c>
      <c r="E35" s="2" t="s">
        <v>41</v>
      </c>
    </row>
    <row r="36" spans="1:7" ht="24.95" customHeight="1" x14ac:dyDescent="0.3">
      <c r="A36" s="1"/>
      <c r="B36" s="2" t="s">
        <v>357</v>
      </c>
      <c r="C36" s="2" t="s">
        <v>700</v>
      </c>
      <c r="D36" s="1">
        <v>11</v>
      </c>
      <c r="E36" s="2" t="s">
        <v>41</v>
      </c>
    </row>
    <row r="37" spans="1:7" ht="24.95" customHeight="1" x14ac:dyDescent="0.3">
      <c r="A37" s="1"/>
      <c r="B37" s="2" t="s">
        <v>356</v>
      </c>
      <c r="C37" s="2" t="s">
        <v>814</v>
      </c>
      <c r="D37" s="1">
        <v>11</v>
      </c>
      <c r="E37" s="2" t="s">
        <v>41</v>
      </c>
    </row>
    <row r="38" spans="1:7" ht="24.95" customHeight="1" x14ac:dyDescent="0.3">
      <c r="A38" s="1"/>
      <c r="B38" s="2" t="s">
        <v>969</v>
      </c>
      <c r="C38" s="2" t="s">
        <v>968</v>
      </c>
      <c r="D38" s="1">
        <v>12</v>
      </c>
      <c r="E38" s="2" t="s">
        <v>42</v>
      </c>
    </row>
    <row r="39" spans="1:7" ht="24.95" customHeight="1" x14ac:dyDescent="0.3">
      <c r="A39" s="1"/>
      <c r="B39" s="2" t="s">
        <v>356</v>
      </c>
      <c r="C39" s="2" t="s">
        <v>553</v>
      </c>
      <c r="D39" s="1">
        <v>12</v>
      </c>
      <c r="E39" s="2" t="s">
        <v>42</v>
      </c>
    </row>
    <row r="40" spans="1:7" ht="24.95" customHeight="1" x14ac:dyDescent="0.3">
      <c r="A40" s="1"/>
      <c r="B40" s="2" t="s">
        <v>970</v>
      </c>
      <c r="C40" s="2" t="s">
        <v>553</v>
      </c>
      <c r="D40" s="1">
        <v>12</v>
      </c>
      <c r="E40" s="2" t="s">
        <v>42</v>
      </c>
    </row>
    <row r="41" spans="1:7" ht="24.95" customHeight="1" x14ac:dyDescent="0.3">
      <c r="A41" s="1"/>
      <c r="B41" s="2" t="s">
        <v>357</v>
      </c>
      <c r="C41" s="2" t="s">
        <v>363</v>
      </c>
      <c r="D41" s="1">
        <v>12</v>
      </c>
      <c r="E41" s="2" t="s">
        <v>42</v>
      </c>
    </row>
    <row r="42" spans="1:7" ht="24.95" customHeight="1" x14ac:dyDescent="0.3">
      <c r="A42" s="1"/>
      <c r="B42" s="2" t="s">
        <v>971</v>
      </c>
      <c r="C42" s="2" t="s">
        <v>700</v>
      </c>
      <c r="D42" s="1">
        <v>13</v>
      </c>
      <c r="E42" s="2" t="s">
        <v>45</v>
      </c>
      <c r="G42" t="s">
        <v>700</v>
      </c>
    </row>
    <row r="43" spans="1:7" ht="24.95" customHeight="1" x14ac:dyDescent="0.3">
      <c r="A43" s="1"/>
      <c r="B43" s="2" t="s">
        <v>972</v>
      </c>
      <c r="C43" s="2" t="s">
        <v>975</v>
      </c>
      <c r="D43" s="1">
        <v>13</v>
      </c>
      <c r="E43" s="2" t="s">
        <v>45</v>
      </c>
      <c r="G43" t="s">
        <v>975</v>
      </c>
    </row>
    <row r="44" spans="1:7" ht="24.95" customHeight="1" x14ac:dyDescent="0.3">
      <c r="A44" s="1"/>
      <c r="B44" s="2" t="s">
        <v>973</v>
      </c>
      <c r="C44" s="2" t="s">
        <v>976</v>
      </c>
      <c r="D44" s="1">
        <v>13</v>
      </c>
      <c r="E44" s="2" t="s">
        <v>45</v>
      </c>
      <c r="G44" t="s">
        <v>976</v>
      </c>
    </row>
    <row r="45" spans="1:7" ht="24.95" customHeight="1" x14ac:dyDescent="0.3">
      <c r="A45" s="1"/>
      <c r="B45" s="2" t="s">
        <v>974</v>
      </c>
      <c r="C45" s="2" t="s">
        <v>977</v>
      </c>
      <c r="D45" s="1">
        <v>13</v>
      </c>
      <c r="E45" s="2" t="s">
        <v>45</v>
      </c>
      <c r="G45" t="s">
        <v>977</v>
      </c>
    </row>
    <row r="46" spans="1:7" ht="24.95" customHeight="1" x14ac:dyDescent="0.3">
      <c r="A46" s="1"/>
      <c r="B46" s="2"/>
      <c r="C46" s="2"/>
      <c r="D46" s="1">
        <v>14</v>
      </c>
      <c r="E46" s="2" t="s">
        <v>46</v>
      </c>
    </row>
    <row r="47" spans="1:7" ht="24.95" customHeight="1" x14ac:dyDescent="0.3">
      <c r="A47" s="1"/>
      <c r="B47" s="2"/>
      <c r="C47" s="2"/>
      <c r="D47" s="1">
        <v>15</v>
      </c>
      <c r="E47" s="2" t="s">
        <v>47</v>
      </c>
    </row>
    <row r="48" spans="1:7" ht="24.95" customHeight="1" x14ac:dyDescent="0.3">
      <c r="A48" s="1"/>
      <c r="B48" s="2"/>
      <c r="C48" s="2"/>
      <c r="D48" s="1">
        <v>16</v>
      </c>
      <c r="E48" s="2" t="s">
        <v>48</v>
      </c>
    </row>
    <row r="49" spans="1:5" ht="24.95" customHeight="1" x14ac:dyDescent="0.3">
      <c r="A49" s="1"/>
      <c r="B49" s="2"/>
      <c r="C49" s="2"/>
      <c r="D49" s="1">
        <v>17</v>
      </c>
      <c r="E49" s="2" t="s">
        <v>49</v>
      </c>
    </row>
    <row r="50" spans="1:5" ht="24.95" customHeight="1" x14ac:dyDescent="0.3">
      <c r="A50" s="1"/>
      <c r="B50" s="2"/>
      <c r="C50" s="2"/>
      <c r="D50" s="1">
        <v>18</v>
      </c>
      <c r="E50" s="2" t="s">
        <v>50</v>
      </c>
    </row>
    <row r="51" spans="1:5" ht="24.95" customHeight="1" x14ac:dyDescent="0.3">
      <c r="A51" s="1"/>
      <c r="B51" s="2"/>
      <c r="C51" s="2"/>
      <c r="D51" s="1">
        <v>19</v>
      </c>
      <c r="E51" s="2" t="s">
        <v>51</v>
      </c>
    </row>
    <row r="52" spans="1:5" ht="24.95" customHeight="1" x14ac:dyDescent="0.3">
      <c r="A52" s="1"/>
      <c r="B52" s="2"/>
      <c r="C52" s="2"/>
      <c r="D52" s="1">
        <v>20</v>
      </c>
      <c r="E52" s="2" t="s">
        <v>52</v>
      </c>
    </row>
    <row r="53" spans="1:5" ht="24.95" customHeight="1" x14ac:dyDescent="0.3">
      <c r="A53" s="1"/>
      <c r="B53" s="2"/>
      <c r="C53" s="2"/>
      <c r="D53" s="1">
        <v>21</v>
      </c>
      <c r="E53" s="2" t="s">
        <v>53</v>
      </c>
    </row>
    <row r="54" spans="1:5" ht="24.95" customHeight="1" x14ac:dyDescent="0.3">
      <c r="A54" s="1"/>
      <c r="B54" s="2"/>
      <c r="C54" s="2"/>
      <c r="D54" s="1">
        <v>22</v>
      </c>
      <c r="E54" s="2" t="s">
        <v>54</v>
      </c>
    </row>
  </sheetData>
  <autoFilter ref="A2:E54"/>
  <phoneticPr fontId="6"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T321"/>
  <sheetViews>
    <sheetView topLeftCell="A294" workbookViewId="0">
      <selection activeCell="D301" sqref="D301"/>
    </sheetView>
  </sheetViews>
  <sheetFormatPr baseColWidth="10" defaultRowHeight="16.5" x14ac:dyDescent="0.3"/>
  <cols>
    <col min="1" max="1" width="5.7109375" customWidth="1"/>
    <col min="2" max="2" width="11.140625" bestFit="1" customWidth="1"/>
    <col min="3" max="3" width="5.7109375" customWidth="1"/>
    <col min="4" max="4" width="10.7109375" customWidth="1"/>
    <col min="5" max="5" width="40.7109375" customWidth="1"/>
    <col min="6" max="7" width="10.7109375" customWidth="1"/>
    <col min="11" max="11" width="42.140625" bestFit="1" customWidth="1"/>
    <col min="12" max="12" width="19" bestFit="1" customWidth="1"/>
    <col min="13" max="13" width="28" bestFit="1" customWidth="1"/>
    <col min="14" max="14" width="16.7109375" customWidth="1"/>
  </cols>
  <sheetData>
    <row r="1" spans="1:20" ht="35.1" customHeight="1" x14ac:dyDescent="0.3">
      <c r="A1" s="9" t="s">
        <v>0</v>
      </c>
      <c r="B1" s="9" t="s">
        <v>206</v>
      </c>
      <c r="C1" s="9" t="s">
        <v>354</v>
      </c>
      <c r="D1" s="9" t="s">
        <v>368</v>
      </c>
      <c r="E1" s="9" t="s">
        <v>216</v>
      </c>
      <c r="F1" s="14" t="s">
        <v>470</v>
      </c>
      <c r="G1" s="14" t="s">
        <v>471</v>
      </c>
    </row>
    <row r="2" spans="1:20" ht="24.95" customHeight="1" x14ac:dyDescent="0.3">
      <c r="A2" s="9" t="s">
        <v>204</v>
      </c>
      <c r="B2" s="9" t="s">
        <v>205</v>
      </c>
      <c r="C2" s="9" t="s">
        <v>207</v>
      </c>
      <c r="D2" s="9" t="s">
        <v>208</v>
      </c>
      <c r="E2" s="9" t="s">
        <v>213</v>
      </c>
      <c r="F2" s="9" t="s">
        <v>210</v>
      </c>
      <c r="G2" s="9" t="s">
        <v>226</v>
      </c>
    </row>
    <row r="3" spans="1:20" ht="24.95" customHeight="1" x14ac:dyDescent="0.3">
      <c r="A3" s="1">
        <v>1</v>
      </c>
      <c r="B3" s="33" t="s">
        <v>369</v>
      </c>
      <c r="C3" s="1">
        <v>1</v>
      </c>
      <c r="D3" s="6" t="s">
        <v>72</v>
      </c>
      <c r="E3" s="33" t="s">
        <v>408</v>
      </c>
      <c r="F3" s="34">
        <v>0</v>
      </c>
      <c r="G3" s="35">
        <v>150</v>
      </c>
      <c r="I3" t="s">
        <v>390</v>
      </c>
      <c r="K3" t="s">
        <v>408</v>
      </c>
      <c r="L3" t="str">
        <f>MID(K3, 1, SEARCH(" / ", K3) - 1)</f>
        <v>HMD</v>
      </c>
      <c r="M3" t="str">
        <f>MID(K3, SEARCH(" / ", K3) + 3, LEN(K3))</f>
        <v>OUARGLA</v>
      </c>
      <c r="O3" t="str">
        <f>MID(I3, 1, SEARCH(" / ", I3) - 1)</f>
        <v>0+000</v>
      </c>
      <c r="P3" t="str">
        <f>MID(I3, SEARCH(" / ", I3) + 3, LEN(I3))</f>
        <v>150</v>
      </c>
      <c r="Q3" t="str">
        <f>MID(O3, 1, SEARCH("+", O3) - 1)</f>
        <v>0</v>
      </c>
      <c r="R3" t="str">
        <f>MID(O3, SEARCH("+", O3) + 1, LEN(O3))</f>
        <v>000</v>
      </c>
      <c r="S3">
        <f>Q3*1000+R3</f>
        <v>0</v>
      </c>
      <c r="T3">
        <f>S3/1000</f>
        <v>0</v>
      </c>
    </row>
    <row r="4" spans="1:20" ht="24.95" customHeight="1" x14ac:dyDescent="0.3">
      <c r="A4" s="1">
        <v>2</v>
      </c>
      <c r="B4" s="33" t="s">
        <v>370</v>
      </c>
      <c r="C4" s="1">
        <v>1</v>
      </c>
      <c r="D4" s="6" t="s">
        <v>72</v>
      </c>
      <c r="E4" s="33" t="s">
        <v>409</v>
      </c>
      <c r="F4" s="34">
        <v>44.2</v>
      </c>
      <c r="G4" s="35">
        <v>150</v>
      </c>
      <c r="I4" t="s">
        <v>391</v>
      </c>
      <c r="K4" t="s">
        <v>409</v>
      </c>
      <c r="L4" t="str">
        <f t="shared" ref="L4:L67" si="0">MID(K4, 1, SEARCH(" / ", K4) - 1)</f>
        <v>Ain Beida</v>
      </c>
      <c r="M4" t="str">
        <f t="shared" ref="M4:M48" si="1">MID(K4, SEARCH(" / ", K4) + 3, LEN(K4))</f>
        <v>OUARGLA</v>
      </c>
      <c r="O4" t="str">
        <f t="shared" ref="O4:O48" si="2">MID(I4, 1, SEARCH(" / ", I4) - 1)</f>
        <v>44+200</v>
      </c>
      <c r="P4" t="str">
        <f t="shared" ref="P4:P48" si="3">MID(I4, SEARCH(" / ", I4) + 3, LEN(I4))</f>
        <v>150</v>
      </c>
      <c r="Q4" t="str">
        <f t="shared" ref="Q4:Q48" si="4">MID(O4, 1, SEARCH("+", O4) - 1)</f>
        <v>44</v>
      </c>
      <c r="R4" t="str">
        <f t="shared" ref="R4:R48" si="5">MID(O4, SEARCH("+", O4) + 1, LEN(O4))</f>
        <v>200</v>
      </c>
      <c r="S4">
        <f>Q4*1000+R4</f>
        <v>44200</v>
      </c>
      <c r="T4">
        <f t="shared" ref="T4:T67" si="6">S4/1000</f>
        <v>44.2</v>
      </c>
    </row>
    <row r="5" spans="1:20" ht="24.95" customHeight="1" x14ac:dyDescent="0.3">
      <c r="A5" s="1">
        <v>3</v>
      </c>
      <c r="B5" s="33" t="s">
        <v>371</v>
      </c>
      <c r="C5" s="1">
        <v>1</v>
      </c>
      <c r="D5" s="6" t="s">
        <v>72</v>
      </c>
      <c r="E5" s="33" t="s">
        <v>363</v>
      </c>
      <c r="F5" s="34">
        <v>72</v>
      </c>
      <c r="G5" s="35">
        <v>210</v>
      </c>
      <c r="I5" t="s">
        <v>469</v>
      </c>
      <c r="K5" t="s">
        <v>363</v>
      </c>
      <c r="L5" t="str">
        <f t="shared" si="0"/>
        <v>Ouargla</v>
      </c>
      <c r="M5" t="str">
        <f t="shared" si="1"/>
        <v>OUARGLA</v>
      </c>
      <c r="O5" t="str">
        <f t="shared" si="2"/>
        <v>72+000</v>
      </c>
      <c r="P5" t="str">
        <f t="shared" si="3"/>
        <v>210</v>
      </c>
      <c r="Q5" t="str">
        <f t="shared" si="4"/>
        <v>72</v>
      </c>
      <c r="R5" t="str">
        <f t="shared" si="5"/>
        <v>000</v>
      </c>
      <c r="S5">
        <f t="shared" ref="S5:S48" si="7">Q5*1000+R5</f>
        <v>72000</v>
      </c>
      <c r="T5">
        <f t="shared" si="6"/>
        <v>72</v>
      </c>
    </row>
    <row r="6" spans="1:20" ht="24.95" customHeight="1" x14ac:dyDescent="0.3">
      <c r="A6" s="1">
        <v>4</v>
      </c>
      <c r="B6" s="33" t="s">
        <v>372</v>
      </c>
      <c r="C6" s="1">
        <v>1</v>
      </c>
      <c r="D6" s="6" t="s">
        <v>72</v>
      </c>
      <c r="E6" s="33" t="s">
        <v>363</v>
      </c>
      <c r="F6" s="34">
        <v>145.47300000000001</v>
      </c>
      <c r="G6" s="35">
        <v>295</v>
      </c>
      <c r="I6" t="s">
        <v>392</v>
      </c>
      <c r="K6" t="s">
        <v>363</v>
      </c>
      <c r="L6" t="str">
        <f t="shared" si="0"/>
        <v>Ouargla</v>
      </c>
      <c r="M6" t="str">
        <f t="shared" si="1"/>
        <v>OUARGLA</v>
      </c>
      <c r="O6" t="str">
        <f t="shared" si="2"/>
        <v>145+473</v>
      </c>
      <c r="P6" t="str">
        <f t="shared" si="3"/>
        <v>295</v>
      </c>
      <c r="Q6" t="str">
        <f t="shared" si="4"/>
        <v>145</v>
      </c>
      <c r="R6" t="str">
        <f t="shared" si="5"/>
        <v>473</v>
      </c>
      <c r="S6">
        <f t="shared" si="7"/>
        <v>145473</v>
      </c>
      <c r="T6">
        <f t="shared" si="6"/>
        <v>145.47300000000001</v>
      </c>
    </row>
    <row r="7" spans="1:20" ht="24.95" customHeight="1" x14ac:dyDescent="0.3">
      <c r="A7" s="1">
        <v>5</v>
      </c>
      <c r="B7" s="33" t="s">
        <v>373</v>
      </c>
      <c r="C7" s="1">
        <v>1</v>
      </c>
      <c r="D7" s="6" t="s">
        <v>72</v>
      </c>
      <c r="E7" s="33" t="s">
        <v>411</v>
      </c>
      <c r="F7" s="34">
        <v>184.2</v>
      </c>
      <c r="G7" s="35">
        <v>365</v>
      </c>
      <c r="I7" t="s">
        <v>393</v>
      </c>
      <c r="K7" t="s">
        <v>411</v>
      </c>
      <c r="L7" t="str">
        <f t="shared" si="0"/>
        <v>Zelfana</v>
      </c>
      <c r="M7" t="str">
        <f t="shared" si="1"/>
        <v>GHARDAIA</v>
      </c>
      <c r="O7" t="str">
        <f t="shared" si="2"/>
        <v>184+200</v>
      </c>
      <c r="P7" t="str">
        <f t="shared" si="3"/>
        <v>365</v>
      </c>
      <c r="Q7" t="str">
        <f t="shared" si="4"/>
        <v>184</v>
      </c>
      <c r="R7" t="str">
        <f t="shared" si="5"/>
        <v>200</v>
      </c>
      <c r="S7">
        <f t="shared" si="7"/>
        <v>184200</v>
      </c>
      <c r="T7">
        <f t="shared" si="6"/>
        <v>184.2</v>
      </c>
    </row>
    <row r="8" spans="1:20" ht="24.95" customHeight="1" x14ac:dyDescent="0.3">
      <c r="A8" s="1">
        <v>6</v>
      </c>
      <c r="B8" s="33" t="s">
        <v>374</v>
      </c>
      <c r="C8" s="1">
        <v>1</v>
      </c>
      <c r="D8" s="6" t="s">
        <v>72</v>
      </c>
      <c r="E8" s="33" t="s">
        <v>412</v>
      </c>
      <c r="F8" s="34">
        <v>236.47499999999999</v>
      </c>
      <c r="G8" s="35">
        <v>562</v>
      </c>
      <c r="I8" t="s">
        <v>394</v>
      </c>
      <c r="K8" t="s">
        <v>412</v>
      </c>
      <c r="L8" t="str">
        <f t="shared" si="0"/>
        <v>Ghardaia</v>
      </c>
      <c r="M8" t="str">
        <f t="shared" si="1"/>
        <v>GHARDAIA</v>
      </c>
      <c r="O8" t="str">
        <f t="shared" si="2"/>
        <v>236+475</v>
      </c>
      <c r="P8" t="str">
        <f t="shared" si="3"/>
        <v>562</v>
      </c>
      <c r="Q8" t="str">
        <f t="shared" si="4"/>
        <v>236</v>
      </c>
      <c r="R8" t="str">
        <f t="shared" si="5"/>
        <v>475</v>
      </c>
      <c r="S8">
        <f t="shared" si="7"/>
        <v>236475</v>
      </c>
      <c r="T8">
        <f t="shared" si="6"/>
        <v>236.47499999999999</v>
      </c>
    </row>
    <row r="9" spans="1:20" ht="24.95" customHeight="1" x14ac:dyDescent="0.3">
      <c r="A9" s="1">
        <v>7</v>
      </c>
      <c r="B9" s="33" t="s">
        <v>375</v>
      </c>
      <c r="C9" s="1">
        <v>1</v>
      </c>
      <c r="D9" s="6" t="s">
        <v>72</v>
      </c>
      <c r="E9" s="33" t="s">
        <v>413</v>
      </c>
      <c r="F9" s="34">
        <v>256</v>
      </c>
      <c r="G9" s="35">
        <v>631</v>
      </c>
      <c r="I9" t="s">
        <v>395</v>
      </c>
      <c r="K9" t="s">
        <v>413</v>
      </c>
      <c r="L9" t="str">
        <f t="shared" si="0"/>
        <v>Daia Ben Dahoua</v>
      </c>
      <c r="M9" t="str">
        <f t="shared" si="1"/>
        <v>GHARDAIA</v>
      </c>
      <c r="O9" t="str">
        <f t="shared" si="2"/>
        <v>256+000</v>
      </c>
      <c r="P9" t="str">
        <f t="shared" si="3"/>
        <v>631</v>
      </c>
      <c r="Q9" t="str">
        <f t="shared" si="4"/>
        <v>256</v>
      </c>
      <c r="R9" t="str">
        <f t="shared" si="5"/>
        <v>000</v>
      </c>
      <c r="S9">
        <f t="shared" si="7"/>
        <v>256000</v>
      </c>
      <c r="T9">
        <f t="shared" si="6"/>
        <v>256</v>
      </c>
    </row>
    <row r="10" spans="1:20" ht="24.95" customHeight="1" x14ac:dyDescent="0.3">
      <c r="A10" s="1">
        <v>8</v>
      </c>
      <c r="B10" s="33" t="s">
        <v>376</v>
      </c>
      <c r="C10" s="1">
        <v>1</v>
      </c>
      <c r="D10" s="6" t="s">
        <v>72</v>
      </c>
      <c r="E10" s="33" t="s">
        <v>414</v>
      </c>
      <c r="F10" s="34">
        <v>328.04700000000003</v>
      </c>
      <c r="G10" s="35">
        <v>762</v>
      </c>
      <c r="I10" t="s">
        <v>396</v>
      </c>
      <c r="K10" t="s">
        <v>414</v>
      </c>
      <c r="L10" t="str">
        <f t="shared" si="0"/>
        <v>Hassi</v>
      </c>
      <c r="M10" t="str">
        <f t="shared" si="1"/>
        <v>R'mel / LAGHOUAT</v>
      </c>
      <c r="O10" t="str">
        <f t="shared" si="2"/>
        <v>328+047</v>
      </c>
      <c r="P10" t="str">
        <f t="shared" si="3"/>
        <v>762</v>
      </c>
      <c r="Q10" t="str">
        <f t="shared" si="4"/>
        <v>328</v>
      </c>
      <c r="R10" t="str">
        <f t="shared" si="5"/>
        <v>047</v>
      </c>
      <c r="S10">
        <f t="shared" si="7"/>
        <v>328047</v>
      </c>
      <c r="T10">
        <f t="shared" si="6"/>
        <v>328.04700000000003</v>
      </c>
    </row>
    <row r="11" spans="1:20" ht="24.95" customHeight="1" x14ac:dyDescent="0.3">
      <c r="A11" s="1">
        <v>9</v>
      </c>
      <c r="B11" s="33" t="s">
        <v>377</v>
      </c>
      <c r="C11" s="1">
        <v>1</v>
      </c>
      <c r="D11" s="6" t="s">
        <v>72</v>
      </c>
      <c r="E11" s="33" t="s">
        <v>415</v>
      </c>
      <c r="F11" s="34">
        <v>466.9</v>
      </c>
      <c r="G11" s="35">
        <v>1275</v>
      </c>
      <c r="I11" t="s">
        <v>397</v>
      </c>
      <c r="K11" t="s">
        <v>415</v>
      </c>
      <c r="L11" t="str">
        <f t="shared" si="0"/>
        <v>Ain Hamra</v>
      </c>
      <c r="M11" t="str">
        <f t="shared" si="1"/>
        <v>LAGHOUAT</v>
      </c>
      <c r="O11" t="str">
        <f t="shared" si="2"/>
        <v>466+900</v>
      </c>
      <c r="P11" t="str">
        <f t="shared" si="3"/>
        <v>1275</v>
      </c>
      <c r="Q11" t="str">
        <f t="shared" si="4"/>
        <v>466</v>
      </c>
      <c r="R11" t="str">
        <f t="shared" si="5"/>
        <v>900</v>
      </c>
      <c r="S11">
        <f t="shared" si="7"/>
        <v>466900</v>
      </c>
      <c r="T11">
        <f t="shared" si="6"/>
        <v>466.9</v>
      </c>
    </row>
    <row r="12" spans="1:20" ht="24.95" customHeight="1" x14ac:dyDescent="0.3">
      <c r="A12" s="1">
        <v>10</v>
      </c>
      <c r="B12" s="33" t="s">
        <v>378</v>
      </c>
      <c r="C12" s="1">
        <v>1</v>
      </c>
      <c r="D12" s="6" t="s">
        <v>72</v>
      </c>
      <c r="E12" s="33" t="s">
        <v>416</v>
      </c>
      <c r="F12" s="34">
        <v>489.91500000000002</v>
      </c>
      <c r="G12" s="35">
        <v>1083</v>
      </c>
      <c r="I12" t="s">
        <v>398</v>
      </c>
      <c r="K12" t="s">
        <v>416</v>
      </c>
      <c r="L12" t="str">
        <f t="shared" si="0"/>
        <v>Djelfa</v>
      </c>
      <c r="M12" t="str">
        <f t="shared" si="1"/>
        <v>DJELFA</v>
      </c>
      <c r="O12" t="str">
        <f t="shared" si="2"/>
        <v>489+915</v>
      </c>
      <c r="P12" t="str">
        <f t="shared" si="3"/>
        <v>1083</v>
      </c>
      <c r="Q12" t="str">
        <f t="shared" si="4"/>
        <v>489</v>
      </c>
      <c r="R12" t="str">
        <f t="shared" si="5"/>
        <v>915</v>
      </c>
      <c r="S12">
        <f t="shared" si="7"/>
        <v>489915</v>
      </c>
      <c r="T12">
        <f t="shared" si="6"/>
        <v>489.91500000000002</v>
      </c>
    </row>
    <row r="13" spans="1:20" ht="24.95" customHeight="1" x14ac:dyDescent="0.3">
      <c r="A13" s="1">
        <v>11</v>
      </c>
      <c r="B13" s="33" t="s">
        <v>379</v>
      </c>
      <c r="C13" s="1">
        <v>1</v>
      </c>
      <c r="D13" s="6" t="s">
        <v>72</v>
      </c>
      <c r="E13" s="33" t="s">
        <v>417</v>
      </c>
      <c r="F13" s="34">
        <v>533.94000000000005</v>
      </c>
      <c r="G13" s="35">
        <v>970</v>
      </c>
      <c r="I13" t="s">
        <v>399</v>
      </c>
      <c r="K13" t="s">
        <v>417</v>
      </c>
      <c r="L13" t="str">
        <f t="shared" si="0"/>
        <v>Faidja</v>
      </c>
      <c r="M13" t="str">
        <f t="shared" si="1"/>
        <v>TIARET</v>
      </c>
      <c r="O13" t="str">
        <f t="shared" si="2"/>
        <v>533+940</v>
      </c>
      <c r="P13" t="str">
        <f t="shared" si="3"/>
        <v>970</v>
      </c>
      <c r="Q13" t="str">
        <f t="shared" si="4"/>
        <v>533</v>
      </c>
      <c r="R13" t="str">
        <f t="shared" si="5"/>
        <v>940</v>
      </c>
      <c r="S13">
        <f t="shared" si="7"/>
        <v>533940</v>
      </c>
      <c r="T13">
        <f t="shared" si="6"/>
        <v>533.94000000000005</v>
      </c>
    </row>
    <row r="14" spans="1:20" ht="24.95" customHeight="1" x14ac:dyDescent="0.3">
      <c r="A14" s="1">
        <v>12</v>
      </c>
      <c r="B14" s="33" t="s">
        <v>380</v>
      </c>
      <c r="C14" s="1">
        <v>1</v>
      </c>
      <c r="D14" s="6" t="s">
        <v>72</v>
      </c>
      <c r="E14" s="33" t="s">
        <v>417</v>
      </c>
      <c r="F14" s="34">
        <v>534.05999999999995</v>
      </c>
      <c r="G14" s="35">
        <v>970</v>
      </c>
      <c r="I14" t="s">
        <v>467</v>
      </c>
      <c r="K14" t="s">
        <v>417</v>
      </c>
      <c r="L14" t="str">
        <f t="shared" si="0"/>
        <v>Faidja</v>
      </c>
      <c r="M14" t="str">
        <f t="shared" si="1"/>
        <v>TIARET</v>
      </c>
      <c r="O14" t="str">
        <f t="shared" si="2"/>
        <v>534+060</v>
      </c>
      <c r="P14" t="str">
        <f t="shared" si="3"/>
        <v>970</v>
      </c>
      <c r="Q14" t="str">
        <f t="shared" si="4"/>
        <v>534</v>
      </c>
      <c r="R14" t="str">
        <f t="shared" si="5"/>
        <v>060</v>
      </c>
      <c r="S14">
        <f t="shared" si="7"/>
        <v>534060</v>
      </c>
      <c r="T14">
        <f t="shared" si="6"/>
        <v>534.05999999999995</v>
      </c>
    </row>
    <row r="15" spans="1:20" ht="24.95" customHeight="1" x14ac:dyDescent="0.3">
      <c r="A15" s="1">
        <v>13</v>
      </c>
      <c r="B15" s="33" t="s">
        <v>381</v>
      </c>
      <c r="C15" s="1">
        <v>1</v>
      </c>
      <c r="D15" s="6" t="s">
        <v>72</v>
      </c>
      <c r="E15" s="33" t="s">
        <v>418</v>
      </c>
      <c r="F15" s="34">
        <v>552.12199999999996</v>
      </c>
      <c r="G15" s="35">
        <v>1100</v>
      </c>
      <c r="I15" t="s">
        <v>468</v>
      </c>
      <c r="K15" t="s">
        <v>418</v>
      </c>
      <c r="L15" t="str">
        <f t="shared" si="0"/>
        <v>Ain Dheb</v>
      </c>
      <c r="M15" t="str">
        <f t="shared" si="1"/>
        <v>TIARET</v>
      </c>
      <c r="O15" t="str">
        <f t="shared" si="2"/>
        <v>552+122</v>
      </c>
      <c r="P15" t="str">
        <f t="shared" si="3"/>
        <v>1100</v>
      </c>
      <c r="Q15" t="str">
        <f t="shared" si="4"/>
        <v>552</v>
      </c>
      <c r="R15" t="str">
        <f t="shared" si="5"/>
        <v>122</v>
      </c>
      <c r="S15">
        <f t="shared" si="7"/>
        <v>552122</v>
      </c>
      <c r="T15">
        <f t="shared" si="6"/>
        <v>552.12199999999996</v>
      </c>
    </row>
    <row r="16" spans="1:20" ht="24.95" customHeight="1" x14ac:dyDescent="0.3">
      <c r="A16" s="1">
        <v>14</v>
      </c>
      <c r="B16" s="33" t="s">
        <v>382</v>
      </c>
      <c r="C16" s="1">
        <v>1</v>
      </c>
      <c r="D16" s="6" t="s">
        <v>72</v>
      </c>
      <c r="E16" s="33" t="s">
        <v>419</v>
      </c>
      <c r="F16" s="34">
        <v>611.375</v>
      </c>
      <c r="G16" s="35">
        <v>1100</v>
      </c>
      <c r="I16" t="s">
        <v>400</v>
      </c>
      <c r="K16" t="s">
        <v>419</v>
      </c>
      <c r="L16" t="str">
        <f t="shared" si="0"/>
        <v>Sougueur</v>
      </c>
      <c r="M16" t="str">
        <f t="shared" si="1"/>
        <v>TIARET</v>
      </c>
      <c r="O16" t="str">
        <f t="shared" si="2"/>
        <v>611+375</v>
      </c>
      <c r="P16" t="str">
        <f t="shared" si="3"/>
        <v>1100</v>
      </c>
      <c r="Q16" t="str">
        <f t="shared" si="4"/>
        <v>611</v>
      </c>
      <c r="R16" t="str">
        <f t="shared" si="5"/>
        <v>375</v>
      </c>
      <c r="S16">
        <f t="shared" si="7"/>
        <v>611375</v>
      </c>
      <c r="T16">
        <f t="shared" si="6"/>
        <v>611.375</v>
      </c>
    </row>
    <row r="17" spans="1:20" ht="24.95" customHeight="1" x14ac:dyDescent="0.3">
      <c r="A17" s="1">
        <v>15</v>
      </c>
      <c r="B17" s="33" t="s">
        <v>383</v>
      </c>
      <c r="C17" s="1">
        <v>1</v>
      </c>
      <c r="D17" s="6" t="s">
        <v>72</v>
      </c>
      <c r="E17" s="33" t="s">
        <v>420</v>
      </c>
      <c r="F17" s="34">
        <v>648</v>
      </c>
      <c r="G17" s="35">
        <v>758</v>
      </c>
      <c r="I17" t="s">
        <v>401</v>
      </c>
      <c r="K17" t="s">
        <v>420</v>
      </c>
      <c r="L17" t="str">
        <f t="shared" si="0"/>
        <v>Guertoufa</v>
      </c>
      <c r="M17" t="str">
        <f t="shared" si="1"/>
        <v>TIARET</v>
      </c>
      <c r="O17" t="str">
        <f t="shared" si="2"/>
        <v>648+000</v>
      </c>
      <c r="P17" t="str">
        <f t="shared" si="3"/>
        <v>758</v>
      </c>
      <c r="Q17" t="str">
        <f t="shared" si="4"/>
        <v>648</v>
      </c>
      <c r="R17" t="str">
        <f t="shared" si="5"/>
        <v>000</v>
      </c>
      <c r="S17">
        <f t="shared" si="7"/>
        <v>648000</v>
      </c>
      <c r="T17">
        <f t="shared" si="6"/>
        <v>648</v>
      </c>
    </row>
    <row r="18" spans="1:20" ht="24.95" customHeight="1" x14ac:dyDescent="0.3">
      <c r="A18" s="1">
        <v>16</v>
      </c>
      <c r="B18" s="33" t="s">
        <v>384</v>
      </c>
      <c r="C18" s="1">
        <v>1</v>
      </c>
      <c r="D18" s="6" t="s">
        <v>72</v>
      </c>
      <c r="E18" s="33" t="s">
        <v>421</v>
      </c>
      <c r="F18" s="34">
        <v>669.30200000000002</v>
      </c>
      <c r="G18" s="35">
        <v>620</v>
      </c>
      <c r="I18" t="s">
        <v>402</v>
      </c>
      <c r="K18" t="s">
        <v>421</v>
      </c>
      <c r="L18" t="str">
        <f t="shared" si="0"/>
        <v>Rahouia</v>
      </c>
      <c r="M18" t="str">
        <f t="shared" si="1"/>
        <v>TIARET</v>
      </c>
      <c r="O18" t="str">
        <f t="shared" si="2"/>
        <v>669+302</v>
      </c>
      <c r="P18" t="str">
        <f t="shared" si="3"/>
        <v>620</v>
      </c>
      <c r="Q18" t="str">
        <f t="shared" si="4"/>
        <v>669</v>
      </c>
      <c r="R18" t="str">
        <f t="shared" si="5"/>
        <v>302</v>
      </c>
      <c r="S18">
        <f t="shared" si="7"/>
        <v>669302</v>
      </c>
      <c r="T18">
        <f t="shared" si="6"/>
        <v>669.30200000000002</v>
      </c>
    </row>
    <row r="19" spans="1:20" ht="24.95" customHeight="1" x14ac:dyDescent="0.3">
      <c r="A19" s="1">
        <v>17</v>
      </c>
      <c r="B19" s="33" t="s">
        <v>385</v>
      </c>
      <c r="C19" s="1">
        <v>1</v>
      </c>
      <c r="D19" s="6" t="s">
        <v>72</v>
      </c>
      <c r="E19" s="33" t="s">
        <v>422</v>
      </c>
      <c r="F19" s="34">
        <v>701.54399999999998</v>
      </c>
      <c r="G19" s="35">
        <v>270</v>
      </c>
      <c r="I19" t="s">
        <v>403</v>
      </c>
      <c r="K19" t="s">
        <v>422</v>
      </c>
      <c r="L19" t="str">
        <f t="shared" si="0"/>
        <v>Zemmoura</v>
      </c>
      <c r="M19" t="str">
        <f t="shared" si="1"/>
        <v>RELIZANE</v>
      </c>
      <c r="O19" t="str">
        <f t="shared" si="2"/>
        <v>701+544</v>
      </c>
      <c r="P19" t="str">
        <f t="shared" si="3"/>
        <v>270</v>
      </c>
      <c r="Q19" t="str">
        <f t="shared" si="4"/>
        <v>701</v>
      </c>
      <c r="R19" t="str">
        <f t="shared" si="5"/>
        <v>544</v>
      </c>
      <c r="S19">
        <f t="shared" si="7"/>
        <v>701544</v>
      </c>
      <c r="T19">
        <f t="shared" si="6"/>
        <v>701.54399999999998</v>
      </c>
    </row>
    <row r="20" spans="1:20" ht="24.95" customHeight="1" x14ac:dyDescent="0.3">
      <c r="A20" s="1">
        <v>18</v>
      </c>
      <c r="B20" s="33" t="s">
        <v>386</v>
      </c>
      <c r="C20" s="1">
        <v>1</v>
      </c>
      <c r="D20" s="6" t="s">
        <v>72</v>
      </c>
      <c r="E20" s="33" t="s">
        <v>423</v>
      </c>
      <c r="F20" s="34">
        <v>715.88499999999999</v>
      </c>
      <c r="G20" s="35">
        <v>87</v>
      </c>
      <c r="I20" t="s">
        <v>404</v>
      </c>
      <c r="K20" t="s">
        <v>423</v>
      </c>
      <c r="L20" t="str">
        <f t="shared" si="0"/>
        <v>Bormadia</v>
      </c>
      <c r="M20" t="str">
        <f t="shared" si="1"/>
        <v>RELIZANE</v>
      </c>
      <c r="O20" t="str">
        <f t="shared" si="2"/>
        <v>715+885</v>
      </c>
      <c r="P20" t="str">
        <f t="shared" si="3"/>
        <v>87</v>
      </c>
      <c r="Q20" t="str">
        <f t="shared" si="4"/>
        <v>715</v>
      </c>
      <c r="R20" t="str">
        <f t="shared" si="5"/>
        <v>885</v>
      </c>
      <c r="S20">
        <f t="shared" si="7"/>
        <v>715885</v>
      </c>
      <c r="T20">
        <f t="shared" si="6"/>
        <v>715.88499999999999</v>
      </c>
    </row>
    <row r="21" spans="1:20" ht="24.95" customHeight="1" x14ac:dyDescent="0.3">
      <c r="A21" s="1">
        <v>19</v>
      </c>
      <c r="B21" s="33" t="s">
        <v>387</v>
      </c>
      <c r="C21" s="1">
        <v>1</v>
      </c>
      <c r="D21" s="6" t="s">
        <v>72</v>
      </c>
      <c r="E21" s="33" t="s">
        <v>424</v>
      </c>
      <c r="F21" s="34">
        <v>758.279</v>
      </c>
      <c r="G21" s="35">
        <v>25</v>
      </c>
      <c r="I21" t="s">
        <v>405</v>
      </c>
      <c r="K21" t="s">
        <v>424</v>
      </c>
      <c r="L21" t="str">
        <f t="shared" si="0"/>
        <v>El Hassiane</v>
      </c>
      <c r="M21" t="str">
        <f t="shared" si="1"/>
        <v>MOSTAGANEM</v>
      </c>
      <c r="O21" t="str">
        <f t="shared" si="2"/>
        <v>758+279</v>
      </c>
      <c r="P21" t="str">
        <f t="shared" si="3"/>
        <v>25</v>
      </c>
      <c r="Q21" t="str">
        <f t="shared" si="4"/>
        <v>758</v>
      </c>
      <c r="R21" t="str">
        <f t="shared" si="5"/>
        <v>279</v>
      </c>
      <c r="S21">
        <f t="shared" si="7"/>
        <v>758279</v>
      </c>
      <c r="T21">
        <f t="shared" si="6"/>
        <v>758.279</v>
      </c>
    </row>
    <row r="22" spans="1:20" ht="24.95" customHeight="1" x14ac:dyDescent="0.3">
      <c r="A22" s="1">
        <v>20</v>
      </c>
      <c r="B22" s="33" t="s">
        <v>388</v>
      </c>
      <c r="C22" s="1">
        <v>1</v>
      </c>
      <c r="D22" s="6" t="s">
        <v>72</v>
      </c>
      <c r="E22" s="33" t="s">
        <v>424</v>
      </c>
      <c r="F22" s="34">
        <v>781.59400000000005</v>
      </c>
      <c r="G22" s="35">
        <v>8</v>
      </c>
      <c r="I22" t="s">
        <v>406</v>
      </c>
      <c r="K22" t="s">
        <v>424</v>
      </c>
      <c r="L22" t="str">
        <f t="shared" si="0"/>
        <v>El Hassiane</v>
      </c>
      <c r="M22" t="str">
        <f t="shared" si="1"/>
        <v>MOSTAGANEM</v>
      </c>
      <c r="O22" t="str">
        <f t="shared" si="2"/>
        <v>781+594</v>
      </c>
      <c r="P22" t="str">
        <f t="shared" si="3"/>
        <v>08</v>
      </c>
      <c r="Q22" t="str">
        <f t="shared" si="4"/>
        <v>781</v>
      </c>
      <c r="R22" t="str">
        <f t="shared" si="5"/>
        <v>594</v>
      </c>
      <c r="S22">
        <f t="shared" si="7"/>
        <v>781594</v>
      </c>
      <c r="T22">
        <f t="shared" si="6"/>
        <v>781.59400000000005</v>
      </c>
    </row>
    <row r="23" spans="1:20" ht="24.95" customHeight="1" x14ac:dyDescent="0.3">
      <c r="A23" s="1">
        <v>21</v>
      </c>
      <c r="B23" s="33" t="s">
        <v>389</v>
      </c>
      <c r="C23" s="1">
        <v>1</v>
      </c>
      <c r="D23" s="6" t="s">
        <v>72</v>
      </c>
      <c r="E23" s="33" t="s">
        <v>425</v>
      </c>
      <c r="F23" s="34">
        <v>781.72</v>
      </c>
      <c r="G23" s="35">
        <v>8</v>
      </c>
      <c r="I23" t="s">
        <v>407</v>
      </c>
      <c r="K23" t="s">
        <v>425</v>
      </c>
      <c r="L23" t="str">
        <f t="shared" si="0"/>
        <v>Marsa el hadjej</v>
      </c>
      <c r="M23" t="str">
        <f t="shared" si="1"/>
        <v>ORAN</v>
      </c>
      <c r="O23" t="str">
        <f t="shared" si="2"/>
        <v>781+720</v>
      </c>
      <c r="P23" t="str">
        <f t="shared" si="3"/>
        <v>08</v>
      </c>
      <c r="Q23" t="str">
        <f t="shared" si="4"/>
        <v>781</v>
      </c>
      <c r="R23" t="str">
        <f t="shared" si="5"/>
        <v>720</v>
      </c>
      <c r="S23">
        <f t="shared" si="7"/>
        <v>781720</v>
      </c>
      <c r="T23">
        <f t="shared" si="6"/>
        <v>781.72</v>
      </c>
    </row>
    <row r="24" spans="1:20" ht="24.95" customHeight="1" x14ac:dyDescent="0.3">
      <c r="A24" s="1">
        <v>22</v>
      </c>
      <c r="B24" s="33" t="s">
        <v>369</v>
      </c>
      <c r="C24" s="1">
        <v>2</v>
      </c>
      <c r="D24" s="6" t="s">
        <v>71</v>
      </c>
      <c r="E24" s="33" t="s">
        <v>472</v>
      </c>
      <c r="F24" s="34">
        <v>22</v>
      </c>
      <c r="G24" s="35">
        <v>142</v>
      </c>
      <c r="I24" t="s">
        <v>426</v>
      </c>
      <c r="K24" t="s">
        <v>472</v>
      </c>
      <c r="L24" t="str">
        <f t="shared" si="0"/>
        <v>Hassi Ben Abdellah</v>
      </c>
      <c r="M24" t="str">
        <f t="shared" si="1"/>
        <v>OUARGLA</v>
      </c>
      <c r="O24" t="str">
        <f t="shared" si="2"/>
        <v>22+000</v>
      </c>
      <c r="P24" t="str">
        <f t="shared" si="3"/>
        <v>142</v>
      </c>
      <c r="Q24" t="str">
        <f t="shared" si="4"/>
        <v>22</v>
      </c>
      <c r="R24" t="str">
        <f t="shared" si="5"/>
        <v>000</v>
      </c>
      <c r="S24">
        <f t="shared" si="7"/>
        <v>22000</v>
      </c>
      <c r="T24">
        <f t="shared" si="6"/>
        <v>22</v>
      </c>
    </row>
    <row r="25" spans="1:20" ht="24.95" customHeight="1" x14ac:dyDescent="0.3">
      <c r="A25" s="1">
        <v>23</v>
      </c>
      <c r="B25" s="33" t="s">
        <v>370</v>
      </c>
      <c r="C25" s="1">
        <v>2</v>
      </c>
      <c r="D25" s="6" t="s">
        <v>71</v>
      </c>
      <c r="E25" s="33" t="s">
        <v>409</v>
      </c>
      <c r="F25" s="34">
        <v>43.9</v>
      </c>
      <c r="G25" s="35">
        <v>149</v>
      </c>
      <c r="I25" t="s">
        <v>427</v>
      </c>
      <c r="K25" t="s">
        <v>409</v>
      </c>
      <c r="L25" t="str">
        <f t="shared" si="0"/>
        <v>Ain Beida</v>
      </c>
      <c r="M25" t="str">
        <f t="shared" si="1"/>
        <v>OUARGLA</v>
      </c>
      <c r="O25" t="str">
        <f t="shared" si="2"/>
        <v>43+900</v>
      </c>
      <c r="P25" t="str">
        <f t="shared" si="3"/>
        <v>149</v>
      </c>
      <c r="Q25" t="str">
        <f t="shared" si="4"/>
        <v>43</v>
      </c>
      <c r="R25" t="str">
        <f t="shared" si="5"/>
        <v>900</v>
      </c>
      <c r="S25">
        <f t="shared" si="7"/>
        <v>43900</v>
      </c>
      <c r="T25">
        <f t="shared" si="6"/>
        <v>43.9</v>
      </c>
    </row>
    <row r="26" spans="1:20" ht="24.95" customHeight="1" x14ac:dyDescent="0.3">
      <c r="A26" s="1">
        <v>24</v>
      </c>
      <c r="B26" s="33" t="s">
        <v>371</v>
      </c>
      <c r="C26" s="1">
        <v>2</v>
      </c>
      <c r="D26" s="6" t="s">
        <v>71</v>
      </c>
      <c r="E26" s="33" t="s">
        <v>409</v>
      </c>
      <c r="F26" s="34">
        <v>73</v>
      </c>
      <c r="G26" s="35">
        <v>186</v>
      </c>
      <c r="I26" t="s">
        <v>428</v>
      </c>
      <c r="K26" t="s">
        <v>409</v>
      </c>
      <c r="L26" t="str">
        <f t="shared" si="0"/>
        <v>Ain Beida</v>
      </c>
      <c r="M26" t="str">
        <f t="shared" si="1"/>
        <v>OUARGLA</v>
      </c>
      <c r="O26" t="str">
        <f t="shared" si="2"/>
        <v>73+000</v>
      </c>
      <c r="P26" t="str">
        <f t="shared" si="3"/>
        <v>186</v>
      </c>
      <c r="Q26" t="str">
        <f t="shared" si="4"/>
        <v>73</v>
      </c>
      <c r="R26" t="str">
        <f t="shared" si="5"/>
        <v>000</v>
      </c>
      <c r="S26">
        <f t="shared" si="7"/>
        <v>73000</v>
      </c>
      <c r="T26">
        <f t="shared" si="6"/>
        <v>73</v>
      </c>
    </row>
    <row r="27" spans="1:20" ht="24.95" customHeight="1" x14ac:dyDescent="0.3">
      <c r="A27" s="1">
        <v>25</v>
      </c>
      <c r="B27" s="33" t="s">
        <v>372</v>
      </c>
      <c r="C27" s="1">
        <v>2</v>
      </c>
      <c r="D27" s="6" t="s">
        <v>71</v>
      </c>
      <c r="E27" s="33" t="s">
        <v>363</v>
      </c>
      <c r="F27" s="34">
        <v>102</v>
      </c>
      <c r="G27" s="35">
        <v>223</v>
      </c>
      <c r="I27" t="s">
        <v>429</v>
      </c>
      <c r="K27" t="s">
        <v>363</v>
      </c>
      <c r="L27" t="str">
        <f t="shared" si="0"/>
        <v>Ouargla</v>
      </c>
      <c r="M27" t="str">
        <f t="shared" si="1"/>
        <v>OUARGLA</v>
      </c>
      <c r="O27" t="str">
        <f t="shared" si="2"/>
        <v>102+000</v>
      </c>
      <c r="P27" t="str">
        <f t="shared" si="3"/>
        <v>223</v>
      </c>
      <c r="Q27" t="str">
        <f t="shared" si="4"/>
        <v>102</v>
      </c>
      <c r="R27" t="str">
        <f t="shared" si="5"/>
        <v>000</v>
      </c>
      <c r="S27">
        <f t="shared" si="7"/>
        <v>102000</v>
      </c>
      <c r="T27">
        <f t="shared" si="6"/>
        <v>102</v>
      </c>
    </row>
    <row r="28" spans="1:20" ht="24.95" customHeight="1" x14ac:dyDescent="0.3">
      <c r="A28" s="1">
        <v>26</v>
      </c>
      <c r="B28" s="33" t="s">
        <v>373</v>
      </c>
      <c r="C28" s="1">
        <v>2</v>
      </c>
      <c r="D28" s="6" t="s">
        <v>71</v>
      </c>
      <c r="E28" s="33" t="s">
        <v>363</v>
      </c>
      <c r="F28" s="34">
        <v>150</v>
      </c>
      <c r="G28" s="35">
        <v>300</v>
      </c>
      <c r="I28" t="s">
        <v>430</v>
      </c>
      <c r="K28" t="s">
        <v>363</v>
      </c>
      <c r="L28" t="str">
        <f t="shared" si="0"/>
        <v>Ouargla</v>
      </c>
      <c r="M28" t="str">
        <f t="shared" si="1"/>
        <v>OUARGLA</v>
      </c>
      <c r="O28" t="str">
        <f t="shared" si="2"/>
        <v>150+000</v>
      </c>
      <c r="P28" t="str">
        <f t="shared" si="3"/>
        <v>300</v>
      </c>
      <c r="Q28" t="str">
        <f t="shared" si="4"/>
        <v>150</v>
      </c>
      <c r="R28" t="str">
        <f t="shared" si="5"/>
        <v>000</v>
      </c>
      <c r="S28">
        <f t="shared" si="7"/>
        <v>150000</v>
      </c>
      <c r="T28">
        <f t="shared" si="6"/>
        <v>150</v>
      </c>
    </row>
    <row r="29" spans="1:20" ht="24.95" customHeight="1" x14ac:dyDescent="0.3">
      <c r="A29" s="1">
        <v>27</v>
      </c>
      <c r="B29" s="33" t="s">
        <v>374</v>
      </c>
      <c r="C29" s="1">
        <v>2</v>
      </c>
      <c r="D29" s="6" t="s">
        <v>71</v>
      </c>
      <c r="E29" s="33" t="s">
        <v>411</v>
      </c>
      <c r="F29" s="34">
        <v>180</v>
      </c>
      <c r="G29" s="35">
        <v>350</v>
      </c>
      <c r="I29" t="s">
        <v>431</v>
      </c>
      <c r="K29" t="s">
        <v>411</v>
      </c>
      <c r="L29" t="str">
        <f t="shared" si="0"/>
        <v>Zelfana</v>
      </c>
      <c r="M29" t="str">
        <f t="shared" si="1"/>
        <v>GHARDAIA</v>
      </c>
      <c r="O29" t="str">
        <f t="shared" si="2"/>
        <v>180+000</v>
      </c>
      <c r="P29" t="str">
        <f t="shared" si="3"/>
        <v>350</v>
      </c>
      <c r="Q29" t="str">
        <f t="shared" si="4"/>
        <v>180</v>
      </c>
      <c r="R29" t="str">
        <f t="shared" si="5"/>
        <v>000</v>
      </c>
      <c r="S29">
        <f t="shared" si="7"/>
        <v>180000</v>
      </c>
      <c r="T29">
        <f t="shared" si="6"/>
        <v>180</v>
      </c>
    </row>
    <row r="30" spans="1:20" ht="24.95" customHeight="1" x14ac:dyDescent="0.3">
      <c r="A30" s="1">
        <v>28</v>
      </c>
      <c r="B30" s="33" t="s">
        <v>375</v>
      </c>
      <c r="C30" s="1">
        <v>2</v>
      </c>
      <c r="D30" s="6" t="s">
        <v>71</v>
      </c>
      <c r="E30" s="33" t="s">
        <v>364</v>
      </c>
      <c r="F30" s="34">
        <v>210</v>
      </c>
      <c r="G30" s="35">
        <v>467</v>
      </c>
      <c r="I30" t="s">
        <v>432</v>
      </c>
      <c r="K30" t="s">
        <v>364</v>
      </c>
      <c r="L30" t="str">
        <f t="shared" si="0"/>
        <v>Al Atteuf</v>
      </c>
      <c r="M30" t="str">
        <f t="shared" si="1"/>
        <v>GHARDAIA</v>
      </c>
      <c r="O30" t="str">
        <f t="shared" si="2"/>
        <v>210+000</v>
      </c>
      <c r="P30" t="str">
        <f t="shared" si="3"/>
        <v>467</v>
      </c>
      <c r="Q30" t="str">
        <f t="shared" si="4"/>
        <v>210</v>
      </c>
      <c r="R30" t="str">
        <f t="shared" si="5"/>
        <v>000</v>
      </c>
      <c r="S30">
        <f t="shared" si="7"/>
        <v>210000</v>
      </c>
      <c r="T30">
        <f t="shared" si="6"/>
        <v>210</v>
      </c>
    </row>
    <row r="31" spans="1:20" ht="24.95" customHeight="1" x14ac:dyDescent="0.3">
      <c r="A31" s="1">
        <v>29</v>
      </c>
      <c r="B31" s="33" t="s">
        <v>376</v>
      </c>
      <c r="C31" s="1">
        <v>2</v>
      </c>
      <c r="D31" s="6" t="s">
        <v>71</v>
      </c>
      <c r="E31" s="33" t="s">
        <v>412</v>
      </c>
      <c r="F31" s="34">
        <v>236.5</v>
      </c>
      <c r="G31" s="35">
        <v>566</v>
      </c>
      <c r="I31" t="s">
        <v>433</v>
      </c>
      <c r="K31" t="s">
        <v>412</v>
      </c>
      <c r="L31" t="str">
        <f t="shared" si="0"/>
        <v>Ghardaia</v>
      </c>
      <c r="M31" t="str">
        <f t="shared" si="1"/>
        <v>GHARDAIA</v>
      </c>
      <c r="O31" t="str">
        <f t="shared" si="2"/>
        <v>236+500</v>
      </c>
      <c r="P31" t="str">
        <f t="shared" si="3"/>
        <v>566</v>
      </c>
      <c r="Q31" t="str">
        <f t="shared" si="4"/>
        <v>236</v>
      </c>
      <c r="R31" t="str">
        <f t="shared" si="5"/>
        <v>500</v>
      </c>
      <c r="S31">
        <f t="shared" si="7"/>
        <v>236500</v>
      </c>
      <c r="T31">
        <f t="shared" si="6"/>
        <v>236.5</v>
      </c>
    </row>
    <row r="32" spans="1:20" ht="24.95" customHeight="1" x14ac:dyDescent="0.3">
      <c r="A32" s="1">
        <v>30</v>
      </c>
      <c r="B32" s="33" t="s">
        <v>377</v>
      </c>
      <c r="C32" s="1">
        <v>2</v>
      </c>
      <c r="D32" s="6" t="s">
        <v>71</v>
      </c>
      <c r="E32" s="33" t="s">
        <v>455</v>
      </c>
      <c r="F32" s="34">
        <v>265.75</v>
      </c>
      <c r="G32" s="35">
        <v>688</v>
      </c>
      <c r="I32" t="s">
        <v>434</v>
      </c>
      <c r="K32" t="s">
        <v>455</v>
      </c>
      <c r="L32" t="str">
        <f t="shared" si="0"/>
        <v>Ben Dhaou</v>
      </c>
      <c r="M32" t="str">
        <f t="shared" si="1"/>
        <v>GHARDAIA</v>
      </c>
      <c r="O32" t="str">
        <f t="shared" si="2"/>
        <v>265+750</v>
      </c>
      <c r="P32" t="str">
        <f t="shared" si="3"/>
        <v>688</v>
      </c>
      <c r="Q32" t="str">
        <f t="shared" si="4"/>
        <v>265</v>
      </c>
      <c r="R32" t="str">
        <f t="shared" si="5"/>
        <v>750</v>
      </c>
      <c r="S32">
        <f t="shared" si="7"/>
        <v>265750</v>
      </c>
      <c r="T32">
        <f t="shared" si="6"/>
        <v>265.75</v>
      </c>
    </row>
    <row r="33" spans="1:20" ht="24.95" customHeight="1" x14ac:dyDescent="0.3">
      <c r="A33" s="1">
        <v>31</v>
      </c>
      <c r="B33" s="33" t="s">
        <v>378</v>
      </c>
      <c r="C33" s="1">
        <v>2</v>
      </c>
      <c r="D33" s="6" t="s">
        <v>71</v>
      </c>
      <c r="E33" s="33" t="s">
        <v>456</v>
      </c>
      <c r="F33" s="34">
        <v>295.5</v>
      </c>
      <c r="G33" s="35">
        <v>756</v>
      </c>
      <c r="I33" t="s">
        <v>435</v>
      </c>
      <c r="K33" t="s">
        <v>456</v>
      </c>
      <c r="L33" t="str">
        <f t="shared" si="0"/>
        <v>Hassi R’mel</v>
      </c>
      <c r="M33" t="str">
        <f t="shared" si="1"/>
        <v>LAGHOUAT</v>
      </c>
      <c r="O33" t="str">
        <f t="shared" si="2"/>
        <v>295+500</v>
      </c>
      <c r="P33" t="str">
        <f t="shared" si="3"/>
        <v>756</v>
      </c>
      <c r="Q33" t="str">
        <f t="shared" si="4"/>
        <v>295</v>
      </c>
      <c r="R33" t="str">
        <f t="shared" si="5"/>
        <v>500</v>
      </c>
      <c r="S33">
        <f t="shared" si="7"/>
        <v>295500</v>
      </c>
      <c r="T33">
        <f t="shared" si="6"/>
        <v>295.5</v>
      </c>
    </row>
    <row r="34" spans="1:20" ht="24.95" customHeight="1" x14ac:dyDescent="0.3">
      <c r="A34" s="1">
        <v>32</v>
      </c>
      <c r="B34" s="33" t="s">
        <v>379</v>
      </c>
      <c r="C34" s="1">
        <v>2</v>
      </c>
      <c r="D34" s="6" t="s">
        <v>71</v>
      </c>
      <c r="E34" s="33" t="s">
        <v>456</v>
      </c>
      <c r="F34" s="34">
        <v>330</v>
      </c>
      <c r="G34" s="35">
        <v>766</v>
      </c>
      <c r="I34" t="s">
        <v>436</v>
      </c>
      <c r="K34" t="s">
        <v>456</v>
      </c>
      <c r="L34" t="str">
        <f t="shared" si="0"/>
        <v>Hassi R’mel</v>
      </c>
      <c r="M34" t="str">
        <f t="shared" si="1"/>
        <v>LAGHOUAT</v>
      </c>
      <c r="O34" t="str">
        <f t="shared" si="2"/>
        <v>330+000</v>
      </c>
      <c r="P34" t="str">
        <f t="shared" si="3"/>
        <v>766</v>
      </c>
      <c r="Q34" t="str">
        <f t="shared" si="4"/>
        <v>330</v>
      </c>
      <c r="R34" t="str">
        <f t="shared" si="5"/>
        <v>000</v>
      </c>
      <c r="S34">
        <f t="shared" si="7"/>
        <v>330000</v>
      </c>
      <c r="T34">
        <f t="shared" si="6"/>
        <v>330</v>
      </c>
    </row>
    <row r="35" spans="1:20" ht="24.95" customHeight="1" x14ac:dyDescent="0.3">
      <c r="A35" s="1">
        <v>33</v>
      </c>
      <c r="B35" s="33" t="s">
        <v>380</v>
      </c>
      <c r="C35" s="1">
        <v>2</v>
      </c>
      <c r="D35" s="6" t="s">
        <v>71</v>
      </c>
      <c r="E35" s="33" t="s">
        <v>457</v>
      </c>
      <c r="F35" s="34">
        <v>360</v>
      </c>
      <c r="G35" s="35">
        <v>848</v>
      </c>
      <c r="I35" t="s">
        <v>437</v>
      </c>
      <c r="K35" t="s">
        <v>457</v>
      </c>
      <c r="L35" t="str">
        <f t="shared" si="0"/>
        <v>Bennaceur Benchohra</v>
      </c>
      <c r="M35" t="str">
        <f t="shared" si="1"/>
        <v>LAGHOUAT</v>
      </c>
      <c r="O35" t="str">
        <f t="shared" si="2"/>
        <v>360+000</v>
      </c>
      <c r="P35" t="str">
        <f t="shared" si="3"/>
        <v>848</v>
      </c>
      <c r="Q35" t="str">
        <f t="shared" si="4"/>
        <v>360</v>
      </c>
      <c r="R35" t="str">
        <f t="shared" si="5"/>
        <v>000</v>
      </c>
      <c r="S35">
        <f t="shared" si="7"/>
        <v>360000</v>
      </c>
      <c r="T35">
        <f t="shared" si="6"/>
        <v>360</v>
      </c>
    </row>
    <row r="36" spans="1:20" ht="24.95" customHeight="1" x14ac:dyDescent="0.3">
      <c r="A36" s="1">
        <v>34</v>
      </c>
      <c r="B36" s="33" t="s">
        <v>381</v>
      </c>
      <c r="C36" s="1">
        <v>2</v>
      </c>
      <c r="D36" s="6" t="s">
        <v>71</v>
      </c>
      <c r="E36" s="33" t="s">
        <v>458</v>
      </c>
      <c r="F36" s="34">
        <v>390</v>
      </c>
      <c r="G36" s="35">
        <v>790</v>
      </c>
      <c r="I36" t="s">
        <v>438</v>
      </c>
      <c r="K36" t="s">
        <v>458</v>
      </c>
      <c r="L36" t="str">
        <f t="shared" si="0"/>
        <v>Laghouat</v>
      </c>
      <c r="M36" t="str">
        <f t="shared" si="1"/>
        <v>LAGHOUAT</v>
      </c>
      <c r="O36" t="str">
        <f t="shared" si="2"/>
        <v>390+000</v>
      </c>
      <c r="P36" t="str">
        <f t="shared" si="3"/>
        <v>790</v>
      </c>
      <c r="Q36" t="str">
        <f t="shared" si="4"/>
        <v>390</v>
      </c>
      <c r="R36" t="str">
        <f t="shared" si="5"/>
        <v>000</v>
      </c>
      <c r="S36">
        <f t="shared" si="7"/>
        <v>390000</v>
      </c>
      <c r="T36">
        <f t="shared" si="6"/>
        <v>390</v>
      </c>
    </row>
    <row r="37" spans="1:20" ht="24.95" customHeight="1" x14ac:dyDescent="0.3">
      <c r="A37" s="1">
        <v>35</v>
      </c>
      <c r="B37" s="33" t="s">
        <v>382</v>
      </c>
      <c r="C37" s="1">
        <v>2</v>
      </c>
      <c r="D37" s="6" t="s">
        <v>71</v>
      </c>
      <c r="E37" s="33" t="s">
        <v>458</v>
      </c>
      <c r="F37" s="34">
        <v>445</v>
      </c>
      <c r="G37" s="35">
        <v>1050</v>
      </c>
      <c r="I37" t="s">
        <v>439</v>
      </c>
      <c r="K37" t="s">
        <v>458</v>
      </c>
      <c r="L37" t="str">
        <f t="shared" si="0"/>
        <v>Laghouat</v>
      </c>
      <c r="M37" t="str">
        <f t="shared" si="1"/>
        <v>LAGHOUAT</v>
      </c>
      <c r="O37" t="str">
        <f t="shared" si="2"/>
        <v>445+000</v>
      </c>
      <c r="P37" t="str">
        <f t="shared" si="3"/>
        <v>1050</v>
      </c>
      <c r="Q37" t="str">
        <f t="shared" si="4"/>
        <v>445</v>
      </c>
      <c r="R37" t="str">
        <f t="shared" si="5"/>
        <v>000</v>
      </c>
      <c r="S37">
        <f t="shared" si="7"/>
        <v>445000</v>
      </c>
      <c r="T37">
        <f t="shared" si="6"/>
        <v>445</v>
      </c>
    </row>
    <row r="38" spans="1:20" ht="24.95" customHeight="1" x14ac:dyDescent="0.3">
      <c r="A38" s="1">
        <v>36</v>
      </c>
      <c r="B38" s="33" t="s">
        <v>383</v>
      </c>
      <c r="C38" s="1">
        <v>2</v>
      </c>
      <c r="D38" s="6" t="s">
        <v>71</v>
      </c>
      <c r="E38" s="33" t="s">
        <v>459</v>
      </c>
      <c r="F38" s="34">
        <v>475</v>
      </c>
      <c r="G38" s="35">
        <v>1215</v>
      </c>
      <c r="I38" t="s">
        <v>440</v>
      </c>
      <c r="K38" t="s">
        <v>459</v>
      </c>
      <c r="L38" t="str">
        <f t="shared" si="0"/>
        <v>Aflou</v>
      </c>
      <c r="M38" t="str">
        <f t="shared" si="1"/>
        <v>LAGHOUAT</v>
      </c>
      <c r="O38" t="str">
        <f t="shared" si="2"/>
        <v>475+000</v>
      </c>
      <c r="P38" t="str">
        <f t="shared" si="3"/>
        <v>1215</v>
      </c>
      <c r="Q38" t="str">
        <f t="shared" si="4"/>
        <v>475</v>
      </c>
      <c r="R38" t="str">
        <f t="shared" si="5"/>
        <v>000</v>
      </c>
      <c r="S38">
        <f t="shared" si="7"/>
        <v>475000</v>
      </c>
      <c r="T38">
        <f t="shared" si="6"/>
        <v>475</v>
      </c>
    </row>
    <row r="39" spans="1:20" ht="24.95" customHeight="1" x14ac:dyDescent="0.3">
      <c r="A39" s="1">
        <v>37</v>
      </c>
      <c r="B39" s="33" t="s">
        <v>384</v>
      </c>
      <c r="C39" s="1">
        <v>2</v>
      </c>
      <c r="D39" s="6" t="s">
        <v>71</v>
      </c>
      <c r="E39" s="33" t="s">
        <v>460</v>
      </c>
      <c r="F39" s="34">
        <v>505</v>
      </c>
      <c r="G39" s="35">
        <v>986</v>
      </c>
      <c r="I39" t="s">
        <v>441</v>
      </c>
      <c r="K39" t="s">
        <v>460</v>
      </c>
      <c r="L39" t="str">
        <f t="shared" si="0"/>
        <v>O.Touil</v>
      </c>
      <c r="M39" t="str">
        <f t="shared" si="1"/>
        <v>DJELFA</v>
      </c>
      <c r="O39" t="str">
        <f t="shared" si="2"/>
        <v>505+000</v>
      </c>
      <c r="P39" t="str">
        <f t="shared" si="3"/>
        <v>986</v>
      </c>
      <c r="Q39" t="str">
        <f t="shared" si="4"/>
        <v>505</v>
      </c>
      <c r="R39" t="str">
        <f t="shared" si="5"/>
        <v>000</v>
      </c>
      <c r="S39">
        <f t="shared" si="7"/>
        <v>505000</v>
      </c>
      <c r="T39">
        <f t="shared" si="6"/>
        <v>505</v>
      </c>
    </row>
    <row r="40" spans="1:20" ht="24.95" customHeight="1" x14ac:dyDescent="0.3">
      <c r="A40" s="1">
        <v>38</v>
      </c>
      <c r="B40" s="33" t="s">
        <v>385</v>
      </c>
      <c r="C40" s="1">
        <v>2</v>
      </c>
      <c r="D40" s="6" t="s">
        <v>71</v>
      </c>
      <c r="E40" s="33" t="s">
        <v>418</v>
      </c>
      <c r="F40" s="34">
        <v>564.5</v>
      </c>
      <c r="G40" s="35">
        <v>1132</v>
      </c>
      <c r="I40" t="s">
        <v>442</v>
      </c>
      <c r="K40" t="s">
        <v>418</v>
      </c>
      <c r="L40" t="str">
        <f t="shared" si="0"/>
        <v>Ain Dheb</v>
      </c>
      <c r="M40" t="str">
        <f t="shared" si="1"/>
        <v>TIARET</v>
      </c>
      <c r="O40" t="str">
        <f t="shared" si="2"/>
        <v>564+500</v>
      </c>
      <c r="P40" t="str">
        <f t="shared" si="3"/>
        <v>1132</v>
      </c>
      <c r="Q40" t="str">
        <f t="shared" si="4"/>
        <v>564</v>
      </c>
      <c r="R40" t="str">
        <f t="shared" si="5"/>
        <v>500</v>
      </c>
      <c r="S40">
        <f t="shared" si="7"/>
        <v>564500</v>
      </c>
      <c r="T40">
        <f t="shared" si="6"/>
        <v>564.5</v>
      </c>
    </row>
    <row r="41" spans="1:20" ht="24.95" customHeight="1" x14ac:dyDescent="0.3">
      <c r="A41" s="1">
        <v>39</v>
      </c>
      <c r="B41" s="33" t="s">
        <v>386</v>
      </c>
      <c r="C41" s="1">
        <v>2</v>
      </c>
      <c r="D41" s="6" t="s">
        <v>71</v>
      </c>
      <c r="E41" s="33" t="s">
        <v>461</v>
      </c>
      <c r="F41" s="34">
        <v>594</v>
      </c>
      <c r="G41" s="35">
        <v>1225</v>
      </c>
      <c r="I41" t="s">
        <v>443</v>
      </c>
      <c r="K41" t="s">
        <v>461</v>
      </c>
      <c r="L41" t="str">
        <f t="shared" si="0"/>
        <v>Nador</v>
      </c>
      <c r="M41" t="str">
        <f t="shared" si="1"/>
        <v>TIARET</v>
      </c>
      <c r="O41" t="str">
        <f t="shared" si="2"/>
        <v>594+000</v>
      </c>
      <c r="P41" t="str">
        <f t="shared" si="3"/>
        <v>1225</v>
      </c>
      <c r="Q41" t="str">
        <f t="shared" si="4"/>
        <v>594</v>
      </c>
      <c r="R41" t="str">
        <f t="shared" si="5"/>
        <v>000</v>
      </c>
      <c r="S41">
        <f t="shared" si="7"/>
        <v>594000</v>
      </c>
      <c r="T41">
        <f t="shared" si="6"/>
        <v>594</v>
      </c>
    </row>
    <row r="42" spans="1:20" ht="24.95" customHeight="1" x14ac:dyDescent="0.3">
      <c r="A42" s="1">
        <v>40</v>
      </c>
      <c r="B42" s="33" t="s">
        <v>387</v>
      </c>
      <c r="C42" s="1">
        <v>2</v>
      </c>
      <c r="D42" s="6" t="s">
        <v>71</v>
      </c>
      <c r="E42" s="33" t="s">
        <v>462</v>
      </c>
      <c r="F42" s="34">
        <v>624</v>
      </c>
      <c r="G42" s="35">
        <v>997</v>
      </c>
      <c r="I42" t="s">
        <v>444</v>
      </c>
      <c r="K42" t="s">
        <v>462</v>
      </c>
      <c r="L42" t="str">
        <f t="shared" si="0"/>
        <v>Tiaret</v>
      </c>
      <c r="M42" t="str">
        <f t="shared" si="1"/>
        <v>TIARET</v>
      </c>
      <c r="O42" t="str">
        <f t="shared" si="2"/>
        <v>624+000</v>
      </c>
      <c r="P42" t="str">
        <f t="shared" si="3"/>
        <v>997</v>
      </c>
      <c r="Q42" t="str">
        <f t="shared" si="4"/>
        <v>624</v>
      </c>
      <c r="R42" t="str">
        <f t="shared" si="5"/>
        <v>000</v>
      </c>
      <c r="S42">
        <f t="shared" si="7"/>
        <v>624000</v>
      </c>
      <c r="T42">
        <f t="shared" si="6"/>
        <v>624</v>
      </c>
    </row>
    <row r="43" spans="1:20" ht="24.95" customHeight="1" x14ac:dyDescent="0.3">
      <c r="A43" s="1">
        <v>41</v>
      </c>
      <c r="B43" s="33" t="s">
        <v>388</v>
      </c>
      <c r="C43" s="1">
        <v>2</v>
      </c>
      <c r="D43" s="6" t="s">
        <v>71</v>
      </c>
      <c r="E43" s="33" t="s">
        <v>463</v>
      </c>
      <c r="F43" s="34">
        <v>654</v>
      </c>
      <c r="G43" s="35">
        <v>599</v>
      </c>
      <c r="I43" t="s">
        <v>445</v>
      </c>
      <c r="K43" t="s">
        <v>463</v>
      </c>
      <c r="L43" t="str">
        <f t="shared" si="0"/>
        <v>Temda</v>
      </c>
      <c r="M43" t="str">
        <f t="shared" si="1"/>
        <v>TIARET</v>
      </c>
      <c r="O43" t="str">
        <f t="shared" si="2"/>
        <v>654+000</v>
      </c>
      <c r="P43" t="str">
        <f t="shared" si="3"/>
        <v>599</v>
      </c>
      <c r="Q43" t="str">
        <f t="shared" si="4"/>
        <v>654</v>
      </c>
      <c r="R43" t="str">
        <f t="shared" si="5"/>
        <v>000</v>
      </c>
      <c r="S43">
        <f t="shared" si="7"/>
        <v>654000</v>
      </c>
      <c r="T43">
        <f t="shared" si="6"/>
        <v>654</v>
      </c>
    </row>
    <row r="44" spans="1:20" ht="24.95" customHeight="1" x14ac:dyDescent="0.3">
      <c r="A44" s="1">
        <v>42</v>
      </c>
      <c r="B44" s="33" t="s">
        <v>389</v>
      </c>
      <c r="C44" s="1">
        <v>2</v>
      </c>
      <c r="D44" s="6" t="s">
        <v>71</v>
      </c>
      <c r="E44" s="33" t="s">
        <v>464</v>
      </c>
      <c r="F44" s="34">
        <v>684</v>
      </c>
      <c r="G44" s="35">
        <v>553</v>
      </c>
      <c r="I44" t="s">
        <v>446</v>
      </c>
      <c r="K44" t="s">
        <v>464</v>
      </c>
      <c r="L44" t="str">
        <f t="shared" si="0"/>
        <v>Kenenda</v>
      </c>
      <c r="M44" t="str">
        <f t="shared" si="1"/>
        <v>RELIZANE</v>
      </c>
      <c r="O44" t="str">
        <f t="shared" si="2"/>
        <v>684+000</v>
      </c>
      <c r="P44" t="str">
        <f t="shared" si="3"/>
        <v>553</v>
      </c>
      <c r="Q44" t="str">
        <f t="shared" si="4"/>
        <v>684</v>
      </c>
      <c r="R44" t="str">
        <f t="shared" si="5"/>
        <v>000</v>
      </c>
      <c r="S44">
        <f t="shared" si="7"/>
        <v>684000</v>
      </c>
      <c r="T44">
        <f t="shared" si="6"/>
        <v>684</v>
      </c>
    </row>
    <row r="45" spans="1:20" ht="24.95" customHeight="1" x14ac:dyDescent="0.3">
      <c r="A45" s="1">
        <v>43</v>
      </c>
      <c r="B45" s="33" t="s">
        <v>451</v>
      </c>
      <c r="C45" s="1">
        <v>2</v>
      </c>
      <c r="D45" s="6" t="s">
        <v>71</v>
      </c>
      <c r="E45" s="33" t="s">
        <v>423</v>
      </c>
      <c r="F45" s="34">
        <v>714</v>
      </c>
      <c r="G45" s="35">
        <v>146</v>
      </c>
      <c r="I45" t="s">
        <v>447</v>
      </c>
      <c r="K45" t="s">
        <v>423</v>
      </c>
      <c r="L45" t="str">
        <f t="shared" si="0"/>
        <v>Bormadia</v>
      </c>
      <c r="M45" t="str">
        <f t="shared" si="1"/>
        <v>RELIZANE</v>
      </c>
      <c r="O45" t="str">
        <f t="shared" si="2"/>
        <v>714+000</v>
      </c>
      <c r="P45" t="str">
        <f t="shared" si="3"/>
        <v>146</v>
      </c>
      <c r="Q45" t="str">
        <f t="shared" si="4"/>
        <v>714</v>
      </c>
      <c r="R45" t="str">
        <f t="shared" si="5"/>
        <v>000</v>
      </c>
      <c r="S45">
        <f t="shared" si="7"/>
        <v>714000</v>
      </c>
      <c r="T45">
        <f t="shared" si="6"/>
        <v>714</v>
      </c>
    </row>
    <row r="46" spans="1:20" ht="24.95" customHeight="1" x14ac:dyDescent="0.3">
      <c r="A46" s="1">
        <v>44</v>
      </c>
      <c r="B46" s="33" t="s">
        <v>452</v>
      </c>
      <c r="C46" s="1">
        <v>2</v>
      </c>
      <c r="D46" s="6" t="s">
        <v>71</v>
      </c>
      <c r="E46" s="33" t="s">
        <v>465</v>
      </c>
      <c r="F46" s="34">
        <v>744</v>
      </c>
      <c r="G46" s="35">
        <v>150</v>
      </c>
      <c r="I46" t="s">
        <v>448</v>
      </c>
      <c r="K46" t="s">
        <v>465</v>
      </c>
      <c r="L46" t="str">
        <f t="shared" si="0"/>
        <v>Yellel</v>
      </c>
      <c r="M46" t="str">
        <f t="shared" si="1"/>
        <v>RELIZANE</v>
      </c>
      <c r="O46" t="str">
        <f t="shared" si="2"/>
        <v>744+000</v>
      </c>
      <c r="P46" t="str">
        <f t="shared" si="3"/>
        <v>150</v>
      </c>
      <c r="Q46" t="str">
        <f t="shared" si="4"/>
        <v>744</v>
      </c>
      <c r="R46" t="str">
        <f t="shared" si="5"/>
        <v>000</v>
      </c>
      <c r="S46">
        <f t="shared" si="7"/>
        <v>744000</v>
      </c>
      <c r="T46">
        <f t="shared" si="6"/>
        <v>744</v>
      </c>
    </row>
    <row r="47" spans="1:20" ht="24.95" customHeight="1" x14ac:dyDescent="0.3">
      <c r="A47" s="1">
        <v>45</v>
      </c>
      <c r="B47" s="33" t="s">
        <v>453</v>
      </c>
      <c r="C47" s="1">
        <v>2</v>
      </c>
      <c r="D47" s="6" t="s">
        <v>71</v>
      </c>
      <c r="E47" s="33" t="s">
        <v>424</v>
      </c>
      <c r="F47" s="34">
        <v>774</v>
      </c>
      <c r="G47" s="35">
        <v>26</v>
      </c>
      <c r="I47" t="s">
        <v>449</v>
      </c>
      <c r="K47" t="s">
        <v>424</v>
      </c>
      <c r="L47" t="str">
        <f t="shared" si="0"/>
        <v>El Hassiane</v>
      </c>
      <c r="M47" t="str">
        <f t="shared" si="1"/>
        <v>MOSTAGANEM</v>
      </c>
      <c r="O47" t="str">
        <f t="shared" si="2"/>
        <v>774+000</v>
      </c>
      <c r="P47" t="str">
        <f t="shared" si="3"/>
        <v>26</v>
      </c>
      <c r="Q47" t="str">
        <f t="shared" si="4"/>
        <v>774</v>
      </c>
      <c r="R47" t="str">
        <f t="shared" si="5"/>
        <v>000</v>
      </c>
      <c r="S47">
        <f t="shared" si="7"/>
        <v>774000</v>
      </c>
      <c r="T47">
        <f t="shared" si="6"/>
        <v>774</v>
      </c>
    </row>
    <row r="48" spans="1:20" ht="24.95" customHeight="1" x14ac:dyDescent="0.3">
      <c r="A48" s="1">
        <v>46</v>
      </c>
      <c r="B48" s="33" t="s">
        <v>454</v>
      </c>
      <c r="C48" s="1">
        <v>2</v>
      </c>
      <c r="D48" s="6" t="s">
        <v>71</v>
      </c>
      <c r="E48" s="33" t="s">
        <v>466</v>
      </c>
      <c r="F48" s="34">
        <v>804</v>
      </c>
      <c r="G48" s="35">
        <v>196</v>
      </c>
      <c r="I48" t="s">
        <v>450</v>
      </c>
      <c r="K48" t="s">
        <v>466</v>
      </c>
      <c r="L48" t="str">
        <f t="shared" si="0"/>
        <v>Granine</v>
      </c>
      <c r="M48" t="str">
        <f t="shared" si="1"/>
        <v>ORAN</v>
      </c>
      <c r="O48" t="str">
        <f t="shared" si="2"/>
        <v>804+000</v>
      </c>
      <c r="P48" t="str">
        <f t="shared" si="3"/>
        <v>196</v>
      </c>
      <c r="Q48" t="str">
        <f t="shared" si="4"/>
        <v>804</v>
      </c>
      <c r="R48" t="str">
        <f t="shared" si="5"/>
        <v>000</v>
      </c>
      <c r="S48">
        <f t="shared" si="7"/>
        <v>804000</v>
      </c>
      <c r="T48">
        <f t="shared" si="6"/>
        <v>804</v>
      </c>
    </row>
    <row r="49" spans="1:20" ht="24.95" customHeight="1" x14ac:dyDescent="0.3">
      <c r="A49" s="1">
        <v>47</v>
      </c>
      <c r="B49" s="33" t="s">
        <v>479</v>
      </c>
      <c r="C49" s="1">
        <v>3</v>
      </c>
      <c r="D49" s="6" t="s">
        <v>32</v>
      </c>
      <c r="E49" s="33" t="s">
        <v>355</v>
      </c>
      <c r="F49" s="34">
        <v>0</v>
      </c>
      <c r="G49" s="35">
        <v>159</v>
      </c>
      <c r="I49" t="s">
        <v>490</v>
      </c>
      <c r="K49" t="s">
        <v>511</v>
      </c>
      <c r="L49" t="str">
        <f t="shared" si="0"/>
        <v>Hassi Messaoud</v>
      </c>
      <c r="M49" t="str">
        <f xml:space="preserve"> CONCATENATE(L49, " / ",N49)</f>
        <v>Hassi Messaoud / OUARGLA</v>
      </c>
      <c r="N49" t="s">
        <v>410</v>
      </c>
      <c r="O49" t="str">
        <f t="shared" ref="O49:O184" si="8">MID(I49, 1, SEARCH(" / ", I49) - 1)</f>
        <v>00+000</v>
      </c>
      <c r="P49" t="str">
        <f t="shared" ref="P49:P184" si="9">MID(I49, SEARCH(" / ", I49) + 3, LEN(I49))</f>
        <v>159</v>
      </c>
      <c r="Q49" t="str">
        <f t="shared" ref="Q49:Q184" si="10">MID(O49, 1, SEARCH("+", O49) - 1)</f>
        <v>00</v>
      </c>
      <c r="R49" t="str">
        <f t="shared" ref="R49:R184" si="11">MID(O49, SEARCH("+", O49) + 1, LEN(O49))</f>
        <v>000</v>
      </c>
      <c r="S49">
        <f t="shared" ref="S49:S184" si="12">Q49*1000+R49</f>
        <v>0</v>
      </c>
      <c r="T49">
        <f t="shared" si="6"/>
        <v>0</v>
      </c>
    </row>
    <row r="50" spans="1:20" ht="24.95" customHeight="1" x14ac:dyDescent="0.3">
      <c r="A50" s="1">
        <v>48</v>
      </c>
      <c r="B50" s="33" t="s">
        <v>480</v>
      </c>
      <c r="C50" s="1">
        <v>3</v>
      </c>
      <c r="D50" s="6" t="s">
        <v>32</v>
      </c>
      <c r="E50" s="33" t="s">
        <v>472</v>
      </c>
      <c r="F50" s="34">
        <v>32</v>
      </c>
      <c r="G50" s="35">
        <v>160</v>
      </c>
      <c r="I50" t="s">
        <v>491</v>
      </c>
      <c r="K50" t="s">
        <v>512</v>
      </c>
      <c r="L50" t="str">
        <f t="shared" si="0"/>
        <v>Hassi Ben Abdellah</v>
      </c>
      <c r="M50" t="str">
        <f t="shared" ref="M50:M70" si="13" xml:space="preserve"> CONCATENATE(L50, " / ",N50)</f>
        <v>Hassi Ben Abdellah / OUARGLA</v>
      </c>
      <c r="N50" t="s">
        <v>410</v>
      </c>
      <c r="O50" t="str">
        <f t="shared" si="8"/>
        <v>32+000</v>
      </c>
      <c r="P50" t="str">
        <f t="shared" si="9"/>
        <v>160</v>
      </c>
      <c r="Q50" t="str">
        <f t="shared" si="10"/>
        <v>32</v>
      </c>
      <c r="R50" t="str">
        <f t="shared" si="11"/>
        <v>000</v>
      </c>
      <c r="S50">
        <f t="shared" si="12"/>
        <v>32000</v>
      </c>
      <c r="T50">
        <f t="shared" si="6"/>
        <v>32</v>
      </c>
    </row>
    <row r="51" spans="1:20" ht="24.95" customHeight="1" x14ac:dyDescent="0.3">
      <c r="A51" s="1">
        <v>49</v>
      </c>
      <c r="B51" s="33" t="s">
        <v>481</v>
      </c>
      <c r="C51" s="1">
        <v>3</v>
      </c>
      <c r="D51" s="6" t="s">
        <v>32</v>
      </c>
      <c r="E51" s="33" t="s">
        <v>472</v>
      </c>
      <c r="F51" s="34">
        <v>63.113999999999997</v>
      </c>
      <c r="G51" s="35">
        <v>150</v>
      </c>
      <c r="I51" t="s">
        <v>492</v>
      </c>
      <c r="K51" t="s">
        <v>512</v>
      </c>
      <c r="L51" t="str">
        <f t="shared" si="0"/>
        <v>Hassi Ben Abdellah</v>
      </c>
      <c r="M51" t="str">
        <f t="shared" si="13"/>
        <v>Hassi Ben Abdellah / OUARGLA</v>
      </c>
      <c r="N51" t="s">
        <v>410</v>
      </c>
      <c r="O51" t="str">
        <f t="shared" si="8"/>
        <v>63+114</v>
      </c>
      <c r="P51" t="str">
        <f t="shared" si="9"/>
        <v>150</v>
      </c>
      <c r="Q51" t="str">
        <f t="shared" si="10"/>
        <v>63</v>
      </c>
      <c r="R51" t="str">
        <f t="shared" si="11"/>
        <v>114</v>
      </c>
      <c r="S51">
        <f t="shared" si="12"/>
        <v>63114</v>
      </c>
      <c r="T51">
        <f t="shared" si="6"/>
        <v>63.113999999999997</v>
      </c>
    </row>
    <row r="52" spans="1:20" ht="24.95" customHeight="1" x14ac:dyDescent="0.3">
      <c r="A52" s="1">
        <v>50</v>
      </c>
      <c r="B52" s="33" t="s">
        <v>482</v>
      </c>
      <c r="C52" s="1">
        <v>3</v>
      </c>
      <c r="D52" s="6" t="s">
        <v>32</v>
      </c>
      <c r="E52" s="33" t="s">
        <v>513</v>
      </c>
      <c r="F52" s="34">
        <v>126.057</v>
      </c>
      <c r="G52" s="35">
        <v>110</v>
      </c>
      <c r="I52" t="s">
        <v>493</v>
      </c>
      <c r="K52" t="s">
        <v>513</v>
      </c>
      <c r="L52" t="str">
        <f t="shared" si="0"/>
        <v>El Allia /El Hadjira</v>
      </c>
      <c r="M52" t="str">
        <f t="shared" si="13"/>
        <v>El Allia /El Hadjira / TOUGGOURT</v>
      </c>
      <c r="N52" t="s">
        <v>529</v>
      </c>
      <c r="O52" t="str">
        <f t="shared" si="8"/>
        <v>126+057</v>
      </c>
      <c r="P52" t="str">
        <f t="shared" si="9"/>
        <v>110</v>
      </c>
      <c r="Q52" t="str">
        <f t="shared" si="10"/>
        <v>126</v>
      </c>
      <c r="R52" t="str">
        <f t="shared" si="11"/>
        <v>057</v>
      </c>
      <c r="S52">
        <f t="shared" si="12"/>
        <v>126057</v>
      </c>
      <c r="T52">
        <f t="shared" si="6"/>
        <v>126.057</v>
      </c>
    </row>
    <row r="53" spans="1:20" ht="24.95" customHeight="1" x14ac:dyDescent="0.3">
      <c r="A53" s="1">
        <v>51</v>
      </c>
      <c r="B53" s="33" t="s">
        <v>483</v>
      </c>
      <c r="C53" s="1">
        <v>3</v>
      </c>
      <c r="D53" s="6" t="s">
        <v>32</v>
      </c>
      <c r="E53" s="33" t="s">
        <v>535</v>
      </c>
      <c r="F53" s="34">
        <v>190.56</v>
      </c>
      <c r="G53" s="35">
        <v>80</v>
      </c>
      <c r="I53" t="s">
        <v>494</v>
      </c>
      <c r="K53" t="s">
        <v>514</v>
      </c>
      <c r="L53" t="str">
        <f t="shared" si="0"/>
        <v>El M’rara</v>
      </c>
      <c r="M53" t="str">
        <f t="shared" si="13"/>
        <v>El M’rara / EL MEGHAÏER</v>
      </c>
      <c r="N53" t="s">
        <v>528</v>
      </c>
      <c r="O53" t="str">
        <f t="shared" si="8"/>
        <v>190+560</v>
      </c>
      <c r="P53" t="str">
        <f t="shared" si="9"/>
        <v>80</v>
      </c>
      <c r="Q53" t="str">
        <f t="shared" si="10"/>
        <v>190</v>
      </c>
      <c r="R53" t="str">
        <f t="shared" si="11"/>
        <v>560</v>
      </c>
      <c r="S53">
        <f t="shared" si="12"/>
        <v>190560</v>
      </c>
      <c r="T53">
        <f t="shared" si="6"/>
        <v>190.56</v>
      </c>
    </row>
    <row r="54" spans="1:20" ht="24.95" customHeight="1" x14ac:dyDescent="0.3">
      <c r="A54" s="1">
        <v>52</v>
      </c>
      <c r="B54" s="33" t="s">
        <v>484</v>
      </c>
      <c r="C54" s="1">
        <v>3</v>
      </c>
      <c r="D54" s="6" t="s">
        <v>32</v>
      </c>
      <c r="E54" s="33" t="s">
        <v>535</v>
      </c>
      <c r="F54" s="34">
        <v>190.56</v>
      </c>
      <c r="G54" s="35">
        <v>80</v>
      </c>
      <c r="I54" t="s">
        <v>494</v>
      </c>
      <c r="K54" t="s">
        <v>514</v>
      </c>
      <c r="L54" t="str">
        <f t="shared" si="0"/>
        <v>El M’rara</v>
      </c>
      <c r="M54" t="str">
        <f t="shared" si="13"/>
        <v>El M’rara / EL MEGHAÏER</v>
      </c>
      <c r="N54" t="s">
        <v>528</v>
      </c>
      <c r="O54" t="str">
        <f t="shared" si="8"/>
        <v>190+560</v>
      </c>
      <c r="P54" t="str">
        <f t="shared" si="9"/>
        <v>80</v>
      </c>
      <c r="Q54" t="str">
        <f t="shared" si="10"/>
        <v>190</v>
      </c>
      <c r="R54" t="str">
        <f t="shared" si="11"/>
        <v>560</v>
      </c>
      <c r="S54">
        <f t="shared" si="12"/>
        <v>190560</v>
      </c>
      <c r="T54">
        <f t="shared" si="6"/>
        <v>190.56</v>
      </c>
    </row>
    <row r="55" spans="1:20" ht="24.95" customHeight="1" x14ac:dyDescent="0.3">
      <c r="A55" s="1">
        <v>53</v>
      </c>
      <c r="B55" s="33" t="s">
        <v>485</v>
      </c>
      <c r="C55" s="1">
        <v>3</v>
      </c>
      <c r="D55" s="6" t="s">
        <v>32</v>
      </c>
      <c r="E55" s="33" t="s">
        <v>515</v>
      </c>
      <c r="F55" s="34">
        <v>233.40100000000001</v>
      </c>
      <c r="G55" s="35">
        <v>80</v>
      </c>
      <c r="I55" t="s">
        <v>495</v>
      </c>
      <c r="K55" t="s">
        <v>515</v>
      </c>
      <c r="L55" t="str">
        <f t="shared" si="0"/>
        <v>El Meghaïer /El Meghaïer</v>
      </c>
      <c r="M55" t="str">
        <f t="shared" si="13"/>
        <v>El Meghaïer /El Meghaïer / EL MEGHAÏER</v>
      </c>
      <c r="N55" t="s">
        <v>528</v>
      </c>
      <c r="O55" t="str">
        <f t="shared" si="8"/>
        <v>233+401</v>
      </c>
      <c r="P55" t="str">
        <f t="shared" si="9"/>
        <v>80</v>
      </c>
      <c r="Q55" t="str">
        <f t="shared" si="10"/>
        <v>233</v>
      </c>
      <c r="R55" t="str">
        <f t="shared" si="11"/>
        <v>401</v>
      </c>
      <c r="S55">
        <f t="shared" si="12"/>
        <v>233401</v>
      </c>
      <c r="T55">
        <f t="shared" si="6"/>
        <v>233.40100000000001</v>
      </c>
    </row>
    <row r="56" spans="1:20" ht="24.95" customHeight="1" x14ac:dyDescent="0.3">
      <c r="A56" s="1">
        <v>54</v>
      </c>
      <c r="B56" s="33" t="s">
        <v>486</v>
      </c>
      <c r="C56" s="1">
        <v>3</v>
      </c>
      <c r="D56" s="6" t="s">
        <v>32</v>
      </c>
      <c r="E56" s="33" t="s">
        <v>516</v>
      </c>
      <c r="F56" s="34">
        <v>265.084</v>
      </c>
      <c r="G56" s="35">
        <v>100</v>
      </c>
      <c r="I56" t="s">
        <v>496</v>
      </c>
      <c r="K56" t="s">
        <v>516</v>
      </c>
      <c r="L56" t="str">
        <f t="shared" si="0"/>
        <v>Oum Touyour /El-Meghaïer</v>
      </c>
      <c r="M56" t="str">
        <f t="shared" si="13"/>
        <v>Oum Touyour /El-Meghaïer / EL MEGHAÏER</v>
      </c>
      <c r="N56" t="s">
        <v>528</v>
      </c>
      <c r="O56" t="str">
        <f t="shared" si="8"/>
        <v>265+084</v>
      </c>
      <c r="P56" t="str">
        <f t="shared" si="9"/>
        <v>100</v>
      </c>
      <c r="Q56" t="str">
        <f t="shared" si="10"/>
        <v>265</v>
      </c>
      <c r="R56" t="str">
        <f t="shared" si="11"/>
        <v>084</v>
      </c>
      <c r="S56">
        <f t="shared" si="12"/>
        <v>265084</v>
      </c>
      <c r="T56">
        <f t="shared" si="6"/>
        <v>265.084</v>
      </c>
    </row>
    <row r="57" spans="1:20" ht="24.95" customHeight="1" x14ac:dyDescent="0.3">
      <c r="A57" s="1">
        <v>55</v>
      </c>
      <c r="B57" s="33" t="s">
        <v>487</v>
      </c>
      <c r="C57" s="1">
        <v>3</v>
      </c>
      <c r="D57" s="6" t="s">
        <v>32</v>
      </c>
      <c r="E57" s="33" t="s">
        <v>536</v>
      </c>
      <c r="F57" s="34">
        <v>338.64299999999997</v>
      </c>
      <c r="G57" s="35">
        <v>190</v>
      </c>
      <c r="I57" t="s">
        <v>497</v>
      </c>
      <c r="K57" t="s">
        <v>517</v>
      </c>
      <c r="L57" t="str">
        <f t="shared" si="0"/>
        <v>Tolga</v>
      </c>
      <c r="M57" t="str">
        <f t="shared" si="13"/>
        <v>Tolga / BISKRA</v>
      </c>
      <c r="N57" t="s">
        <v>530</v>
      </c>
      <c r="O57" t="str">
        <f t="shared" si="8"/>
        <v>338+643</v>
      </c>
      <c r="P57" t="str">
        <f t="shared" si="9"/>
        <v>190</v>
      </c>
      <c r="Q57" t="str">
        <f t="shared" si="10"/>
        <v>338</v>
      </c>
      <c r="R57" t="str">
        <f t="shared" si="11"/>
        <v>643</v>
      </c>
      <c r="S57">
        <f t="shared" si="12"/>
        <v>338643</v>
      </c>
      <c r="T57">
        <f t="shared" si="6"/>
        <v>338.64299999999997</v>
      </c>
    </row>
    <row r="58" spans="1:20" ht="24.95" customHeight="1" x14ac:dyDescent="0.3">
      <c r="A58" s="1">
        <v>56</v>
      </c>
      <c r="B58" s="33" t="s">
        <v>378</v>
      </c>
      <c r="C58" s="1">
        <v>3</v>
      </c>
      <c r="D58" s="6" t="s">
        <v>32</v>
      </c>
      <c r="E58" s="33" t="s">
        <v>536</v>
      </c>
      <c r="F58" s="34">
        <v>338.64299999999997</v>
      </c>
      <c r="G58" s="35">
        <v>190</v>
      </c>
      <c r="I58" t="s">
        <v>497</v>
      </c>
      <c r="K58" t="s">
        <v>517</v>
      </c>
      <c r="L58" t="str">
        <f t="shared" si="0"/>
        <v>Tolga</v>
      </c>
      <c r="M58" t="str">
        <f t="shared" si="13"/>
        <v>Tolga / BISKRA</v>
      </c>
      <c r="N58" t="s">
        <v>530</v>
      </c>
      <c r="O58" t="str">
        <f t="shared" si="8"/>
        <v>338+643</v>
      </c>
      <c r="P58" t="str">
        <f t="shared" si="9"/>
        <v>190</v>
      </c>
      <c r="Q58" t="str">
        <f t="shared" si="10"/>
        <v>338</v>
      </c>
      <c r="R58" t="str">
        <f t="shared" si="11"/>
        <v>643</v>
      </c>
      <c r="S58">
        <f t="shared" si="12"/>
        <v>338643</v>
      </c>
      <c r="T58">
        <f t="shared" si="6"/>
        <v>338.64299999999997</v>
      </c>
    </row>
    <row r="59" spans="1:20" ht="24.95" customHeight="1" x14ac:dyDescent="0.3">
      <c r="A59" s="1">
        <v>57</v>
      </c>
      <c r="B59" s="33" t="s">
        <v>509</v>
      </c>
      <c r="C59" s="1">
        <v>3</v>
      </c>
      <c r="D59" s="6" t="s">
        <v>32</v>
      </c>
      <c r="E59" s="33" t="s">
        <v>537</v>
      </c>
      <c r="F59" s="34">
        <v>366.87</v>
      </c>
      <c r="G59" s="35">
        <v>310</v>
      </c>
      <c r="I59" t="s">
        <v>498</v>
      </c>
      <c r="K59" t="s">
        <v>518</v>
      </c>
      <c r="L59" t="str">
        <f t="shared" si="0"/>
        <v>Bitam</v>
      </c>
      <c r="M59" t="str">
        <f t="shared" si="13"/>
        <v>Bitam / BATNA</v>
      </c>
      <c r="N59" t="s">
        <v>531</v>
      </c>
      <c r="O59" t="str">
        <f t="shared" si="8"/>
        <v>366+870</v>
      </c>
      <c r="P59" t="str">
        <f t="shared" si="9"/>
        <v>310</v>
      </c>
      <c r="Q59" t="str">
        <f t="shared" si="10"/>
        <v>366</v>
      </c>
      <c r="R59" t="str">
        <f t="shared" si="11"/>
        <v>870</v>
      </c>
      <c r="S59">
        <f t="shared" si="12"/>
        <v>366870</v>
      </c>
      <c r="T59">
        <f t="shared" si="6"/>
        <v>366.87</v>
      </c>
    </row>
    <row r="60" spans="1:20" ht="24.95" customHeight="1" x14ac:dyDescent="0.3">
      <c r="A60" s="1">
        <v>58</v>
      </c>
      <c r="B60" s="33" t="s">
        <v>510</v>
      </c>
      <c r="C60" s="1">
        <v>3</v>
      </c>
      <c r="D60" s="6" t="s">
        <v>32</v>
      </c>
      <c r="E60" s="33" t="s">
        <v>537</v>
      </c>
      <c r="F60" s="34">
        <v>396.85399999999998</v>
      </c>
      <c r="G60" s="35">
        <v>280</v>
      </c>
      <c r="I60" t="s">
        <v>499</v>
      </c>
      <c r="K60" t="s">
        <v>518</v>
      </c>
      <c r="L60" t="str">
        <f t="shared" si="0"/>
        <v>Bitam</v>
      </c>
      <c r="M60" t="str">
        <f t="shared" si="13"/>
        <v>Bitam / BATNA</v>
      </c>
      <c r="N60" t="s">
        <v>531</v>
      </c>
      <c r="O60" t="str">
        <f t="shared" si="8"/>
        <v>396+854</v>
      </c>
      <c r="P60" t="str">
        <f t="shared" si="9"/>
        <v>280</v>
      </c>
      <c r="Q60" t="str">
        <f t="shared" si="10"/>
        <v>396</v>
      </c>
      <c r="R60" t="str">
        <f t="shared" si="11"/>
        <v>854</v>
      </c>
      <c r="S60">
        <f t="shared" si="12"/>
        <v>396854</v>
      </c>
      <c r="T60">
        <f t="shared" si="6"/>
        <v>396.85399999999998</v>
      </c>
    </row>
    <row r="61" spans="1:20" ht="24.95" customHeight="1" x14ac:dyDescent="0.3">
      <c r="A61" s="1">
        <v>59</v>
      </c>
      <c r="B61" s="33" t="s">
        <v>379</v>
      </c>
      <c r="C61" s="1">
        <v>3</v>
      </c>
      <c r="D61" s="6" t="s">
        <v>32</v>
      </c>
      <c r="E61" s="33" t="s">
        <v>538</v>
      </c>
      <c r="F61" s="34">
        <v>431.42700000000002</v>
      </c>
      <c r="G61" s="35">
        <v>640</v>
      </c>
      <c r="I61" t="s">
        <v>500</v>
      </c>
      <c r="K61" t="s">
        <v>519</v>
      </c>
      <c r="L61" t="str">
        <f t="shared" si="0"/>
        <v>Boumagueur</v>
      </c>
      <c r="M61" t="str">
        <f t="shared" si="13"/>
        <v>Boumagueur / BATNA</v>
      </c>
      <c r="N61" t="s">
        <v>531</v>
      </c>
      <c r="O61" t="str">
        <f t="shared" si="8"/>
        <v>431+427</v>
      </c>
      <c r="P61" t="str">
        <f t="shared" si="9"/>
        <v>640</v>
      </c>
      <c r="Q61" t="str">
        <f t="shared" si="10"/>
        <v>431</v>
      </c>
      <c r="R61" t="str">
        <f t="shared" si="11"/>
        <v>427</v>
      </c>
      <c r="S61">
        <f t="shared" si="12"/>
        <v>431427</v>
      </c>
      <c r="T61">
        <f t="shared" si="6"/>
        <v>431.42700000000002</v>
      </c>
    </row>
    <row r="62" spans="1:20" ht="24.95" customHeight="1" x14ac:dyDescent="0.3">
      <c r="A62" s="1">
        <v>60</v>
      </c>
      <c r="B62" s="33" t="s">
        <v>380</v>
      </c>
      <c r="C62" s="1">
        <v>3</v>
      </c>
      <c r="D62" s="6" t="s">
        <v>32</v>
      </c>
      <c r="E62" s="33" t="s">
        <v>538</v>
      </c>
      <c r="F62" s="34">
        <v>431.42700000000002</v>
      </c>
      <c r="G62" s="35">
        <v>640</v>
      </c>
      <c r="I62" t="s">
        <v>500</v>
      </c>
      <c r="K62" t="s">
        <v>519</v>
      </c>
      <c r="L62" t="str">
        <f t="shared" si="0"/>
        <v>Boumagueur</v>
      </c>
      <c r="M62" t="str">
        <f t="shared" si="13"/>
        <v>Boumagueur / BATNA</v>
      </c>
      <c r="N62" t="s">
        <v>531</v>
      </c>
      <c r="O62" t="str">
        <f t="shared" si="8"/>
        <v>431+427</v>
      </c>
      <c r="P62" t="str">
        <f t="shared" si="9"/>
        <v>640</v>
      </c>
      <c r="Q62" t="str">
        <f t="shared" si="10"/>
        <v>431</v>
      </c>
      <c r="R62" t="str">
        <f t="shared" si="11"/>
        <v>427</v>
      </c>
      <c r="S62">
        <f t="shared" si="12"/>
        <v>431427</v>
      </c>
      <c r="T62">
        <f t="shared" si="6"/>
        <v>431.42700000000002</v>
      </c>
    </row>
    <row r="63" spans="1:20" ht="24.95" customHeight="1" x14ac:dyDescent="0.3">
      <c r="A63" s="1">
        <v>61</v>
      </c>
      <c r="B63" s="33" t="s">
        <v>381</v>
      </c>
      <c r="C63" s="1">
        <v>3</v>
      </c>
      <c r="D63" s="6" t="s">
        <v>32</v>
      </c>
      <c r="E63" s="33" t="s">
        <v>539</v>
      </c>
      <c r="F63" s="34">
        <v>463.12099999999998</v>
      </c>
      <c r="G63" s="35">
        <v>930</v>
      </c>
      <c r="I63" t="s">
        <v>501</v>
      </c>
      <c r="K63" t="s">
        <v>520</v>
      </c>
      <c r="L63" t="str">
        <f t="shared" si="0"/>
        <v>Lemsane</v>
      </c>
      <c r="M63" t="str">
        <f t="shared" si="13"/>
        <v>Lemsane / BATNA</v>
      </c>
      <c r="N63" t="s">
        <v>531</v>
      </c>
      <c r="O63" t="str">
        <f t="shared" si="8"/>
        <v>463+121</v>
      </c>
      <c r="P63" t="str">
        <f t="shared" si="9"/>
        <v>930</v>
      </c>
      <c r="Q63" t="str">
        <f t="shared" si="10"/>
        <v>463</v>
      </c>
      <c r="R63" t="str">
        <f t="shared" si="11"/>
        <v>121</v>
      </c>
      <c r="S63">
        <f t="shared" si="12"/>
        <v>463121</v>
      </c>
      <c r="T63">
        <f t="shared" si="6"/>
        <v>463.12099999999998</v>
      </c>
    </row>
    <row r="64" spans="1:20" ht="24.95" customHeight="1" x14ac:dyDescent="0.3">
      <c r="A64" s="1">
        <v>62</v>
      </c>
      <c r="B64" s="33" t="s">
        <v>382</v>
      </c>
      <c r="C64" s="1">
        <v>3</v>
      </c>
      <c r="D64" s="6" t="s">
        <v>32</v>
      </c>
      <c r="E64" s="33" t="s">
        <v>540</v>
      </c>
      <c r="F64" s="34">
        <v>494.38600000000002</v>
      </c>
      <c r="G64" s="35">
        <v>950</v>
      </c>
      <c r="I64" t="s">
        <v>502</v>
      </c>
      <c r="K64" t="s">
        <v>521</v>
      </c>
      <c r="L64" t="str">
        <f t="shared" si="0"/>
        <v>Ain Djasser</v>
      </c>
      <c r="M64" t="str">
        <f t="shared" si="13"/>
        <v>Ain Djasser / BATNA</v>
      </c>
      <c r="N64" t="s">
        <v>531</v>
      </c>
      <c r="O64" t="str">
        <f t="shared" si="8"/>
        <v>494+386</v>
      </c>
      <c r="P64" t="str">
        <f t="shared" si="9"/>
        <v>950</v>
      </c>
      <c r="Q64" t="str">
        <f t="shared" si="10"/>
        <v>494</v>
      </c>
      <c r="R64" t="str">
        <f t="shared" si="11"/>
        <v>386</v>
      </c>
      <c r="S64">
        <f t="shared" si="12"/>
        <v>494386</v>
      </c>
      <c r="T64">
        <f t="shared" si="6"/>
        <v>494.38600000000002</v>
      </c>
    </row>
    <row r="65" spans="1:20" ht="24.95" customHeight="1" x14ac:dyDescent="0.3">
      <c r="A65" s="1">
        <v>63</v>
      </c>
      <c r="B65" s="33" t="s">
        <v>488</v>
      </c>
      <c r="C65" s="1">
        <v>3</v>
      </c>
      <c r="D65" s="6" t="s">
        <v>32</v>
      </c>
      <c r="E65" s="33" t="s">
        <v>541</v>
      </c>
      <c r="F65" s="34">
        <v>516.94600000000003</v>
      </c>
      <c r="G65" s="35">
        <v>830</v>
      </c>
      <c r="I65" t="s">
        <v>503</v>
      </c>
      <c r="K65" t="s">
        <v>522</v>
      </c>
      <c r="L65" t="str">
        <f t="shared" si="0"/>
        <v>M'chira</v>
      </c>
      <c r="M65" t="str">
        <f t="shared" si="13"/>
        <v>M'chira / MILA</v>
      </c>
      <c r="N65" t="s">
        <v>532</v>
      </c>
      <c r="O65" t="str">
        <f t="shared" si="8"/>
        <v>516+946</v>
      </c>
      <c r="P65" t="str">
        <f t="shared" si="9"/>
        <v>830</v>
      </c>
      <c r="Q65" t="str">
        <f t="shared" si="10"/>
        <v>516</v>
      </c>
      <c r="R65" t="str">
        <f t="shared" si="11"/>
        <v>946</v>
      </c>
      <c r="S65">
        <f t="shared" si="12"/>
        <v>516946</v>
      </c>
      <c r="T65">
        <f t="shared" si="6"/>
        <v>516.94600000000003</v>
      </c>
    </row>
    <row r="66" spans="1:20" ht="24.95" customHeight="1" x14ac:dyDescent="0.3">
      <c r="A66" s="1">
        <v>64</v>
      </c>
      <c r="B66" s="33" t="s">
        <v>383</v>
      </c>
      <c r="C66" s="1">
        <v>3</v>
      </c>
      <c r="D66" s="6" t="s">
        <v>32</v>
      </c>
      <c r="E66" s="33" t="s">
        <v>542</v>
      </c>
      <c r="F66" s="34">
        <v>547.42700000000002</v>
      </c>
      <c r="G66" s="35">
        <v>670</v>
      </c>
      <c r="I66" t="s">
        <v>504</v>
      </c>
      <c r="K66" t="s">
        <v>523</v>
      </c>
      <c r="L66" t="str">
        <f t="shared" si="0"/>
        <v>Oued Seguen</v>
      </c>
      <c r="M66" t="str">
        <f t="shared" si="13"/>
        <v>Oued Seguen / MILA</v>
      </c>
      <c r="N66" t="s">
        <v>532</v>
      </c>
      <c r="O66" t="str">
        <f t="shared" si="8"/>
        <v>547+427</v>
      </c>
      <c r="P66" t="str">
        <f t="shared" si="9"/>
        <v>670</v>
      </c>
      <c r="Q66" t="str">
        <f t="shared" si="10"/>
        <v>547</v>
      </c>
      <c r="R66" t="str">
        <f t="shared" si="11"/>
        <v>427</v>
      </c>
      <c r="S66">
        <f t="shared" si="12"/>
        <v>547427</v>
      </c>
      <c r="T66">
        <f t="shared" si="6"/>
        <v>547.42700000000002</v>
      </c>
    </row>
    <row r="67" spans="1:20" ht="24.95" customHeight="1" x14ac:dyDescent="0.3">
      <c r="A67" s="1">
        <v>65</v>
      </c>
      <c r="B67" s="33" t="s">
        <v>384</v>
      </c>
      <c r="C67" s="1">
        <v>3</v>
      </c>
      <c r="D67" s="6" t="s">
        <v>32</v>
      </c>
      <c r="E67" s="33" t="s">
        <v>543</v>
      </c>
      <c r="F67" s="34">
        <v>576.28499999999997</v>
      </c>
      <c r="G67" s="35">
        <v>600</v>
      </c>
      <c r="I67" t="s">
        <v>505</v>
      </c>
      <c r="K67" t="s">
        <v>524</v>
      </c>
      <c r="L67" t="str">
        <f t="shared" si="0"/>
        <v>Constantine</v>
      </c>
      <c r="M67" t="str">
        <f t="shared" si="13"/>
        <v>Constantine / CONSTANTINE</v>
      </c>
      <c r="N67" t="s">
        <v>533</v>
      </c>
      <c r="O67" t="str">
        <f t="shared" si="8"/>
        <v>576+285</v>
      </c>
      <c r="P67" t="str">
        <f t="shared" si="9"/>
        <v>600</v>
      </c>
      <c r="Q67" t="str">
        <f t="shared" si="10"/>
        <v>576</v>
      </c>
      <c r="R67" t="str">
        <f t="shared" si="11"/>
        <v>285</v>
      </c>
      <c r="S67">
        <f t="shared" si="12"/>
        <v>576285</v>
      </c>
      <c r="T67">
        <f t="shared" si="6"/>
        <v>576.28499999999997</v>
      </c>
    </row>
    <row r="68" spans="1:20" ht="24.95" customHeight="1" x14ac:dyDescent="0.3">
      <c r="A68" s="1">
        <v>66</v>
      </c>
      <c r="B68" s="33" t="s">
        <v>489</v>
      </c>
      <c r="C68" s="1">
        <v>3</v>
      </c>
      <c r="D68" s="6" t="s">
        <v>32</v>
      </c>
      <c r="E68" s="33" t="s">
        <v>544</v>
      </c>
      <c r="F68" s="34">
        <v>596.13699999999994</v>
      </c>
      <c r="G68" s="35">
        <v>460</v>
      </c>
      <c r="I68" t="s">
        <v>506</v>
      </c>
      <c r="K68" t="s">
        <v>525</v>
      </c>
      <c r="L68" t="str">
        <f t="shared" ref="L68:L70" si="14">MID(K68, 1, SEARCH(" / ", K68) - 1)</f>
        <v>Zighoud Youcef</v>
      </c>
      <c r="M68" t="str">
        <f t="shared" si="13"/>
        <v>Zighoud Youcef / CONSTANTINE</v>
      </c>
      <c r="N68" t="s">
        <v>533</v>
      </c>
      <c r="O68" t="str">
        <f t="shared" si="8"/>
        <v>596+137</v>
      </c>
      <c r="P68" t="str">
        <f t="shared" si="9"/>
        <v>460</v>
      </c>
      <c r="Q68" t="str">
        <f t="shared" si="10"/>
        <v>596</v>
      </c>
      <c r="R68" t="str">
        <f t="shared" si="11"/>
        <v>137</v>
      </c>
      <c r="S68">
        <f t="shared" si="12"/>
        <v>596137</v>
      </c>
      <c r="T68">
        <f t="shared" ref="T68:T184" si="15">S68/1000</f>
        <v>596.13699999999994</v>
      </c>
    </row>
    <row r="69" spans="1:20" ht="24.95" customHeight="1" x14ac:dyDescent="0.3">
      <c r="A69" s="1">
        <v>67</v>
      </c>
      <c r="B69" s="33" t="s">
        <v>385</v>
      </c>
      <c r="C69" s="1">
        <v>3</v>
      </c>
      <c r="D69" s="6" t="s">
        <v>32</v>
      </c>
      <c r="E69" s="33" t="s">
        <v>545</v>
      </c>
      <c r="F69" s="34">
        <v>615.01199999999994</v>
      </c>
      <c r="G69" s="35">
        <v>12</v>
      </c>
      <c r="I69" t="s">
        <v>507</v>
      </c>
      <c r="K69" t="s">
        <v>526</v>
      </c>
      <c r="L69" t="str">
        <f t="shared" si="14"/>
        <v>El Harrouch</v>
      </c>
      <c r="M69" t="str">
        <f t="shared" si="13"/>
        <v>El Harrouch / SKIKDA</v>
      </c>
      <c r="N69" t="s">
        <v>534</v>
      </c>
      <c r="O69" t="str">
        <f t="shared" si="8"/>
        <v>615+012</v>
      </c>
      <c r="P69" t="str">
        <f t="shared" si="9"/>
        <v>12</v>
      </c>
      <c r="Q69" t="str">
        <f t="shared" si="10"/>
        <v>615</v>
      </c>
      <c r="R69" t="str">
        <f t="shared" si="11"/>
        <v>012</v>
      </c>
      <c r="S69">
        <f t="shared" si="12"/>
        <v>615012</v>
      </c>
      <c r="T69">
        <f t="shared" si="15"/>
        <v>615.01199999999994</v>
      </c>
    </row>
    <row r="70" spans="1:20" ht="24.95" customHeight="1" x14ac:dyDescent="0.3">
      <c r="A70" s="1">
        <v>68</v>
      </c>
      <c r="B70" s="33" t="s">
        <v>386</v>
      </c>
      <c r="C70" s="1">
        <v>3</v>
      </c>
      <c r="D70" s="6" t="s">
        <v>32</v>
      </c>
      <c r="E70" s="33" t="s">
        <v>546</v>
      </c>
      <c r="F70" s="34">
        <v>646.74699999999996</v>
      </c>
      <c r="G70" s="35">
        <v>12</v>
      </c>
      <c r="I70" t="s">
        <v>508</v>
      </c>
      <c r="K70" t="s">
        <v>527</v>
      </c>
      <c r="L70" t="str">
        <f t="shared" si="14"/>
        <v>Hammadi Krouma</v>
      </c>
      <c r="M70" t="str">
        <f t="shared" si="13"/>
        <v>Hammadi Krouma / SKIKDA</v>
      </c>
      <c r="N70" t="s">
        <v>534</v>
      </c>
      <c r="O70" t="str">
        <f t="shared" si="8"/>
        <v>646+747</v>
      </c>
      <c r="P70" t="str">
        <f t="shared" si="9"/>
        <v>12</v>
      </c>
      <c r="Q70" t="str">
        <f t="shared" si="10"/>
        <v>646</v>
      </c>
      <c r="R70" t="str">
        <f t="shared" si="11"/>
        <v>747</v>
      </c>
      <c r="S70">
        <f t="shared" si="12"/>
        <v>646747</v>
      </c>
      <c r="T70">
        <f t="shared" si="15"/>
        <v>646.74699999999996</v>
      </c>
    </row>
    <row r="71" spans="1:20" ht="24.95" customHeight="1" x14ac:dyDescent="0.3">
      <c r="A71" s="1">
        <v>69</v>
      </c>
      <c r="B71" s="33" t="s">
        <v>479</v>
      </c>
      <c r="C71" s="1">
        <v>4</v>
      </c>
      <c r="D71" s="6" t="s">
        <v>73</v>
      </c>
      <c r="E71" s="33" t="s">
        <v>472</v>
      </c>
      <c r="F71" s="34">
        <v>64.447999999999993</v>
      </c>
      <c r="G71" s="35">
        <v>119.9</v>
      </c>
      <c r="I71" t="s">
        <v>562</v>
      </c>
      <c r="O71" t="str">
        <f t="shared" si="8"/>
        <v>64+448</v>
      </c>
      <c r="P71" t="str">
        <f t="shared" si="9"/>
        <v>119,90</v>
      </c>
      <c r="Q71" t="str">
        <f t="shared" si="10"/>
        <v>64</v>
      </c>
      <c r="R71" t="str">
        <f t="shared" si="11"/>
        <v>448</v>
      </c>
      <c r="S71">
        <f t="shared" si="12"/>
        <v>64448</v>
      </c>
      <c r="T71">
        <f t="shared" si="15"/>
        <v>64.447999999999993</v>
      </c>
    </row>
    <row r="72" spans="1:20" ht="24.95" customHeight="1" x14ac:dyDescent="0.3">
      <c r="A72" s="1">
        <v>70</v>
      </c>
      <c r="B72" s="33" t="s">
        <v>480</v>
      </c>
      <c r="C72" s="1">
        <v>4</v>
      </c>
      <c r="D72" s="6" t="s">
        <v>73</v>
      </c>
      <c r="E72" s="33" t="s">
        <v>557</v>
      </c>
      <c r="F72" s="34">
        <v>134.96</v>
      </c>
      <c r="G72" s="35">
        <v>89.5</v>
      </c>
      <c r="I72" t="s">
        <v>563</v>
      </c>
      <c r="O72" t="str">
        <f t="shared" ref="O72:O76" si="16">MID(I72, 1, SEARCH(" / ", I72) - 1)</f>
        <v>134+960</v>
      </c>
      <c r="P72" t="str">
        <f t="shared" ref="P72:P76" si="17">MID(I72, SEARCH(" / ", I72) + 3, LEN(I72))</f>
        <v>89,50</v>
      </c>
      <c r="Q72" t="str">
        <f t="shared" ref="Q72:Q76" si="18">MID(O72, 1, SEARCH("+", O72) - 1)</f>
        <v>134</v>
      </c>
      <c r="R72" t="str">
        <f t="shared" ref="R72:R76" si="19">MID(O72, SEARCH("+", O72) + 1, LEN(O72))</f>
        <v>960</v>
      </c>
      <c r="S72">
        <f t="shared" ref="S72:S76" si="20">Q72*1000+R72</f>
        <v>134960</v>
      </c>
      <c r="T72">
        <f t="shared" si="15"/>
        <v>134.96</v>
      </c>
    </row>
    <row r="73" spans="1:20" ht="24.95" customHeight="1" x14ac:dyDescent="0.3">
      <c r="A73" s="1">
        <v>71</v>
      </c>
      <c r="B73" s="33" t="s">
        <v>481</v>
      </c>
      <c r="C73" s="1">
        <v>4</v>
      </c>
      <c r="D73" s="6" t="s">
        <v>73</v>
      </c>
      <c r="E73" s="33" t="s">
        <v>558</v>
      </c>
      <c r="F73" s="34">
        <v>265.02999999999997</v>
      </c>
      <c r="G73" s="35">
        <v>82.82</v>
      </c>
      <c r="I73" t="s">
        <v>564</v>
      </c>
      <c r="O73" t="str">
        <f t="shared" si="16"/>
        <v>265+030</v>
      </c>
      <c r="P73" t="str">
        <f t="shared" si="17"/>
        <v>82,82</v>
      </c>
      <c r="Q73" t="str">
        <f t="shared" si="18"/>
        <v>265</v>
      </c>
      <c r="R73" t="str">
        <f t="shared" si="19"/>
        <v>030</v>
      </c>
      <c r="S73">
        <f t="shared" si="20"/>
        <v>265030</v>
      </c>
      <c r="T73">
        <f t="shared" si="15"/>
        <v>265.02999999999997</v>
      </c>
    </row>
    <row r="74" spans="1:20" ht="24.95" customHeight="1" x14ac:dyDescent="0.3">
      <c r="A74" s="1">
        <v>72</v>
      </c>
      <c r="B74" s="33" t="s">
        <v>482</v>
      </c>
      <c r="C74" s="1">
        <v>4</v>
      </c>
      <c r="D74" s="6" t="s">
        <v>73</v>
      </c>
      <c r="E74" s="33" t="s">
        <v>559</v>
      </c>
      <c r="F74" s="34">
        <v>313.54000000000002</v>
      </c>
      <c r="G74" s="35">
        <v>46.96</v>
      </c>
      <c r="I74" t="s">
        <v>565</v>
      </c>
      <c r="O74" t="str">
        <f t="shared" si="16"/>
        <v>313+540</v>
      </c>
      <c r="P74" t="str">
        <f t="shared" si="17"/>
        <v>46,960</v>
      </c>
      <c r="Q74" t="str">
        <f t="shared" si="18"/>
        <v>313</v>
      </c>
      <c r="R74" t="str">
        <f t="shared" si="19"/>
        <v>540</v>
      </c>
      <c r="S74">
        <f t="shared" si="20"/>
        <v>313540</v>
      </c>
      <c r="T74">
        <f t="shared" si="15"/>
        <v>313.54000000000002</v>
      </c>
    </row>
    <row r="75" spans="1:20" ht="24.95" customHeight="1" x14ac:dyDescent="0.3">
      <c r="A75" s="1">
        <v>73</v>
      </c>
      <c r="B75" s="33" t="s">
        <v>556</v>
      </c>
      <c r="C75" s="1">
        <v>4</v>
      </c>
      <c r="D75" s="6" t="s">
        <v>73</v>
      </c>
      <c r="E75" s="33" t="s">
        <v>560</v>
      </c>
      <c r="F75" s="34">
        <v>373.43099999999998</v>
      </c>
      <c r="G75" s="35">
        <v>294.27699999999999</v>
      </c>
      <c r="I75" t="s">
        <v>566</v>
      </c>
      <c r="O75" t="str">
        <f t="shared" si="16"/>
        <v>373+431</v>
      </c>
      <c r="P75" t="str">
        <f t="shared" si="17"/>
        <v>294,277</v>
      </c>
      <c r="Q75" t="str">
        <f t="shared" si="18"/>
        <v>373</v>
      </c>
      <c r="R75" t="str">
        <f t="shared" si="19"/>
        <v>431</v>
      </c>
      <c r="S75">
        <f t="shared" si="20"/>
        <v>373431</v>
      </c>
      <c r="T75">
        <f t="shared" si="15"/>
        <v>373.43099999999998</v>
      </c>
    </row>
    <row r="76" spans="1:20" ht="24.95" customHeight="1" x14ac:dyDescent="0.3">
      <c r="A76" s="1">
        <v>74</v>
      </c>
      <c r="B76" s="33" t="s">
        <v>483</v>
      </c>
      <c r="C76" s="1">
        <v>4</v>
      </c>
      <c r="D76" s="6" t="s">
        <v>73</v>
      </c>
      <c r="E76" s="33" t="s">
        <v>561</v>
      </c>
      <c r="F76" s="34">
        <v>449.6</v>
      </c>
      <c r="G76" s="35">
        <v>419.75</v>
      </c>
      <c r="I76" t="s">
        <v>567</v>
      </c>
      <c r="O76" t="str">
        <f t="shared" si="16"/>
        <v>449+600</v>
      </c>
      <c r="P76" t="str">
        <f t="shared" si="17"/>
        <v>419,750</v>
      </c>
      <c r="Q76" t="str">
        <f t="shared" si="18"/>
        <v>449</v>
      </c>
      <c r="R76" t="str">
        <f t="shared" si="19"/>
        <v>600</v>
      </c>
      <c r="S76">
        <f t="shared" si="20"/>
        <v>449600</v>
      </c>
      <c r="T76">
        <f t="shared" si="15"/>
        <v>449.6</v>
      </c>
    </row>
    <row r="77" spans="1:20" ht="24.95" customHeight="1" x14ac:dyDescent="0.3">
      <c r="A77" s="1">
        <v>75</v>
      </c>
      <c r="B77" s="33" t="s">
        <v>479</v>
      </c>
      <c r="C77" s="1">
        <v>5</v>
      </c>
      <c r="D77" s="6" t="s">
        <v>74</v>
      </c>
      <c r="E77" s="33" t="s">
        <v>568</v>
      </c>
      <c r="F77" s="34">
        <v>18.920000000000002</v>
      </c>
      <c r="G77" s="35">
        <v>429</v>
      </c>
      <c r="I77" t="s">
        <v>575</v>
      </c>
      <c r="O77" t="str">
        <f t="shared" si="8"/>
        <v>18+920</v>
      </c>
      <c r="P77" t="str">
        <f t="shared" si="9"/>
        <v>429</v>
      </c>
      <c r="Q77" t="str">
        <f t="shared" si="10"/>
        <v>18</v>
      </c>
      <c r="R77" t="str">
        <f t="shared" si="11"/>
        <v>920</v>
      </c>
      <c r="S77">
        <f t="shared" si="12"/>
        <v>18920</v>
      </c>
      <c r="T77">
        <f t="shared" si="15"/>
        <v>18.920000000000002</v>
      </c>
    </row>
    <row r="78" spans="1:20" ht="24.95" customHeight="1" x14ac:dyDescent="0.3">
      <c r="A78" s="1">
        <v>76</v>
      </c>
      <c r="B78" s="33" t="s">
        <v>480</v>
      </c>
      <c r="C78" s="1">
        <v>5</v>
      </c>
      <c r="D78" s="6" t="s">
        <v>74</v>
      </c>
      <c r="E78" s="33" t="s">
        <v>569</v>
      </c>
      <c r="F78" s="34">
        <v>37.94</v>
      </c>
      <c r="G78" s="35">
        <v>594</v>
      </c>
      <c r="I78" t="s">
        <v>576</v>
      </c>
      <c r="O78" t="str">
        <f t="shared" ref="O78:O90" si="21">MID(I78, 1, SEARCH(" / ", I78) - 1)</f>
        <v>37+940</v>
      </c>
      <c r="P78" t="str">
        <f t="shared" ref="P78:P90" si="22">MID(I78, SEARCH(" / ", I78) + 3, LEN(I78))</f>
        <v>594</v>
      </c>
      <c r="Q78" t="str">
        <f t="shared" ref="Q78:Q90" si="23">MID(O78, 1, SEARCH("+", O78) - 1)</f>
        <v>37</v>
      </c>
      <c r="R78" t="str">
        <f t="shared" ref="R78:R90" si="24">MID(O78, SEARCH("+", O78) + 1, LEN(O78))</f>
        <v>940</v>
      </c>
      <c r="S78">
        <f t="shared" ref="S78:S90" si="25">Q78*1000+R78</f>
        <v>37940</v>
      </c>
      <c r="T78">
        <f t="shared" si="15"/>
        <v>37.94</v>
      </c>
    </row>
    <row r="79" spans="1:20" ht="24.95" customHeight="1" x14ac:dyDescent="0.3">
      <c r="A79" s="1">
        <v>77</v>
      </c>
      <c r="B79" s="33" t="s">
        <v>481</v>
      </c>
      <c r="C79" s="1">
        <v>5</v>
      </c>
      <c r="D79" s="6" t="s">
        <v>74</v>
      </c>
      <c r="E79" s="33" t="s">
        <v>570</v>
      </c>
      <c r="F79" s="34">
        <v>60.2</v>
      </c>
      <c r="G79" s="35">
        <v>733</v>
      </c>
      <c r="I79" t="s">
        <v>577</v>
      </c>
      <c r="O79" t="str">
        <f t="shared" si="21"/>
        <v>60+200</v>
      </c>
      <c r="P79" t="str">
        <f t="shared" si="22"/>
        <v>733</v>
      </c>
      <c r="Q79" t="str">
        <f t="shared" si="23"/>
        <v>60</v>
      </c>
      <c r="R79" t="str">
        <f t="shared" si="24"/>
        <v>200</v>
      </c>
      <c r="S79">
        <f t="shared" si="25"/>
        <v>60200</v>
      </c>
      <c r="T79">
        <f t="shared" si="15"/>
        <v>60.2</v>
      </c>
    </row>
    <row r="80" spans="1:20" ht="24.95" customHeight="1" x14ac:dyDescent="0.3">
      <c r="A80" s="1">
        <v>78</v>
      </c>
      <c r="B80" s="33" t="s">
        <v>482</v>
      </c>
      <c r="C80" s="1">
        <v>5</v>
      </c>
      <c r="D80" s="6" t="s">
        <v>74</v>
      </c>
      <c r="E80" s="33" t="s">
        <v>571</v>
      </c>
      <c r="F80" s="34">
        <v>78.84</v>
      </c>
      <c r="G80" s="35">
        <v>726</v>
      </c>
      <c r="I80" t="s">
        <v>578</v>
      </c>
      <c r="O80" t="str">
        <f t="shared" si="21"/>
        <v>78+840</v>
      </c>
      <c r="P80" t="str">
        <f t="shared" si="22"/>
        <v>726</v>
      </c>
      <c r="Q80" t="str">
        <f t="shared" si="23"/>
        <v>78</v>
      </c>
      <c r="R80" t="str">
        <f t="shared" si="24"/>
        <v>840</v>
      </c>
      <c r="S80">
        <f t="shared" si="25"/>
        <v>78840</v>
      </c>
      <c r="T80">
        <f t="shared" si="15"/>
        <v>78.84</v>
      </c>
    </row>
    <row r="81" spans="1:20" ht="24.95" customHeight="1" x14ac:dyDescent="0.3">
      <c r="A81" s="1">
        <v>79</v>
      </c>
      <c r="B81" s="33" t="s">
        <v>483</v>
      </c>
      <c r="C81" s="1">
        <v>5</v>
      </c>
      <c r="D81" s="6" t="s">
        <v>74</v>
      </c>
      <c r="E81" s="33" t="s">
        <v>572</v>
      </c>
      <c r="F81" s="34">
        <v>99.5</v>
      </c>
      <c r="G81" s="35">
        <v>451</v>
      </c>
      <c r="I81" t="s">
        <v>579</v>
      </c>
      <c r="O81" t="str">
        <f t="shared" si="21"/>
        <v>99+500</v>
      </c>
      <c r="P81" t="str">
        <f t="shared" si="22"/>
        <v>451</v>
      </c>
      <c r="Q81" t="str">
        <f t="shared" si="23"/>
        <v>99</v>
      </c>
      <c r="R81" t="str">
        <f t="shared" si="24"/>
        <v>500</v>
      </c>
      <c r="S81">
        <f t="shared" si="25"/>
        <v>99500</v>
      </c>
      <c r="T81">
        <f t="shared" si="15"/>
        <v>99.5</v>
      </c>
    </row>
    <row r="82" spans="1:20" ht="24.95" customHeight="1" x14ac:dyDescent="0.3">
      <c r="A82" s="1">
        <v>80</v>
      </c>
      <c r="B82" s="33" t="s">
        <v>484</v>
      </c>
      <c r="C82" s="1">
        <v>5</v>
      </c>
      <c r="D82" s="6" t="s">
        <v>74</v>
      </c>
      <c r="E82" s="33" t="s">
        <v>573</v>
      </c>
      <c r="F82" s="34">
        <v>123.82</v>
      </c>
      <c r="G82" s="35">
        <v>772</v>
      </c>
      <c r="I82" t="s">
        <v>580</v>
      </c>
      <c r="O82" t="str">
        <f t="shared" si="21"/>
        <v>123+820</v>
      </c>
      <c r="P82" t="str">
        <f t="shared" si="22"/>
        <v>772</v>
      </c>
      <c r="Q82" t="str">
        <f t="shared" si="23"/>
        <v>123</v>
      </c>
      <c r="R82" t="str">
        <f t="shared" si="24"/>
        <v>820</v>
      </c>
      <c r="S82">
        <f t="shared" si="25"/>
        <v>123820</v>
      </c>
      <c r="T82">
        <f t="shared" si="15"/>
        <v>123.82</v>
      </c>
    </row>
    <row r="83" spans="1:20" ht="24.95" customHeight="1" x14ac:dyDescent="0.3">
      <c r="A83" s="1">
        <v>81</v>
      </c>
      <c r="B83" s="33" t="s">
        <v>485</v>
      </c>
      <c r="C83" s="1">
        <v>5</v>
      </c>
      <c r="D83" s="6" t="s">
        <v>74</v>
      </c>
      <c r="E83" s="33" t="s">
        <v>574</v>
      </c>
      <c r="F83" s="34">
        <v>132.44999999999999</v>
      </c>
      <c r="G83" s="35">
        <v>84</v>
      </c>
      <c r="I83" t="s">
        <v>581</v>
      </c>
      <c r="O83" t="str">
        <f t="shared" si="21"/>
        <v>132+450</v>
      </c>
      <c r="P83" t="str">
        <f t="shared" si="22"/>
        <v>84</v>
      </c>
      <c r="Q83" t="str">
        <f t="shared" si="23"/>
        <v>132</v>
      </c>
      <c r="R83" t="str">
        <f t="shared" si="24"/>
        <v>450</v>
      </c>
      <c r="S83">
        <f t="shared" si="25"/>
        <v>132450</v>
      </c>
      <c r="T83">
        <f t="shared" si="15"/>
        <v>132.44999999999999</v>
      </c>
    </row>
    <row r="84" spans="1:20" ht="24.95" customHeight="1" x14ac:dyDescent="0.3">
      <c r="A84" s="1">
        <v>82</v>
      </c>
      <c r="B84" s="33" t="s">
        <v>479</v>
      </c>
      <c r="C84" s="1">
        <v>6</v>
      </c>
      <c r="D84" s="6" t="s">
        <v>34</v>
      </c>
      <c r="E84" s="33" t="s">
        <v>591</v>
      </c>
      <c r="F84" s="34">
        <v>54.1</v>
      </c>
      <c r="G84" s="35">
        <v>544</v>
      </c>
      <c r="I84" t="s">
        <v>584</v>
      </c>
      <c r="O84" t="str">
        <f t="shared" si="21"/>
        <v>54+100</v>
      </c>
      <c r="P84" t="str">
        <f t="shared" si="22"/>
        <v>544</v>
      </c>
      <c r="Q84" t="str">
        <f t="shared" si="23"/>
        <v>54</v>
      </c>
      <c r="R84" t="str">
        <f t="shared" si="24"/>
        <v>100</v>
      </c>
      <c r="S84">
        <f t="shared" si="25"/>
        <v>54100</v>
      </c>
      <c r="T84">
        <f t="shared" si="15"/>
        <v>54.1</v>
      </c>
    </row>
    <row r="85" spans="1:20" ht="24.95" customHeight="1" x14ac:dyDescent="0.3">
      <c r="A85" s="1">
        <v>83</v>
      </c>
      <c r="B85" s="33" t="s">
        <v>480</v>
      </c>
      <c r="C85" s="1">
        <v>6</v>
      </c>
      <c r="D85" s="6" t="s">
        <v>34</v>
      </c>
      <c r="E85" s="33" t="s">
        <v>591</v>
      </c>
      <c r="F85" s="34">
        <v>83.9</v>
      </c>
      <c r="G85" s="35">
        <v>662</v>
      </c>
      <c r="I85" t="s">
        <v>585</v>
      </c>
      <c r="O85" t="str">
        <f t="shared" si="21"/>
        <v>83+900</v>
      </c>
      <c r="P85" t="str">
        <f t="shared" si="22"/>
        <v>662</v>
      </c>
      <c r="Q85" t="str">
        <f t="shared" si="23"/>
        <v>83</v>
      </c>
      <c r="R85" t="str">
        <f t="shared" si="24"/>
        <v>900</v>
      </c>
      <c r="S85">
        <f t="shared" si="25"/>
        <v>83900</v>
      </c>
      <c r="T85">
        <f t="shared" si="15"/>
        <v>83.9</v>
      </c>
    </row>
    <row r="86" spans="1:20" ht="24.95" customHeight="1" x14ac:dyDescent="0.3">
      <c r="A86" s="1">
        <v>84</v>
      </c>
      <c r="B86" s="33" t="s">
        <v>481</v>
      </c>
      <c r="C86" s="1">
        <v>6</v>
      </c>
      <c r="D86" s="6" t="s">
        <v>34</v>
      </c>
      <c r="E86" s="33" t="s">
        <v>591</v>
      </c>
      <c r="F86" s="34">
        <v>123.1</v>
      </c>
      <c r="G86" s="35">
        <v>600</v>
      </c>
      <c r="I86" t="s">
        <v>586</v>
      </c>
      <c r="O86" t="str">
        <f t="shared" si="21"/>
        <v>123+100</v>
      </c>
      <c r="P86" t="str">
        <f t="shared" si="22"/>
        <v>600</v>
      </c>
      <c r="Q86" t="str">
        <f t="shared" si="23"/>
        <v>123</v>
      </c>
      <c r="R86" t="str">
        <f t="shared" si="24"/>
        <v>100</v>
      </c>
      <c r="S86">
        <f t="shared" si="25"/>
        <v>123100</v>
      </c>
      <c r="T86">
        <f t="shared" si="15"/>
        <v>123.1</v>
      </c>
    </row>
    <row r="87" spans="1:20" ht="24.95" customHeight="1" x14ac:dyDescent="0.3">
      <c r="A87" s="1">
        <v>85</v>
      </c>
      <c r="B87" s="33" t="s">
        <v>482</v>
      </c>
      <c r="C87" s="1">
        <v>6</v>
      </c>
      <c r="D87" s="6" t="s">
        <v>34</v>
      </c>
      <c r="E87" s="33" t="s">
        <v>583</v>
      </c>
      <c r="F87" s="34">
        <v>151</v>
      </c>
      <c r="G87" s="35">
        <v>525</v>
      </c>
      <c r="I87" t="s">
        <v>587</v>
      </c>
      <c r="O87" t="str">
        <f t="shared" si="21"/>
        <v>151+000</v>
      </c>
      <c r="P87" t="str">
        <f t="shared" si="22"/>
        <v>525</v>
      </c>
      <c r="Q87" t="str">
        <f t="shared" si="23"/>
        <v>151</v>
      </c>
      <c r="R87" t="str">
        <f t="shared" si="24"/>
        <v>000</v>
      </c>
      <c r="S87">
        <f t="shared" si="25"/>
        <v>151000</v>
      </c>
      <c r="T87">
        <f t="shared" si="15"/>
        <v>151</v>
      </c>
    </row>
    <row r="88" spans="1:20" ht="24.95" customHeight="1" x14ac:dyDescent="0.3">
      <c r="A88" s="1">
        <v>86</v>
      </c>
      <c r="B88" s="33" t="s">
        <v>483</v>
      </c>
      <c r="C88" s="1">
        <v>6</v>
      </c>
      <c r="D88" s="6" t="s">
        <v>34</v>
      </c>
      <c r="E88" s="33" t="s">
        <v>583</v>
      </c>
      <c r="F88" s="34">
        <v>210.1</v>
      </c>
      <c r="G88" s="35">
        <v>400</v>
      </c>
      <c r="I88" t="s">
        <v>588</v>
      </c>
      <c r="O88" t="str">
        <f t="shared" si="21"/>
        <v>210+100</v>
      </c>
      <c r="P88" t="str">
        <f t="shared" si="22"/>
        <v>400</v>
      </c>
      <c r="Q88" t="str">
        <f t="shared" si="23"/>
        <v>210</v>
      </c>
      <c r="R88" t="str">
        <f t="shared" si="24"/>
        <v>100</v>
      </c>
      <c r="S88">
        <f t="shared" si="25"/>
        <v>210100</v>
      </c>
      <c r="T88">
        <f t="shared" si="15"/>
        <v>210.1</v>
      </c>
    </row>
    <row r="89" spans="1:20" ht="24.95" customHeight="1" x14ac:dyDescent="0.3">
      <c r="A89" s="1">
        <v>87</v>
      </c>
      <c r="B89" s="33" t="s">
        <v>484</v>
      </c>
      <c r="C89" s="1">
        <v>6</v>
      </c>
      <c r="D89" s="6" t="s">
        <v>34</v>
      </c>
      <c r="E89" s="33" t="s">
        <v>583</v>
      </c>
      <c r="F89" s="34">
        <v>240.7</v>
      </c>
      <c r="G89" s="35">
        <v>315</v>
      </c>
      <c r="I89" t="s">
        <v>589</v>
      </c>
      <c r="O89" t="str">
        <f t="shared" si="21"/>
        <v>240+700</v>
      </c>
      <c r="P89" t="str">
        <f t="shared" si="22"/>
        <v>315</v>
      </c>
      <c r="Q89" t="str">
        <f t="shared" si="23"/>
        <v>240</v>
      </c>
      <c r="R89" t="str">
        <f t="shared" si="24"/>
        <v>700</v>
      </c>
      <c r="S89">
        <f t="shared" si="25"/>
        <v>240700</v>
      </c>
      <c r="T89">
        <f t="shared" si="15"/>
        <v>240.7</v>
      </c>
    </row>
    <row r="90" spans="1:20" ht="24.95" customHeight="1" x14ac:dyDescent="0.3">
      <c r="A90" s="1">
        <v>88</v>
      </c>
      <c r="B90" s="33" t="s">
        <v>485</v>
      </c>
      <c r="C90" s="1">
        <v>6</v>
      </c>
      <c r="D90" s="6" t="s">
        <v>34</v>
      </c>
      <c r="E90" s="33" t="s">
        <v>583</v>
      </c>
      <c r="F90" s="34">
        <v>263.89999999999998</v>
      </c>
      <c r="G90" s="35">
        <v>280</v>
      </c>
      <c r="I90" t="s">
        <v>590</v>
      </c>
      <c r="O90" t="str">
        <f t="shared" si="21"/>
        <v>263+900</v>
      </c>
      <c r="P90" t="str">
        <f t="shared" si="22"/>
        <v>280</v>
      </c>
      <c r="Q90" t="str">
        <f t="shared" si="23"/>
        <v>263</v>
      </c>
      <c r="R90" t="str">
        <f t="shared" si="24"/>
        <v>900</v>
      </c>
      <c r="S90">
        <f t="shared" si="25"/>
        <v>263900</v>
      </c>
      <c r="T90">
        <f t="shared" si="15"/>
        <v>263.89999999999998</v>
      </c>
    </row>
    <row r="91" spans="1:20" ht="24.95" customHeight="1" x14ac:dyDescent="0.3">
      <c r="A91" s="1"/>
      <c r="B91" s="33"/>
      <c r="C91" s="1">
        <v>7</v>
      </c>
      <c r="D91" s="6" t="s">
        <v>35</v>
      </c>
      <c r="E91" s="33"/>
      <c r="F91" s="32"/>
      <c r="G91" s="35"/>
      <c r="O91" t="e">
        <f t="shared" si="8"/>
        <v>#VALUE!</v>
      </c>
      <c r="P91" t="e">
        <f t="shared" si="9"/>
        <v>#VALUE!</v>
      </c>
      <c r="Q91" t="e">
        <f t="shared" si="10"/>
        <v>#VALUE!</v>
      </c>
      <c r="R91" t="e">
        <f t="shared" si="11"/>
        <v>#VALUE!</v>
      </c>
      <c r="S91" t="e">
        <f t="shared" si="12"/>
        <v>#VALUE!</v>
      </c>
      <c r="T91" t="e">
        <f t="shared" si="15"/>
        <v>#VALUE!</v>
      </c>
    </row>
    <row r="92" spans="1:20" ht="24.95" customHeight="1" x14ac:dyDescent="0.3">
      <c r="A92" s="1"/>
      <c r="B92" s="33" t="s">
        <v>479</v>
      </c>
      <c r="C92" s="1">
        <v>8</v>
      </c>
      <c r="D92" s="6" t="s">
        <v>75</v>
      </c>
      <c r="E92" s="33" t="s">
        <v>594</v>
      </c>
      <c r="F92" s="34">
        <v>32.4</v>
      </c>
      <c r="G92" s="35">
        <v>224</v>
      </c>
      <c r="I92" t="s">
        <v>598</v>
      </c>
      <c r="O92" t="str">
        <f t="shared" si="8"/>
        <v>32+400</v>
      </c>
      <c r="P92" t="str">
        <f t="shared" si="9"/>
        <v>224</v>
      </c>
      <c r="Q92" t="str">
        <f t="shared" si="10"/>
        <v>32</v>
      </c>
      <c r="R92" t="str">
        <f t="shared" si="11"/>
        <v>400</v>
      </c>
      <c r="S92">
        <f t="shared" si="12"/>
        <v>32400</v>
      </c>
      <c r="T92">
        <f t="shared" si="15"/>
        <v>32.4</v>
      </c>
    </row>
    <row r="93" spans="1:20" ht="24.95" customHeight="1" x14ac:dyDescent="0.3">
      <c r="A93" s="1"/>
      <c r="B93" s="33" t="s">
        <v>480</v>
      </c>
      <c r="C93" s="1">
        <v>8</v>
      </c>
      <c r="D93" s="6" t="s">
        <v>75</v>
      </c>
      <c r="E93" s="33" t="s">
        <v>594</v>
      </c>
      <c r="F93" s="34">
        <v>74.8</v>
      </c>
      <c r="G93" s="35">
        <v>195</v>
      </c>
      <c r="I93" t="s">
        <v>599</v>
      </c>
      <c r="O93" t="str">
        <f t="shared" ref="O93:O105" si="26">MID(I93, 1, SEARCH(" / ", I93) - 1)</f>
        <v>74+800</v>
      </c>
      <c r="P93" t="str">
        <f t="shared" ref="P93:P105" si="27">MID(I93, SEARCH(" / ", I93) + 3, LEN(I93))</f>
        <v>195</v>
      </c>
      <c r="Q93" t="str">
        <f t="shared" ref="Q93:Q105" si="28">MID(O93, 1, SEARCH("+", O93) - 1)</f>
        <v>74</v>
      </c>
      <c r="R93" t="str">
        <f t="shared" ref="R93:R105" si="29">MID(O93, SEARCH("+", O93) + 1, LEN(O93))</f>
        <v>800</v>
      </c>
      <c r="S93">
        <f t="shared" ref="S93:S105" si="30">Q93*1000+R93</f>
        <v>74800</v>
      </c>
      <c r="T93">
        <f t="shared" ref="T93:T105" si="31">S93/1000</f>
        <v>74.8</v>
      </c>
    </row>
    <row r="94" spans="1:20" ht="24.95" customHeight="1" x14ac:dyDescent="0.3">
      <c r="A94" s="1"/>
      <c r="B94" s="33" t="s">
        <v>481</v>
      </c>
      <c r="C94" s="1">
        <v>8</v>
      </c>
      <c r="D94" s="6" t="s">
        <v>75</v>
      </c>
      <c r="E94" s="33" t="s">
        <v>594</v>
      </c>
      <c r="F94" s="34">
        <v>144.80000000000001</v>
      </c>
      <c r="G94" s="35">
        <v>162</v>
      </c>
      <c r="I94" t="s">
        <v>600</v>
      </c>
      <c r="O94" t="str">
        <f t="shared" si="26"/>
        <v>144+800</v>
      </c>
      <c r="P94" t="str">
        <f t="shared" si="27"/>
        <v>162</v>
      </c>
      <c r="Q94" t="str">
        <f t="shared" si="28"/>
        <v>144</v>
      </c>
      <c r="R94" t="str">
        <f t="shared" si="29"/>
        <v>800</v>
      </c>
      <c r="S94">
        <f t="shared" si="30"/>
        <v>144800</v>
      </c>
      <c r="T94">
        <f t="shared" si="31"/>
        <v>144.80000000000001</v>
      </c>
    </row>
    <row r="95" spans="1:20" ht="24.95" customHeight="1" x14ac:dyDescent="0.3">
      <c r="A95" s="1"/>
      <c r="B95" s="33" t="s">
        <v>482</v>
      </c>
      <c r="C95" s="1">
        <v>8</v>
      </c>
      <c r="D95" s="6" t="s">
        <v>75</v>
      </c>
      <c r="E95" s="33" t="s">
        <v>594</v>
      </c>
      <c r="F95" s="34">
        <v>239.2</v>
      </c>
      <c r="G95" s="35">
        <v>162</v>
      </c>
      <c r="I95" t="s">
        <v>601</v>
      </c>
      <c r="O95" t="str">
        <f t="shared" si="26"/>
        <v>239+200</v>
      </c>
      <c r="P95" t="str">
        <f t="shared" si="27"/>
        <v>162</v>
      </c>
      <c r="Q95" t="str">
        <f t="shared" si="28"/>
        <v>239</v>
      </c>
      <c r="R95" t="str">
        <f t="shared" si="29"/>
        <v>200</v>
      </c>
      <c r="S95">
        <f t="shared" si="30"/>
        <v>239200</v>
      </c>
      <c r="T95">
        <f t="shared" si="31"/>
        <v>239.2</v>
      </c>
    </row>
    <row r="96" spans="1:20" ht="24.95" customHeight="1" x14ac:dyDescent="0.3">
      <c r="A96" s="1"/>
      <c r="B96" s="33" t="s">
        <v>479</v>
      </c>
      <c r="C96" s="1" t="s">
        <v>596</v>
      </c>
      <c r="D96" s="6" t="s">
        <v>597</v>
      </c>
      <c r="E96" s="33" t="s">
        <v>594</v>
      </c>
      <c r="F96" s="34">
        <v>25.238</v>
      </c>
      <c r="G96" s="35">
        <v>211</v>
      </c>
      <c r="I96" t="s">
        <v>602</v>
      </c>
      <c r="O96" t="str">
        <f t="shared" si="26"/>
        <v>25+238</v>
      </c>
      <c r="P96" t="str">
        <f t="shared" si="27"/>
        <v>211</v>
      </c>
      <c r="Q96" t="str">
        <f t="shared" si="28"/>
        <v>25</v>
      </c>
      <c r="R96" t="str">
        <f t="shared" si="29"/>
        <v>238</v>
      </c>
      <c r="S96">
        <f t="shared" si="30"/>
        <v>25238</v>
      </c>
      <c r="T96">
        <f t="shared" si="31"/>
        <v>25.238</v>
      </c>
    </row>
    <row r="97" spans="1:20" ht="24.95" customHeight="1" x14ac:dyDescent="0.3">
      <c r="A97" s="1"/>
      <c r="B97" s="33" t="s">
        <v>480</v>
      </c>
      <c r="C97" s="1" t="s">
        <v>596</v>
      </c>
      <c r="D97" s="6" t="s">
        <v>597</v>
      </c>
      <c r="E97" s="33" t="s">
        <v>594</v>
      </c>
      <c r="F97" s="34">
        <v>50.671999999999997</v>
      </c>
      <c r="G97" s="35">
        <v>197</v>
      </c>
      <c r="I97" t="s">
        <v>603</v>
      </c>
      <c r="O97" t="str">
        <f t="shared" si="26"/>
        <v>50+672</v>
      </c>
      <c r="P97" t="str">
        <f t="shared" si="27"/>
        <v>197</v>
      </c>
      <c r="Q97" t="str">
        <f t="shared" si="28"/>
        <v>50</v>
      </c>
      <c r="R97" t="str">
        <f t="shared" si="29"/>
        <v>672</v>
      </c>
      <c r="S97">
        <f t="shared" si="30"/>
        <v>50672</v>
      </c>
      <c r="T97">
        <f t="shared" si="31"/>
        <v>50.671999999999997</v>
      </c>
    </row>
    <row r="98" spans="1:20" ht="24.95" customHeight="1" x14ac:dyDescent="0.3">
      <c r="A98" s="1"/>
      <c r="B98" s="33" t="s">
        <v>481</v>
      </c>
      <c r="C98" s="1" t="s">
        <v>596</v>
      </c>
      <c r="D98" s="6" t="s">
        <v>597</v>
      </c>
      <c r="E98" s="33" t="s">
        <v>594</v>
      </c>
      <c r="F98" s="34">
        <v>74.968999999999994</v>
      </c>
      <c r="G98" s="35">
        <v>200</v>
      </c>
      <c r="I98" t="s">
        <v>604</v>
      </c>
      <c r="O98" t="str">
        <f t="shared" si="26"/>
        <v>74+969</v>
      </c>
      <c r="P98" t="str">
        <f t="shared" si="27"/>
        <v>200</v>
      </c>
      <c r="Q98" t="str">
        <f t="shared" si="28"/>
        <v>74</v>
      </c>
      <c r="R98" t="str">
        <f t="shared" si="29"/>
        <v>969</v>
      </c>
      <c r="S98">
        <f t="shared" si="30"/>
        <v>74969</v>
      </c>
      <c r="T98">
        <f t="shared" si="31"/>
        <v>74.968999999999994</v>
      </c>
    </row>
    <row r="99" spans="1:20" ht="24.95" customHeight="1" x14ac:dyDescent="0.3">
      <c r="A99" s="1"/>
      <c r="B99" s="33" t="s">
        <v>482</v>
      </c>
      <c r="C99" s="1" t="s">
        <v>596</v>
      </c>
      <c r="D99" s="6" t="s">
        <v>597</v>
      </c>
      <c r="E99" s="33" t="s">
        <v>594</v>
      </c>
      <c r="F99" s="34">
        <v>102.209</v>
      </c>
      <c r="G99" s="35">
        <v>166</v>
      </c>
      <c r="I99" t="s">
        <v>605</v>
      </c>
      <c r="O99" t="str">
        <f t="shared" si="26"/>
        <v>102+209</v>
      </c>
      <c r="P99" t="str">
        <f t="shared" si="27"/>
        <v>166</v>
      </c>
      <c r="Q99" t="str">
        <f t="shared" si="28"/>
        <v>102</v>
      </c>
      <c r="R99" t="str">
        <f t="shared" si="29"/>
        <v>209</v>
      </c>
      <c r="S99">
        <f t="shared" si="30"/>
        <v>102209</v>
      </c>
      <c r="T99">
        <f t="shared" si="31"/>
        <v>102.209</v>
      </c>
    </row>
    <row r="100" spans="1:20" ht="24.95" customHeight="1" x14ac:dyDescent="0.3">
      <c r="A100" s="1"/>
      <c r="B100" s="33" t="s">
        <v>483</v>
      </c>
      <c r="C100" s="1" t="s">
        <v>596</v>
      </c>
      <c r="D100" s="6" t="s">
        <v>597</v>
      </c>
      <c r="E100" s="33" t="s">
        <v>594</v>
      </c>
      <c r="F100" s="34">
        <v>119.709</v>
      </c>
      <c r="G100" s="35">
        <v>162</v>
      </c>
      <c r="I100" t="s">
        <v>606</v>
      </c>
      <c r="O100" t="str">
        <f t="shared" si="26"/>
        <v>119+709</v>
      </c>
      <c r="P100" t="str">
        <f t="shared" si="27"/>
        <v>162</v>
      </c>
      <c r="Q100" t="str">
        <f t="shared" si="28"/>
        <v>119</v>
      </c>
      <c r="R100" t="str">
        <f t="shared" si="29"/>
        <v>709</v>
      </c>
      <c r="S100">
        <f t="shared" si="30"/>
        <v>119709</v>
      </c>
      <c r="T100">
        <f t="shared" si="31"/>
        <v>119.709</v>
      </c>
    </row>
    <row r="101" spans="1:20" ht="24.95" customHeight="1" x14ac:dyDescent="0.3">
      <c r="A101" s="1"/>
      <c r="B101" s="33" t="s">
        <v>484</v>
      </c>
      <c r="C101" s="1" t="s">
        <v>596</v>
      </c>
      <c r="D101" s="6" t="s">
        <v>597</v>
      </c>
      <c r="E101" s="33" t="s">
        <v>594</v>
      </c>
      <c r="F101" s="34">
        <v>159.51300000000001</v>
      </c>
      <c r="G101" s="35">
        <v>155</v>
      </c>
      <c r="I101" t="s">
        <v>607</v>
      </c>
      <c r="O101" t="str">
        <f t="shared" si="26"/>
        <v>159+513</v>
      </c>
      <c r="P101" t="str">
        <f t="shared" si="27"/>
        <v>155</v>
      </c>
      <c r="Q101" t="str">
        <f t="shared" si="28"/>
        <v>159</v>
      </c>
      <c r="R101" t="str">
        <f t="shared" si="29"/>
        <v>513</v>
      </c>
      <c r="S101">
        <f t="shared" si="30"/>
        <v>159513</v>
      </c>
      <c r="T101">
        <f t="shared" si="31"/>
        <v>159.51300000000001</v>
      </c>
    </row>
    <row r="102" spans="1:20" ht="24.95" customHeight="1" x14ac:dyDescent="0.3">
      <c r="A102" s="1"/>
      <c r="B102" s="33" t="s">
        <v>485</v>
      </c>
      <c r="C102" s="1" t="s">
        <v>596</v>
      </c>
      <c r="D102" s="6" t="s">
        <v>597</v>
      </c>
      <c r="E102" s="33" t="s">
        <v>594</v>
      </c>
      <c r="F102" s="34">
        <v>182.024</v>
      </c>
      <c r="G102" s="35">
        <v>169</v>
      </c>
      <c r="I102" t="s">
        <v>608</v>
      </c>
      <c r="O102" t="str">
        <f t="shared" si="26"/>
        <v>182+024</v>
      </c>
      <c r="P102" t="str">
        <f t="shared" si="27"/>
        <v>169</v>
      </c>
      <c r="Q102" t="str">
        <f t="shared" si="28"/>
        <v>182</v>
      </c>
      <c r="R102" t="str">
        <f t="shared" si="29"/>
        <v>024</v>
      </c>
      <c r="S102">
        <f t="shared" si="30"/>
        <v>182024</v>
      </c>
      <c r="T102">
        <f t="shared" si="31"/>
        <v>182.024</v>
      </c>
    </row>
    <row r="103" spans="1:20" ht="24.95" customHeight="1" x14ac:dyDescent="0.3">
      <c r="A103" s="1"/>
      <c r="B103" s="33" t="s">
        <v>486</v>
      </c>
      <c r="C103" s="1" t="s">
        <v>596</v>
      </c>
      <c r="D103" s="6" t="s">
        <v>597</v>
      </c>
      <c r="E103" s="33" t="s">
        <v>594</v>
      </c>
      <c r="F103" s="34">
        <v>204.429</v>
      </c>
      <c r="G103" s="35">
        <v>151</v>
      </c>
      <c r="I103" t="s">
        <v>609</v>
      </c>
      <c r="O103" t="str">
        <f t="shared" si="26"/>
        <v>204+429</v>
      </c>
      <c r="P103" t="str">
        <f t="shared" si="27"/>
        <v>151</v>
      </c>
      <c r="Q103" t="str">
        <f t="shared" si="28"/>
        <v>204</v>
      </c>
      <c r="R103" t="str">
        <f t="shared" si="29"/>
        <v>429</v>
      </c>
      <c r="S103">
        <f t="shared" si="30"/>
        <v>204429</v>
      </c>
      <c r="T103">
        <f t="shared" si="31"/>
        <v>204.429</v>
      </c>
    </row>
    <row r="104" spans="1:20" ht="24.95" customHeight="1" x14ac:dyDescent="0.3">
      <c r="A104" s="1"/>
      <c r="B104" s="33" t="s">
        <v>487</v>
      </c>
      <c r="C104" s="1" t="s">
        <v>596</v>
      </c>
      <c r="D104" s="6" t="s">
        <v>597</v>
      </c>
      <c r="E104" s="33" t="s">
        <v>594</v>
      </c>
      <c r="F104" s="34">
        <v>227.00200000000001</v>
      </c>
      <c r="G104" s="35">
        <v>154</v>
      </c>
      <c r="I104" t="s">
        <v>610</v>
      </c>
      <c r="O104" t="str">
        <f t="shared" si="26"/>
        <v>227+002</v>
      </c>
      <c r="P104" t="str">
        <f t="shared" si="27"/>
        <v>154</v>
      </c>
      <c r="Q104" t="str">
        <f t="shared" si="28"/>
        <v>227</v>
      </c>
      <c r="R104" t="str">
        <f t="shared" si="29"/>
        <v>002</v>
      </c>
      <c r="S104">
        <f t="shared" si="30"/>
        <v>227002</v>
      </c>
      <c r="T104">
        <f t="shared" si="31"/>
        <v>227.00200000000001</v>
      </c>
    </row>
    <row r="105" spans="1:20" ht="24.95" customHeight="1" x14ac:dyDescent="0.3">
      <c r="A105" s="1"/>
      <c r="B105" s="33" t="s">
        <v>378</v>
      </c>
      <c r="C105" s="1" t="s">
        <v>596</v>
      </c>
      <c r="D105" s="6" t="s">
        <v>597</v>
      </c>
      <c r="E105" s="33" t="s">
        <v>594</v>
      </c>
      <c r="F105" s="34">
        <v>248.065</v>
      </c>
      <c r="G105" s="35">
        <v>155</v>
      </c>
      <c r="I105" t="s">
        <v>611</v>
      </c>
      <c r="O105" t="str">
        <f t="shared" si="26"/>
        <v>248+065</v>
      </c>
      <c r="P105" t="str">
        <f t="shared" si="27"/>
        <v>155</v>
      </c>
      <c r="Q105" t="str">
        <f t="shared" si="28"/>
        <v>248</v>
      </c>
      <c r="R105" t="str">
        <f t="shared" si="29"/>
        <v>065</v>
      </c>
      <c r="S105">
        <f t="shared" si="30"/>
        <v>248065</v>
      </c>
      <c r="T105">
        <f t="shared" si="31"/>
        <v>248.065</v>
      </c>
    </row>
    <row r="106" spans="1:20" ht="24.95" customHeight="1" x14ac:dyDescent="0.3">
      <c r="A106" s="1"/>
      <c r="B106" s="33"/>
      <c r="C106" s="1">
        <v>9</v>
      </c>
      <c r="D106" s="6" t="s">
        <v>76</v>
      </c>
      <c r="E106" s="33"/>
      <c r="F106" s="32"/>
      <c r="G106" s="35"/>
      <c r="O106" t="e">
        <f t="shared" si="8"/>
        <v>#VALUE!</v>
      </c>
      <c r="P106" t="e">
        <f t="shared" si="9"/>
        <v>#VALUE!</v>
      </c>
      <c r="Q106" t="e">
        <f t="shared" si="10"/>
        <v>#VALUE!</v>
      </c>
      <c r="R106" t="e">
        <f t="shared" si="11"/>
        <v>#VALUE!</v>
      </c>
      <c r="S106" t="e">
        <f t="shared" si="12"/>
        <v>#VALUE!</v>
      </c>
      <c r="T106" t="e">
        <f t="shared" si="15"/>
        <v>#VALUE!</v>
      </c>
    </row>
    <row r="107" spans="1:20" ht="24.95" customHeight="1" x14ac:dyDescent="0.3">
      <c r="A107" s="1"/>
      <c r="B107" s="33" t="s">
        <v>479</v>
      </c>
      <c r="C107" s="1">
        <v>10</v>
      </c>
      <c r="D107" s="6" t="s">
        <v>77</v>
      </c>
      <c r="E107" s="33" t="s">
        <v>355</v>
      </c>
      <c r="F107" s="34">
        <v>19.7</v>
      </c>
      <c r="G107" s="35">
        <v>155</v>
      </c>
      <c r="I107" t="s">
        <v>612</v>
      </c>
      <c r="O107" t="str">
        <f t="shared" si="8"/>
        <v>19+700</v>
      </c>
      <c r="P107" t="str">
        <f t="shared" si="9"/>
        <v>155</v>
      </c>
      <c r="Q107" t="str">
        <f t="shared" si="10"/>
        <v>19</v>
      </c>
      <c r="R107" t="str">
        <f t="shared" si="11"/>
        <v>700</v>
      </c>
      <c r="S107">
        <f t="shared" si="12"/>
        <v>19700</v>
      </c>
      <c r="T107">
        <f t="shared" si="15"/>
        <v>19.7</v>
      </c>
    </row>
    <row r="108" spans="1:20" ht="24.95" customHeight="1" x14ac:dyDescent="0.3">
      <c r="A108" s="1"/>
      <c r="B108" s="33" t="s">
        <v>480</v>
      </c>
      <c r="C108" s="1">
        <v>10</v>
      </c>
      <c r="D108" s="6" t="s">
        <v>77</v>
      </c>
      <c r="E108" s="33" t="s">
        <v>355</v>
      </c>
      <c r="F108" s="34">
        <v>62</v>
      </c>
      <c r="G108" s="35">
        <v>145</v>
      </c>
      <c r="I108" t="s">
        <v>613</v>
      </c>
      <c r="O108" t="str">
        <f t="shared" ref="O108" si="32">MID(I108, 1, SEARCH(" / ", I108) - 1)</f>
        <v>62+000</v>
      </c>
      <c r="P108" t="str">
        <f t="shared" ref="P108" si="33">MID(I108, SEARCH(" / ", I108) + 3, LEN(I108))</f>
        <v>145</v>
      </c>
      <c r="Q108" t="str">
        <f t="shared" ref="Q108" si="34">MID(O108, 1, SEARCH("+", O108) - 1)</f>
        <v>62</v>
      </c>
      <c r="R108" t="str">
        <f t="shared" ref="R108" si="35">MID(O108, SEARCH("+", O108) + 1, LEN(O108))</f>
        <v>000</v>
      </c>
      <c r="S108">
        <f t="shared" ref="S108" si="36">Q108*1000+R108</f>
        <v>62000</v>
      </c>
      <c r="T108">
        <f t="shared" ref="T108" si="37">S108/1000</f>
        <v>62</v>
      </c>
    </row>
    <row r="109" spans="1:20" ht="24.95" customHeight="1" x14ac:dyDescent="0.3">
      <c r="A109" s="1"/>
      <c r="B109" s="33" t="s">
        <v>479</v>
      </c>
      <c r="C109" s="1">
        <v>11</v>
      </c>
      <c r="D109" s="6" t="s">
        <v>78</v>
      </c>
      <c r="E109" s="33" t="s">
        <v>633</v>
      </c>
      <c r="F109" s="34">
        <v>31.4</v>
      </c>
      <c r="G109" s="35">
        <v>196</v>
      </c>
      <c r="I109" t="s">
        <v>634</v>
      </c>
      <c r="O109" t="str">
        <f t="shared" si="8"/>
        <v>31+400</v>
      </c>
      <c r="P109" t="str">
        <f t="shared" si="9"/>
        <v>196</v>
      </c>
      <c r="Q109" t="str">
        <f t="shared" si="10"/>
        <v>31</v>
      </c>
      <c r="R109" t="str">
        <f t="shared" si="11"/>
        <v>400</v>
      </c>
      <c r="S109">
        <f t="shared" si="12"/>
        <v>31400</v>
      </c>
      <c r="T109">
        <f t="shared" si="15"/>
        <v>31.4</v>
      </c>
    </row>
    <row r="110" spans="1:20" ht="24.95" customHeight="1" x14ac:dyDescent="0.3">
      <c r="A110" s="1"/>
      <c r="B110" s="33" t="s">
        <v>480</v>
      </c>
      <c r="C110" s="1">
        <v>11</v>
      </c>
      <c r="D110" s="6" t="s">
        <v>78</v>
      </c>
      <c r="E110" s="33" t="s">
        <v>633</v>
      </c>
      <c r="F110" s="34">
        <v>63.5</v>
      </c>
      <c r="G110" s="35">
        <v>185</v>
      </c>
      <c r="I110" t="s">
        <v>635</v>
      </c>
      <c r="O110" t="str">
        <f t="shared" ref="O110:O116" si="38">MID(I110, 1, SEARCH(" / ", I110) - 1)</f>
        <v>63+500</v>
      </c>
      <c r="P110" t="str">
        <f t="shared" ref="P110:P116" si="39">MID(I110, SEARCH(" / ", I110) + 3, LEN(I110))</f>
        <v>185</v>
      </c>
      <c r="Q110" t="str">
        <f t="shared" ref="Q110:Q116" si="40">MID(O110, 1, SEARCH("+", O110) - 1)</f>
        <v>63</v>
      </c>
      <c r="R110" t="str">
        <f t="shared" ref="R110:R116" si="41">MID(O110, SEARCH("+", O110) + 1, LEN(O110))</f>
        <v>500</v>
      </c>
      <c r="S110">
        <f t="shared" ref="S110:S116" si="42">Q110*1000+R110</f>
        <v>63500</v>
      </c>
      <c r="T110">
        <f t="shared" ref="T110:T116" si="43">S110/1000</f>
        <v>63.5</v>
      </c>
    </row>
    <row r="111" spans="1:20" ht="24.95" customHeight="1" x14ac:dyDescent="0.3">
      <c r="A111" s="1"/>
      <c r="B111" s="33" t="s">
        <v>481</v>
      </c>
      <c r="C111" s="1">
        <v>11</v>
      </c>
      <c r="D111" s="6" t="s">
        <v>78</v>
      </c>
      <c r="E111" s="33" t="s">
        <v>355</v>
      </c>
      <c r="F111" s="34">
        <v>93.4</v>
      </c>
      <c r="G111" s="35">
        <v>187</v>
      </c>
      <c r="I111" t="s">
        <v>636</v>
      </c>
      <c r="O111" t="str">
        <f t="shared" si="38"/>
        <v>93+400</v>
      </c>
      <c r="P111" t="str">
        <f t="shared" si="39"/>
        <v>187</v>
      </c>
      <c r="Q111" t="str">
        <f t="shared" si="40"/>
        <v>93</v>
      </c>
      <c r="R111" t="str">
        <f t="shared" si="41"/>
        <v>400</v>
      </c>
      <c r="S111">
        <f t="shared" si="42"/>
        <v>93400</v>
      </c>
      <c r="T111">
        <f t="shared" si="43"/>
        <v>93.4</v>
      </c>
    </row>
    <row r="112" spans="1:20" ht="24.95" customHeight="1" x14ac:dyDescent="0.3">
      <c r="A112" s="1"/>
      <c r="B112" s="33" t="s">
        <v>482</v>
      </c>
      <c r="C112" s="1">
        <v>11</v>
      </c>
      <c r="D112" s="6" t="s">
        <v>78</v>
      </c>
      <c r="E112" s="33" t="s">
        <v>355</v>
      </c>
      <c r="F112" s="34">
        <v>123.4</v>
      </c>
      <c r="G112" s="35">
        <v>190</v>
      </c>
      <c r="I112" t="s">
        <v>637</v>
      </c>
      <c r="O112" t="str">
        <f t="shared" si="38"/>
        <v>123+400</v>
      </c>
      <c r="P112" t="str">
        <f t="shared" si="39"/>
        <v>190</v>
      </c>
      <c r="Q112" t="str">
        <f t="shared" si="40"/>
        <v>123</v>
      </c>
      <c r="R112" t="str">
        <f t="shared" si="41"/>
        <v>400</v>
      </c>
      <c r="S112">
        <f t="shared" si="42"/>
        <v>123400</v>
      </c>
      <c r="T112">
        <f t="shared" si="43"/>
        <v>123.4</v>
      </c>
    </row>
    <row r="113" spans="1:20" ht="24.95" customHeight="1" x14ac:dyDescent="0.3">
      <c r="A113" s="1"/>
      <c r="B113" s="33" t="s">
        <v>483</v>
      </c>
      <c r="C113" s="1">
        <v>11</v>
      </c>
      <c r="D113" s="6" t="s">
        <v>78</v>
      </c>
      <c r="E113" s="33" t="s">
        <v>355</v>
      </c>
      <c r="F113" s="34">
        <v>173.3</v>
      </c>
      <c r="G113" s="35">
        <v>184</v>
      </c>
      <c r="I113" t="s">
        <v>638</v>
      </c>
      <c r="O113" t="str">
        <f t="shared" si="38"/>
        <v>173+300</v>
      </c>
      <c r="P113" t="str">
        <f t="shared" si="39"/>
        <v>184</v>
      </c>
      <c r="Q113" t="str">
        <f t="shared" si="40"/>
        <v>173</v>
      </c>
      <c r="R113" t="str">
        <f t="shared" si="41"/>
        <v>300</v>
      </c>
      <c r="S113">
        <f t="shared" si="42"/>
        <v>173300</v>
      </c>
      <c r="T113">
        <f t="shared" si="43"/>
        <v>173.3</v>
      </c>
    </row>
    <row r="114" spans="1:20" ht="24.95" customHeight="1" x14ac:dyDescent="0.3">
      <c r="A114" s="1"/>
      <c r="B114" s="33" t="s">
        <v>484</v>
      </c>
      <c r="C114" s="1">
        <v>11</v>
      </c>
      <c r="D114" s="6" t="s">
        <v>78</v>
      </c>
      <c r="E114" s="33" t="s">
        <v>355</v>
      </c>
      <c r="F114" s="34">
        <v>204</v>
      </c>
      <c r="G114" s="35">
        <v>165</v>
      </c>
      <c r="I114" t="s">
        <v>639</v>
      </c>
      <c r="O114" t="str">
        <f t="shared" si="38"/>
        <v>204+000</v>
      </c>
      <c r="P114" t="str">
        <f t="shared" si="39"/>
        <v>165</v>
      </c>
      <c r="Q114" t="str">
        <f t="shared" si="40"/>
        <v>204</v>
      </c>
      <c r="R114" t="str">
        <f t="shared" si="41"/>
        <v>000</v>
      </c>
      <c r="S114">
        <f t="shared" si="42"/>
        <v>204000</v>
      </c>
      <c r="T114">
        <f t="shared" si="43"/>
        <v>204</v>
      </c>
    </row>
    <row r="115" spans="1:20" ht="24.95" customHeight="1" x14ac:dyDescent="0.3">
      <c r="A115" s="1"/>
      <c r="B115" s="33" t="s">
        <v>485</v>
      </c>
      <c r="C115" s="1">
        <v>11</v>
      </c>
      <c r="D115" s="6" t="s">
        <v>78</v>
      </c>
      <c r="E115" s="33" t="s">
        <v>355</v>
      </c>
      <c r="F115" s="34">
        <v>233</v>
      </c>
      <c r="G115" s="35">
        <v>156.79</v>
      </c>
      <c r="I115" t="s">
        <v>640</v>
      </c>
      <c r="O115" t="str">
        <f t="shared" si="38"/>
        <v>233+000</v>
      </c>
      <c r="P115" t="str">
        <f t="shared" si="39"/>
        <v>156,79</v>
      </c>
      <c r="Q115" t="str">
        <f t="shared" si="40"/>
        <v>233</v>
      </c>
      <c r="R115" t="str">
        <f t="shared" si="41"/>
        <v>000</v>
      </c>
      <c r="S115">
        <f t="shared" si="42"/>
        <v>233000</v>
      </c>
      <c r="T115">
        <f t="shared" si="43"/>
        <v>233</v>
      </c>
    </row>
    <row r="116" spans="1:20" ht="24.95" customHeight="1" x14ac:dyDescent="0.3">
      <c r="A116" s="1"/>
      <c r="B116" s="33" t="s">
        <v>486</v>
      </c>
      <c r="C116" s="1">
        <v>11</v>
      </c>
      <c r="D116" s="6" t="s">
        <v>78</v>
      </c>
      <c r="E116" s="33" t="s">
        <v>355</v>
      </c>
      <c r="F116" s="34">
        <v>262</v>
      </c>
      <c r="G116" s="35">
        <v>169.65</v>
      </c>
      <c r="I116" t="s">
        <v>641</v>
      </c>
      <c r="O116" t="str">
        <f t="shared" si="38"/>
        <v>262+000</v>
      </c>
      <c r="P116" t="str">
        <f t="shared" si="39"/>
        <v>169,65</v>
      </c>
      <c r="Q116" t="str">
        <f t="shared" si="40"/>
        <v>262</v>
      </c>
      <c r="R116" t="str">
        <f t="shared" si="41"/>
        <v>000</v>
      </c>
      <c r="S116">
        <f t="shared" si="42"/>
        <v>262000</v>
      </c>
      <c r="T116">
        <f t="shared" si="43"/>
        <v>262</v>
      </c>
    </row>
    <row r="117" spans="1:20" ht="24.95" customHeight="1" x14ac:dyDescent="0.3">
      <c r="A117" s="1"/>
      <c r="B117" s="33" t="s">
        <v>479</v>
      </c>
      <c r="C117" s="1">
        <v>12</v>
      </c>
      <c r="D117" s="6" t="s">
        <v>79</v>
      </c>
      <c r="E117" s="33" t="s">
        <v>633</v>
      </c>
      <c r="F117" s="34">
        <v>31.4</v>
      </c>
      <c r="G117" s="35">
        <v>196</v>
      </c>
      <c r="I117" t="s">
        <v>634</v>
      </c>
      <c r="O117" t="str">
        <f t="shared" si="8"/>
        <v>31+400</v>
      </c>
      <c r="P117" t="str">
        <f t="shared" si="9"/>
        <v>196</v>
      </c>
      <c r="Q117" t="str">
        <f t="shared" si="10"/>
        <v>31</v>
      </c>
      <c r="R117" t="str">
        <f t="shared" si="11"/>
        <v>400</v>
      </c>
      <c r="S117">
        <f t="shared" si="12"/>
        <v>31400</v>
      </c>
      <c r="T117">
        <f t="shared" si="15"/>
        <v>31.4</v>
      </c>
    </row>
    <row r="118" spans="1:20" ht="24.95" customHeight="1" x14ac:dyDescent="0.3">
      <c r="A118" s="1"/>
      <c r="B118" s="33" t="s">
        <v>480</v>
      </c>
      <c r="C118" s="1">
        <v>12</v>
      </c>
      <c r="D118" s="6" t="s">
        <v>79</v>
      </c>
      <c r="E118" s="33" t="s">
        <v>633</v>
      </c>
      <c r="F118" s="34">
        <v>63.5</v>
      </c>
      <c r="G118" s="35">
        <v>185</v>
      </c>
      <c r="I118" t="s">
        <v>635</v>
      </c>
      <c r="O118" t="str">
        <f t="shared" ref="O118:O124" si="44">MID(I118, 1, SEARCH(" / ", I118) - 1)</f>
        <v>63+500</v>
      </c>
      <c r="P118" t="str">
        <f t="shared" ref="P118:P124" si="45">MID(I118, SEARCH(" / ", I118) + 3, LEN(I118))</f>
        <v>185</v>
      </c>
      <c r="Q118" t="str">
        <f t="shared" ref="Q118:Q124" si="46">MID(O118, 1, SEARCH("+", O118) - 1)</f>
        <v>63</v>
      </c>
      <c r="R118" t="str">
        <f t="shared" ref="R118:R124" si="47">MID(O118, SEARCH("+", O118) + 1, LEN(O118))</f>
        <v>500</v>
      </c>
      <c r="S118">
        <f t="shared" ref="S118:S124" si="48">Q118*1000+R118</f>
        <v>63500</v>
      </c>
      <c r="T118">
        <f t="shared" ref="T118:T124" si="49">S118/1000</f>
        <v>63.5</v>
      </c>
    </row>
    <row r="119" spans="1:20" ht="24.95" customHeight="1" x14ac:dyDescent="0.3">
      <c r="A119" s="1"/>
      <c r="B119" s="33" t="s">
        <v>481</v>
      </c>
      <c r="C119" s="1">
        <v>12</v>
      </c>
      <c r="D119" s="6" t="s">
        <v>79</v>
      </c>
      <c r="E119" s="33" t="s">
        <v>355</v>
      </c>
      <c r="F119" s="34">
        <v>93.5</v>
      </c>
      <c r="G119" s="35">
        <v>187</v>
      </c>
      <c r="I119" t="s">
        <v>642</v>
      </c>
      <c r="O119" t="str">
        <f t="shared" si="44"/>
        <v>93+500</v>
      </c>
      <c r="P119" t="str">
        <f t="shared" si="45"/>
        <v>187</v>
      </c>
      <c r="Q119" t="str">
        <f t="shared" si="46"/>
        <v>93</v>
      </c>
      <c r="R119" t="str">
        <f t="shared" si="47"/>
        <v>500</v>
      </c>
      <c r="S119">
        <f t="shared" si="48"/>
        <v>93500</v>
      </c>
      <c r="T119">
        <f t="shared" si="49"/>
        <v>93.5</v>
      </c>
    </row>
    <row r="120" spans="1:20" ht="24.95" customHeight="1" x14ac:dyDescent="0.3">
      <c r="A120" s="1"/>
      <c r="B120" s="33" t="s">
        <v>482</v>
      </c>
      <c r="C120" s="1">
        <v>12</v>
      </c>
      <c r="D120" s="6" t="s">
        <v>79</v>
      </c>
      <c r="E120" s="33" t="s">
        <v>355</v>
      </c>
      <c r="F120" s="34">
        <v>123.4</v>
      </c>
      <c r="G120" s="35">
        <v>190</v>
      </c>
      <c r="I120" t="s">
        <v>637</v>
      </c>
      <c r="O120" t="str">
        <f t="shared" si="44"/>
        <v>123+400</v>
      </c>
      <c r="P120" t="str">
        <f t="shared" si="45"/>
        <v>190</v>
      </c>
      <c r="Q120" t="str">
        <f t="shared" si="46"/>
        <v>123</v>
      </c>
      <c r="R120" t="str">
        <f t="shared" si="47"/>
        <v>400</v>
      </c>
      <c r="S120">
        <f t="shared" si="48"/>
        <v>123400</v>
      </c>
      <c r="T120">
        <f t="shared" si="49"/>
        <v>123.4</v>
      </c>
    </row>
    <row r="121" spans="1:20" ht="24.95" customHeight="1" x14ac:dyDescent="0.3">
      <c r="A121" s="1"/>
      <c r="B121" s="33" t="s">
        <v>483</v>
      </c>
      <c r="C121" s="1">
        <v>12</v>
      </c>
      <c r="D121" s="6" t="s">
        <v>79</v>
      </c>
      <c r="E121" s="33" t="s">
        <v>355</v>
      </c>
      <c r="F121" s="34">
        <v>173.245</v>
      </c>
      <c r="G121" s="35">
        <v>184</v>
      </c>
      <c r="I121" t="s">
        <v>643</v>
      </c>
      <c r="O121" t="str">
        <f t="shared" si="44"/>
        <v>173+245</v>
      </c>
      <c r="P121" t="str">
        <f t="shared" si="45"/>
        <v>184</v>
      </c>
      <c r="Q121" t="str">
        <f t="shared" si="46"/>
        <v>173</v>
      </c>
      <c r="R121" t="str">
        <f t="shared" si="47"/>
        <v>245</v>
      </c>
      <c r="S121">
        <f t="shared" si="48"/>
        <v>173245</v>
      </c>
      <c r="T121">
        <f t="shared" si="49"/>
        <v>173.245</v>
      </c>
    </row>
    <row r="122" spans="1:20" ht="24.95" customHeight="1" x14ac:dyDescent="0.3">
      <c r="A122" s="1"/>
      <c r="B122" s="33" t="s">
        <v>484</v>
      </c>
      <c r="C122" s="1">
        <v>12</v>
      </c>
      <c r="D122" s="6" t="s">
        <v>79</v>
      </c>
      <c r="E122" s="33" t="s">
        <v>355</v>
      </c>
      <c r="F122" s="34">
        <v>204.01</v>
      </c>
      <c r="G122" s="35">
        <v>165</v>
      </c>
      <c r="I122" t="s">
        <v>644</v>
      </c>
      <c r="O122" t="str">
        <f t="shared" si="44"/>
        <v>204+010</v>
      </c>
      <c r="P122" t="str">
        <f t="shared" si="45"/>
        <v>165</v>
      </c>
      <c r="Q122" t="str">
        <f t="shared" si="46"/>
        <v>204</v>
      </c>
      <c r="R122" t="str">
        <f t="shared" si="47"/>
        <v>010</v>
      </c>
      <c r="S122">
        <f t="shared" si="48"/>
        <v>204010</v>
      </c>
      <c r="T122">
        <f t="shared" si="49"/>
        <v>204.01</v>
      </c>
    </row>
    <row r="123" spans="1:20" ht="24.95" customHeight="1" x14ac:dyDescent="0.3">
      <c r="A123" s="1"/>
      <c r="B123" s="33" t="s">
        <v>485</v>
      </c>
      <c r="C123" s="1">
        <v>12</v>
      </c>
      <c r="D123" s="6" t="s">
        <v>79</v>
      </c>
      <c r="E123" s="33" t="s">
        <v>355</v>
      </c>
      <c r="F123" s="34">
        <v>233.041</v>
      </c>
      <c r="G123" s="35">
        <v>156.79</v>
      </c>
      <c r="I123" t="s">
        <v>645</v>
      </c>
      <c r="O123" t="str">
        <f t="shared" si="44"/>
        <v>233+041</v>
      </c>
      <c r="P123" t="str">
        <f t="shared" si="45"/>
        <v>156,79</v>
      </c>
      <c r="Q123" t="str">
        <f t="shared" si="46"/>
        <v>233</v>
      </c>
      <c r="R123" t="str">
        <f t="shared" si="47"/>
        <v>041</v>
      </c>
      <c r="S123">
        <f t="shared" si="48"/>
        <v>233041</v>
      </c>
      <c r="T123">
        <f t="shared" si="49"/>
        <v>233.041</v>
      </c>
    </row>
    <row r="124" spans="1:20" ht="24.95" customHeight="1" x14ac:dyDescent="0.3">
      <c r="A124" s="1"/>
      <c r="B124" s="33" t="s">
        <v>486</v>
      </c>
      <c r="C124" s="1">
        <v>12</v>
      </c>
      <c r="D124" s="6" t="s">
        <v>79</v>
      </c>
      <c r="E124" s="33" t="s">
        <v>355</v>
      </c>
      <c r="F124" s="34">
        <v>263</v>
      </c>
      <c r="G124" s="35">
        <v>169.65</v>
      </c>
      <c r="I124" t="s">
        <v>646</v>
      </c>
      <c r="O124" t="str">
        <f t="shared" si="44"/>
        <v>263+000</v>
      </c>
      <c r="P124" t="str">
        <f t="shared" si="45"/>
        <v>169,65</v>
      </c>
      <c r="Q124" t="str">
        <f t="shared" si="46"/>
        <v>263</v>
      </c>
      <c r="R124" t="str">
        <f t="shared" si="47"/>
        <v>000</v>
      </c>
      <c r="S124">
        <f t="shared" si="48"/>
        <v>263000</v>
      </c>
      <c r="T124">
        <f t="shared" si="49"/>
        <v>263</v>
      </c>
    </row>
    <row r="125" spans="1:20" ht="24.95" customHeight="1" x14ac:dyDescent="0.3">
      <c r="A125" s="1"/>
      <c r="B125" s="33" t="s">
        <v>479</v>
      </c>
      <c r="C125" s="1">
        <v>13</v>
      </c>
      <c r="D125" s="7" t="s">
        <v>55</v>
      </c>
      <c r="E125" s="33" t="s">
        <v>456</v>
      </c>
      <c r="F125" s="34">
        <v>0.44600000000000001</v>
      </c>
      <c r="G125" s="35">
        <v>780</v>
      </c>
      <c r="K125" t="s">
        <v>647</v>
      </c>
      <c r="L125" t="s">
        <v>662</v>
      </c>
      <c r="M125" t="str">
        <f>CONCATENATE(K125, " / ", L125)</f>
        <v>Hassi R’mel / LAGHOUAT</v>
      </c>
      <c r="O125" t="s">
        <v>675</v>
      </c>
      <c r="P125" t="e">
        <f t="shared" si="9"/>
        <v>#VALUE!</v>
      </c>
      <c r="Q125" t="str">
        <f t="shared" si="10"/>
        <v>0</v>
      </c>
      <c r="R125" t="str">
        <f t="shared" si="11"/>
        <v>446</v>
      </c>
      <c r="S125">
        <f t="shared" si="12"/>
        <v>446</v>
      </c>
      <c r="T125">
        <f t="shared" si="15"/>
        <v>0.44600000000000001</v>
      </c>
    </row>
    <row r="126" spans="1:20" ht="24.95" customHeight="1" x14ac:dyDescent="0.3">
      <c r="A126" s="1"/>
      <c r="B126" s="33" t="s">
        <v>480</v>
      </c>
      <c r="C126" s="1">
        <v>13</v>
      </c>
      <c r="D126" s="7" t="s">
        <v>55</v>
      </c>
      <c r="E126" s="33" t="s">
        <v>456</v>
      </c>
      <c r="F126" s="34">
        <v>7</v>
      </c>
      <c r="G126" s="35">
        <v>752</v>
      </c>
      <c r="K126" t="s">
        <v>647</v>
      </c>
      <c r="L126" t="s">
        <v>662</v>
      </c>
      <c r="M126" t="str">
        <f t="shared" ref="M126:M148" si="50">CONCATENATE(K126, " / ", L126)</f>
        <v>Hassi R’mel / LAGHOUAT</v>
      </c>
      <c r="O126" t="s">
        <v>676</v>
      </c>
      <c r="Q126" t="str">
        <f t="shared" ref="Q126:Q148" si="51">MID(O126, 1, SEARCH("+", O126) - 1)</f>
        <v>7</v>
      </c>
      <c r="R126" t="str">
        <f t="shared" ref="R126:R148" si="52">MID(O126, SEARCH("+", O126) + 1, LEN(O126))</f>
        <v>000</v>
      </c>
      <c r="S126">
        <f t="shared" ref="S126:S148" si="53">Q126*1000+R126</f>
        <v>7000</v>
      </c>
      <c r="T126">
        <f t="shared" ref="T126:T148" si="54">S126/1000</f>
        <v>7</v>
      </c>
    </row>
    <row r="127" spans="1:20" ht="24.95" customHeight="1" x14ac:dyDescent="0.3">
      <c r="A127" s="1"/>
      <c r="B127" s="33" t="s">
        <v>481</v>
      </c>
      <c r="C127" s="1">
        <v>13</v>
      </c>
      <c r="D127" s="7" t="s">
        <v>55</v>
      </c>
      <c r="E127" s="33" t="s">
        <v>666</v>
      </c>
      <c r="F127" s="34">
        <v>22.96</v>
      </c>
      <c r="G127" s="35">
        <v>767</v>
      </c>
      <c r="K127" t="s">
        <v>648</v>
      </c>
      <c r="L127" t="s">
        <v>662</v>
      </c>
      <c r="M127" t="str">
        <f t="shared" si="50"/>
        <v>Benaceur Benchahra / LAGHOUAT</v>
      </c>
      <c r="O127" t="s">
        <v>677</v>
      </c>
      <c r="Q127" t="str">
        <f t="shared" si="51"/>
        <v>22</v>
      </c>
      <c r="R127" t="str">
        <f t="shared" si="52"/>
        <v>960</v>
      </c>
      <c r="S127">
        <f t="shared" si="53"/>
        <v>22960</v>
      </c>
      <c r="T127">
        <f t="shared" si="54"/>
        <v>22.96</v>
      </c>
    </row>
    <row r="128" spans="1:20" ht="24.95" customHeight="1" x14ac:dyDescent="0.3">
      <c r="A128" s="1"/>
      <c r="B128" s="33" t="s">
        <v>482</v>
      </c>
      <c r="C128" s="1">
        <v>13</v>
      </c>
      <c r="D128" s="7" t="s">
        <v>55</v>
      </c>
      <c r="E128" s="33" t="s">
        <v>666</v>
      </c>
      <c r="F128" s="34">
        <v>77</v>
      </c>
      <c r="G128" s="35">
        <v>840</v>
      </c>
      <c r="K128" t="s">
        <v>648</v>
      </c>
      <c r="L128" t="s">
        <v>662</v>
      </c>
      <c r="M128" t="str">
        <f t="shared" si="50"/>
        <v>Benaceur Benchahra / LAGHOUAT</v>
      </c>
      <c r="O128" t="s">
        <v>678</v>
      </c>
      <c r="Q128" t="str">
        <f t="shared" si="51"/>
        <v>77</v>
      </c>
      <c r="R128" t="str">
        <f t="shared" si="52"/>
        <v>000</v>
      </c>
      <c r="S128">
        <f t="shared" si="53"/>
        <v>77000</v>
      </c>
      <c r="T128">
        <f t="shared" si="54"/>
        <v>77</v>
      </c>
    </row>
    <row r="129" spans="1:20" ht="24.95" customHeight="1" x14ac:dyDescent="0.3">
      <c r="A129" s="1"/>
      <c r="B129" s="33" t="s">
        <v>483</v>
      </c>
      <c r="C129" s="1">
        <v>13</v>
      </c>
      <c r="D129" s="7" t="s">
        <v>55</v>
      </c>
      <c r="E129" s="33" t="s">
        <v>667</v>
      </c>
      <c r="F129" s="34">
        <v>95</v>
      </c>
      <c r="G129" s="35">
        <v>806</v>
      </c>
      <c r="K129" t="s">
        <v>649</v>
      </c>
      <c r="L129" t="s">
        <v>662</v>
      </c>
      <c r="M129" t="str">
        <f t="shared" si="50"/>
        <v>Elkheneg / LAGHOUAT</v>
      </c>
      <c r="O129" t="s">
        <v>679</v>
      </c>
      <c r="Q129" t="str">
        <f t="shared" si="51"/>
        <v>95</v>
      </c>
      <c r="R129" t="str">
        <f t="shared" si="52"/>
        <v>000</v>
      </c>
      <c r="S129">
        <f t="shared" si="53"/>
        <v>95000</v>
      </c>
      <c r="T129">
        <f t="shared" si="54"/>
        <v>95</v>
      </c>
    </row>
    <row r="130" spans="1:20" ht="24.95" customHeight="1" x14ac:dyDescent="0.3">
      <c r="A130" s="1"/>
      <c r="B130" s="33" t="s">
        <v>484</v>
      </c>
      <c r="C130" s="1">
        <v>13</v>
      </c>
      <c r="D130" s="7" t="s">
        <v>55</v>
      </c>
      <c r="E130" s="33" t="s">
        <v>668</v>
      </c>
      <c r="F130" s="34">
        <v>109.274</v>
      </c>
      <c r="G130" s="35">
        <v>878</v>
      </c>
      <c r="K130" t="s">
        <v>650</v>
      </c>
      <c r="L130" t="s">
        <v>662</v>
      </c>
      <c r="M130" t="str">
        <f t="shared" si="50"/>
        <v>Tadjemout / LAGHOUAT</v>
      </c>
      <c r="O130" t="s">
        <v>680</v>
      </c>
      <c r="Q130" t="str">
        <f t="shared" si="51"/>
        <v>109</v>
      </c>
      <c r="R130" t="str">
        <f t="shared" si="52"/>
        <v>274</v>
      </c>
      <c r="S130">
        <f t="shared" si="53"/>
        <v>109274</v>
      </c>
      <c r="T130">
        <f t="shared" si="54"/>
        <v>109.274</v>
      </c>
    </row>
    <row r="131" spans="1:20" ht="24.95" customHeight="1" x14ac:dyDescent="0.3">
      <c r="A131" s="1"/>
      <c r="B131" s="33" t="s">
        <v>485</v>
      </c>
      <c r="C131" s="1">
        <v>13</v>
      </c>
      <c r="D131" s="7" t="s">
        <v>55</v>
      </c>
      <c r="E131" s="33" t="s">
        <v>668</v>
      </c>
      <c r="F131" s="34">
        <v>109.274</v>
      </c>
      <c r="G131" s="35">
        <v>890</v>
      </c>
      <c r="K131" t="s">
        <v>650</v>
      </c>
      <c r="L131" t="s">
        <v>662</v>
      </c>
      <c r="M131" t="str">
        <f t="shared" si="50"/>
        <v>Tadjemout / LAGHOUAT</v>
      </c>
      <c r="O131" t="s">
        <v>680</v>
      </c>
      <c r="Q131" t="str">
        <f t="shared" si="51"/>
        <v>109</v>
      </c>
      <c r="R131" t="str">
        <f t="shared" si="52"/>
        <v>274</v>
      </c>
      <c r="S131">
        <f t="shared" si="53"/>
        <v>109274</v>
      </c>
      <c r="T131">
        <f t="shared" si="54"/>
        <v>109.274</v>
      </c>
    </row>
    <row r="132" spans="1:20" ht="24.95" customHeight="1" x14ac:dyDescent="0.3">
      <c r="A132" s="1"/>
      <c r="B132" s="33" t="s">
        <v>486</v>
      </c>
      <c r="C132" s="1">
        <v>13</v>
      </c>
      <c r="D132" s="7" t="s">
        <v>55</v>
      </c>
      <c r="E132" s="33" t="s">
        <v>668</v>
      </c>
      <c r="F132" s="34">
        <v>139.08600000000001</v>
      </c>
      <c r="G132" s="35" t="s">
        <v>697</v>
      </c>
      <c r="K132" t="s">
        <v>650</v>
      </c>
      <c r="L132" t="s">
        <v>662</v>
      </c>
      <c r="M132" t="str">
        <f t="shared" si="50"/>
        <v>Tadjemout / LAGHOUAT</v>
      </c>
      <c r="O132" t="s">
        <v>681</v>
      </c>
      <c r="Q132" t="str">
        <f t="shared" si="51"/>
        <v>139</v>
      </c>
      <c r="R132" t="str">
        <f t="shared" si="52"/>
        <v>086</v>
      </c>
      <c r="S132">
        <f t="shared" si="53"/>
        <v>139086</v>
      </c>
      <c r="T132">
        <f t="shared" si="54"/>
        <v>139.08600000000001</v>
      </c>
    </row>
    <row r="133" spans="1:20" ht="24.95" customHeight="1" x14ac:dyDescent="0.3">
      <c r="A133" s="1"/>
      <c r="B133" s="33" t="s">
        <v>487</v>
      </c>
      <c r="C133" s="1">
        <v>13</v>
      </c>
      <c r="D133" s="7" t="s">
        <v>55</v>
      </c>
      <c r="E133" s="33" t="s">
        <v>669</v>
      </c>
      <c r="F133" s="34">
        <v>194.55099999999999</v>
      </c>
      <c r="G133" s="35">
        <v>1007</v>
      </c>
      <c r="K133" t="s">
        <v>651</v>
      </c>
      <c r="L133" t="s">
        <v>662</v>
      </c>
      <c r="M133" t="str">
        <f t="shared" si="50"/>
        <v>El Baida / LAGHOUAT</v>
      </c>
      <c r="O133" t="s">
        <v>682</v>
      </c>
      <c r="Q133" t="str">
        <f t="shared" si="51"/>
        <v>194</v>
      </c>
      <c r="R133" t="str">
        <f t="shared" si="52"/>
        <v>551</v>
      </c>
      <c r="S133">
        <f t="shared" si="53"/>
        <v>194551</v>
      </c>
      <c r="T133">
        <f t="shared" si="54"/>
        <v>194.55099999999999</v>
      </c>
    </row>
    <row r="134" spans="1:20" ht="24.95" customHeight="1" x14ac:dyDescent="0.3">
      <c r="A134" s="1"/>
      <c r="B134" s="33" t="s">
        <v>378</v>
      </c>
      <c r="C134" s="1">
        <v>13</v>
      </c>
      <c r="D134" s="7" t="s">
        <v>55</v>
      </c>
      <c r="E134" s="33" t="s">
        <v>417</v>
      </c>
      <c r="F134" s="34">
        <v>230.02199999999999</v>
      </c>
      <c r="G134" s="35">
        <v>978</v>
      </c>
      <c r="K134" t="s">
        <v>652</v>
      </c>
      <c r="L134" t="s">
        <v>663</v>
      </c>
      <c r="M134" t="str">
        <f t="shared" si="50"/>
        <v>Faidja / TIARET</v>
      </c>
      <c r="O134" t="s">
        <v>683</v>
      </c>
      <c r="Q134" t="str">
        <f t="shared" si="51"/>
        <v>230</v>
      </c>
      <c r="R134" t="str">
        <f t="shared" si="52"/>
        <v>022</v>
      </c>
      <c r="S134">
        <f t="shared" si="53"/>
        <v>230022</v>
      </c>
      <c r="T134">
        <f t="shared" si="54"/>
        <v>230.02199999999999</v>
      </c>
    </row>
    <row r="135" spans="1:20" ht="24.95" customHeight="1" x14ac:dyDescent="0.3">
      <c r="A135" s="1"/>
      <c r="B135" s="33" t="s">
        <v>379</v>
      </c>
      <c r="C135" s="1">
        <v>13</v>
      </c>
      <c r="D135" s="7" t="s">
        <v>55</v>
      </c>
      <c r="E135" s="33" t="s">
        <v>417</v>
      </c>
      <c r="F135" s="34">
        <v>230.02199999999999</v>
      </c>
      <c r="G135" s="35">
        <v>977</v>
      </c>
      <c r="K135" t="s">
        <v>652</v>
      </c>
      <c r="L135" t="s">
        <v>663</v>
      </c>
      <c r="M135" t="str">
        <f t="shared" si="50"/>
        <v>Faidja / TIARET</v>
      </c>
      <c r="O135" t="s">
        <v>683</v>
      </c>
      <c r="Q135" t="str">
        <f t="shared" si="51"/>
        <v>230</v>
      </c>
      <c r="R135" t="str">
        <f t="shared" si="52"/>
        <v>022</v>
      </c>
      <c r="S135">
        <f t="shared" si="53"/>
        <v>230022</v>
      </c>
      <c r="T135">
        <f t="shared" si="54"/>
        <v>230.02199999999999</v>
      </c>
    </row>
    <row r="136" spans="1:20" ht="24.95" customHeight="1" x14ac:dyDescent="0.3">
      <c r="A136" s="1"/>
      <c r="B136" s="33" t="s">
        <v>380</v>
      </c>
      <c r="C136" s="1">
        <v>13</v>
      </c>
      <c r="D136" s="7" t="s">
        <v>55</v>
      </c>
      <c r="E136" s="33" t="s">
        <v>417</v>
      </c>
      <c r="F136" s="34">
        <v>247.4</v>
      </c>
      <c r="G136" s="35" t="s">
        <v>698</v>
      </c>
      <c r="K136" t="s">
        <v>652</v>
      </c>
      <c r="L136" t="s">
        <v>663</v>
      </c>
      <c r="M136" t="str">
        <f t="shared" si="50"/>
        <v>Faidja / TIARET</v>
      </c>
      <c r="O136" t="s">
        <v>684</v>
      </c>
      <c r="Q136" t="str">
        <f t="shared" si="51"/>
        <v>247</v>
      </c>
      <c r="R136" t="str">
        <f t="shared" si="52"/>
        <v>400</v>
      </c>
      <c r="S136">
        <f t="shared" si="53"/>
        <v>247400</v>
      </c>
      <c r="T136">
        <f t="shared" si="54"/>
        <v>247.4</v>
      </c>
    </row>
    <row r="137" spans="1:20" ht="24.95" customHeight="1" x14ac:dyDescent="0.3">
      <c r="A137" s="1"/>
      <c r="B137" s="33" t="s">
        <v>381</v>
      </c>
      <c r="C137" s="1">
        <v>13</v>
      </c>
      <c r="D137" s="7" t="s">
        <v>55</v>
      </c>
      <c r="E137" s="33" t="s">
        <v>417</v>
      </c>
      <c r="F137" s="34">
        <v>262</v>
      </c>
      <c r="G137" s="35">
        <v>1156</v>
      </c>
      <c r="K137" t="s">
        <v>652</v>
      </c>
      <c r="L137" t="s">
        <v>663</v>
      </c>
      <c r="M137" t="str">
        <f t="shared" si="50"/>
        <v>Faidja / TIARET</v>
      </c>
      <c r="O137" t="s">
        <v>685</v>
      </c>
      <c r="Q137" t="str">
        <f t="shared" si="51"/>
        <v>262</v>
      </c>
      <c r="R137" t="str">
        <f t="shared" si="52"/>
        <v>000</v>
      </c>
      <c r="S137">
        <f t="shared" si="53"/>
        <v>262000</v>
      </c>
      <c r="T137">
        <f t="shared" si="54"/>
        <v>262</v>
      </c>
    </row>
    <row r="138" spans="1:20" ht="24.95" customHeight="1" x14ac:dyDescent="0.3">
      <c r="A138" s="1"/>
      <c r="B138" s="33" t="s">
        <v>382</v>
      </c>
      <c r="C138" s="1">
        <v>13</v>
      </c>
      <c r="D138" s="7" t="s">
        <v>55</v>
      </c>
      <c r="E138" s="33" t="s">
        <v>419</v>
      </c>
      <c r="F138" s="34">
        <v>306.786</v>
      </c>
      <c r="G138" s="35" t="s">
        <v>699</v>
      </c>
      <c r="K138" t="s">
        <v>653</v>
      </c>
      <c r="L138" t="s">
        <v>663</v>
      </c>
      <c r="M138" t="str">
        <f t="shared" si="50"/>
        <v>Sougueur / TIARET</v>
      </c>
      <c r="O138" t="s">
        <v>686</v>
      </c>
      <c r="Q138" t="str">
        <f t="shared" si="51"/>
        <v>306</v>
      </c>
      <c r="R138" t="str">
        <f t="shared" si="52"/>
        <v>786</v>
      </c>
      <c r="S138">
        <f t="shared" si="53"/>
        <v>306786</v>
      </c>
      <c r="T138">
        <f t="shared" si="54"/>
        <v>306.786</v>
      </c>
    </row>
    <row r="139" spans="1:20" ht="24.95" customHeight="1" x14ac:dyDescent="0.3">
      <c r="A139" s="1"/>
      <c r="B139" s="33" t="s">
        <v>383</v>
      </c>
      <c r="C139" s="1">
        <v>13</v>
      </c>
      <c r="D139" s="7" t="s">
        <v>55</v>
      </c>
      <c r="E139" s="33" t="s">
        <v>419</v>
      </c>
      <c r="F139" s="34">
        <v>317.5</v>
      </c>
      <c r="G139" s="35">
        <v>965</v>
      </c>
      <c r="K139" t="s">
        <v>653</v>
      </c>
      <c r="L139" t="s">
        <v>663</v>
      </c>
      <c r="M139" t="str">
        <f t="shared" si="50"/>
        <v>Sougueur / TIARET</v>
      </c>
      <c r="O139" t="s">
        <v>687</v>
      </c>
      <c r="Q139" t="str">
        <f t="shared" si="51"/>
        <v>317</v>
      </c>
      <c r="R139" t="str">
        <f t="shared" si="52"/>
        <v>500</v>
      </c>
      <c r="S139">
        <f t="shared" si="53"/>
        <v>317500</v>
      </c>
      <c r="T139">
        <f t="shared" si="54"/>
        <v>317.5</v>
      </c>
    </row>
    <row r="140" spans="1:20" ht="24.95" customHeight="1" x14ac:dyDescent="0.3">
      <c r="A140" s="1"/>
      <c r="B140" s="33" t="s">
        <v>384</v>
      </c>
      <c r="C140" s="1">
        <v>13</v>
      </c>
      <c r="D140" s="7" t="s">
        <v>55</v>
      </c>
      <c r="E140" s="33" t="s">
        <v>420</v>
      </c>
      <c r="F140" s="34">
        <v>337.3</v>
      </c>
      <c r="G140" s="35">
        <v>813</v>
      </c>
      <c r="K140" t="s">
        <v>654</v>
      </c>
      <c r="L140" t="s">
        <v>663</v>
      </c>
      <c r="M140" t="str">
        <f t="shared" si="50"/>
        <v>Guertoufa / TIARET</v>
      </c>
      <c r="O140" t="s">
        <v>688</v>
      </c>
      <c r="Q140" t="str">
        <f t="shared" si="51"/>
        <v>337</v>
      </c>
      <c r="R140" t="str">
        <f t="shared" si="52"/>
        <v>300</v>
      </c>
      <c r="S140">
        <f t="shared" si="53"/>
        <v>337300</v>
      </c>
      <c r="T140">
        <f t="shared" si="54"/>
        <v>337.3</v>
      </c>
    </row>
    <row r="141" spans="1:20" ht="24.95" customHeight="1" x14ac:dyDescent="0.3">
      <c r="A141" s="1"/>
      <c r="B141" s="33" t="s">
        <v>385</v>
      </c>
      <c r="C141" s="1">
        <v>13</v>
      </c>
      <c r="D141" s="7" t="s">
        <v>55</v>
      </c>
      <c r="E141" s="33" t="s">
        <v>421</v>
      </c>
      <c r="F141" s="34">
        <v>364.36700000000002</v>
      </c>
      <c r="G141" s="35">
        <v>628</v>
      </c>
      <c r="K141" t="s">
        <v>655</v>
      </c>
      <c r="L141" t="s">
        <v>663</v>
      </c>
      <c r="M141" t="str">
        <f t="shared" si="50"/>
        <v>Rahouia / TIARET</v>
      </c>
      <c r="O141" t="s">
        <v>689</v>
      </c>
      <c r="Q141" t="str">
        <f t="shared" si="51"/>
        <v>364</v>
      </c>
      <c r="R141" t="str">
        <f t="shared" si="52"/>
        <v>367</v>
      </c>
      <c r="S141">
        <f t="shared" si="53"/>
        <v>364367</v>
      </c>
      <c r="T141">
        <f t="shared" si="54"/>
        <v>364.36700000000002</v>
      </c>
    </row>
    <row r="142" spans="1:20" ht="24.95" customHeight="1" x14ac:dyDescent="0.3">
      <c r="A142" s="1"/>
      <c r="B142" s="33" t="s">
        <v>386</v>
      </c>
      <c r="C142" s="1">
        <v>13</v>
      </c>
      <c r="D142" s="7" t="s">
        <v>55</v>
      </c>
      <c r="E142" s="33" t="s">
        <v>422</v>
      </c>
      <c r="F142" s="34">
        <v>397.32799999999997</v>
      </c>
      <c r="G142" s="35">
        <v>290</v>
      </c>
      <c r="K142" t="s">
        <v>656</v>
      </c>
      <c r="L142" t="s">
        <v>664</v>
      </c>
      <c r="M142" t="str">
        <f t="shared" si="50"/>
        <v>Zemmoura / RELIZANE</v>
      </c>
      <c r="O142" t="s">
        <v>690</v>
      </c>
      <c r="Q142" t="str">
        <f t="shared" si="51"/>
        <v>397</v>
      </c>
      <c r="R142" t="str">
        <f t="shared" si="52"/>
        <v>328</v>
      </c>
      <c r="S142">
        <f t="shared" si="53"/>
        <v>397328</v>
      </c>
      <c r="T142">
        <f t="shared" si="54"/>
        <v>397.32799999999997</v>
      </c>
    </row>
    <row r="143" spans="1:20" ht="24.95" customHeight="1" x14ac:dyDescent="0.3">
      <c r="A143" s="1"/>
      <c r="B143" s="33" t="s">
        <v>387</v>
      </c>
      <c r="C143" s="1">
        <v>13</v>
      </c>
      <c r="D143" s="7" t="s">
        <v>55</v>
      </c>
      <c r="E143" s="33" t="s">
        <v>670</v>
      </c>
      <c r="F143" s="34">
        <v>411.43799999999999</v>
      </c>
      <c r="G143" s="35">
        <v>93</v>
      </c>
      <c r="K143" t="s">
        <v>657</v>
      </c>
      <c r="L143" t="s">
        <v>664</v>
      </c>
      <c r="M143" t="str">
        <f t="shared" si="50"/>
        <v>Barmadia / RELIZANE</v>
      </c>
      <c r="O143" t="s">
        <v>691</v>
      </c>
      <c r="Q143" t="str">
        <f t="shared" si="51"/>
        <v>411</v>
      </c>
      <c r="R143" t="str">
        <f t="shared" si="52"/>
        <v>438</v>
      </c>
      <c r="S143">
        <f t="shared" si="53"/>
        <v>411438</v>
      </c>
      <c r="T143">
        <f t="shared" si="54"/>
        <v>411.43799999999999</v>
      </c>
    </row>
    <row r="144" spans="1:20" ht="24.95" customHeight="1" x14ac:dyDescent="0.3">
      <c r="A144" s="1"/>
      <c r="B144" s="33" t="s">
        <v>388</v>
      </c>
      <c r="C144" s="1">
        <v>13</v>
      </c>
      <c r="D144" s="7" t="s">
        <v>55</v>
      </c>
      <c r="E144" s="33" t="s">
        <v>671</v>
      </c>
      <c r="F144" s="34">
        <v>424</v>
      </c>
      <c r="G144" s="35">
        <v>80</v>
      </c>
      <c r="K144" t="s">
        <v>658</v>
      </c>
      <c r="L144" t="s">
        <v>664</v>
      </c>
      <c r="M144" t="str">
        <f t="shared" si="50"/>
        <v>Matmar / RELIZANE</v>
      </c>
      <c r="O144" t="s">
        <v>692</v>
      </c>
      <c r="Q144" t="str">
        <f t="shared" si="51"/>
        <v>424</v>
      </c>
      <c r="R144" t="str">
        <f t="shared" si="52"/>
        <v>000</v>
      </c>
      <c r="S144">
        <f t="shared" si="53"/>
        <v>424000</v>
      </c>
      <c r="T144">
        <f t="shared" si="54"/>
        <v>424</v>
      </c>
    </row>
    <row r="145" spans="1:20" ht="24.95" customHeight="1" x14ac:dyDescent="0.3">
      <c r="A145" s="1"/>
      <c r="B145" s="33" t="s">
        <v>389</v>
      </c>
      <c r="C145" s="1">
        <v>13</v>
      </c>
      <c r="D145" s="7" t="s">
        <v>55</v>
      </c>
      <c r="E145" s="33" t="s">
        <v>672</v>
      </c>
      <c r="F145" s="34">
        <v>463.666</v>
      </c>
      <c r="G145" s="35">
        <v>20</v>
      </c>
      <c r="K145" t="s">
        <v>659</v>
      </c>
      <c r="L145" t="s">
        <v>665</v>
      </c>
      <c r="M145" t="str">
        <f t="shared" si="50"/>
        <v>Mohamadia / MASCARA</v>
      </c>
      <c r="O145" t="s">
        <v>693</v>
      </c>
      <c r="Q145" t="str">
        <f t="shared" si="51"/>
        <v>463</v>
      </c>
      <c r="R145" t="str">
        <f t="shared" si="52"/>
        <v>666</v>
      </c>
      <c r="S145">
        <f t="shared" si="53"/>
        <v>463666</v>
      </c>
      <c r="T145">
        <f t="shared" si="54"/>
        <v>463.666</v>
      </c>
    </row>
    <row r="146" spans="1:20" ht="24.95" customHeight="1" x14ac:dyDescent="0.3">
      <c r="A146" s="1"/>
      <c r="B146" s="33" t="s">
        <v>451</v>
      </c>
      <c r="C146" s="1">
        <v>13</v>
      </c>
      <c r="D146" s="7" t="s">
        <v>55</v>
      </c>
      <c r="E146" s="33" t="s">
        <v>673</v>
      </c>
      <c r="F146" s="34">
        <v>477</v>
      </c>
      <c r="G146" s="35">
        <v>5</v>
      </c>
      <c r="K146" t="s">
        <v>660</v>
      </c>
      <c r="L146" t="s">
        <v>665</v>
      </c>
      <c r="M146" t="str">
        <f t="shared" si="50"/>
        <v>Mocta douz / MASCARA</v>
      </c>
      <c r="O146" t="s">
        <v>694</v>
      </c>
      <c r="Q146" t="str">
        <f t="shared" si="51"/>
        <v>477</v>
      </c>
      <c r="R146" t="str">
        <f t="shared" si="52"/>
        <v>000</v>
      </c>
      <c r="S146">
        <f t="shared" si="53"/>
        <v>477000</v>
      </c>
      <c r="T146">
        <f t="shared" si="54"/>
        <v>477</v>
      </c>
    </row>
    <row r="147" spans="1:20" ht="24.95" customHeight="1" x14ac:dyDescent="0.3">
      <c r="A147" s="1"/>
      <c r="B147" s="33" t="s">
        <v>452</v>
      </c>
      <c r="C147" s="1">
        <v>13</v>
      </c>
      <c r="D147" s="7" t="s">
        <v>55</v>
      </c>
      <c r="E147" s="33" t="s">
        <v>674</v>
      </c>
      <c r="F147" s="34">
        <v>488</v>
      </c>
      <c r="G147" s="35">
        <v>6</v>
      </c>
      <c r="K147" t="s">
        <v>661</v>
      </c>
      <c r="L147" t="s">
        <v>665</v>
      </c>
      <c r="M147" t="str">
        <f t="shared" si="50"/>
        <v>Granine / MASCARA</v>
      </c>
      <c r="O147" t="s">
        <v>695</v>
      </c>
      <c r="Q147" t="str">
        <f t="shared" si="51"/>
        <v>488</v>
      </c>
      <c r="R147" t="str">
        <f t="shared" si="52"/>
        <v>000</v>
      </c>
      <c r="S147">
        <f t="shared" si="53"/>
        <v>488000</v>
      </c>
      <c r="T147">
        <f t="shared" si="54"/>
        <v>488</v>
      </c>
    </row>
    <row r="148" spans="1:20" ht="24.95" customHeight="1" x14ac:dyDescent="0.3">
      <c r="A148" s="1"/>
      <c r="B148" s="33" t="s">
        <v>453</v>
      </c>
      <c r="C148" s="1">
        <v>13</v>
      </c>
      <c r="D148" s="7" t="s">
        <v>55</v>
      </c>
      <c r="E148" s="33" t="s">
        <v>674</v>
      </c>
      <c r="F148" s="34">
        <v>490.60500000000002</v>
      </c>
      <c r="G148" s="35">
        <v>14</v>
      </c>
      <c r="K148" t="s">
        <v>661</v>
      </c>
      <c r="L148" t="s">
        <v>665</v>
      </c>
      <c r="M148" t="str">
        <f t="shared" si="50"/>
        <v>Granine / MASCARA</v>
      </c>
      <c r="O148" t="s">
        <v>696</v>
      </c>
      <c r="Q148" t="str">
        <f t="shared" si="51"/>
        <v>490</v>
      </c>
      <c r="R148" t="str">
        <f t="shared" si="52"/>
        <v>605</v>
      </c>
      <c r="S148">
        <f t="shared" si="53"/>
        <v>490605</v>
      </c>
      <c r="T148">
        <f t="shared" si="54"/>
        <v>490.60500000000002</v>
      </c>
    </row>
    <row r="149" spans="1:20" ht="24.95" customHeight="1" x14ac:dyDescent="0.3">
      <c r="A149" s="1"/>
      <c r="B149" s="33" t="s">
        <v>479</v>
      </c>
      <c r="C149" s="1">
        <v>14</v>
      </c>
      <c r="D149" s="7" t="s">
        <v>56</v>
      </c>
      <c r="E149" s="33" t="s">
        <v>725</v>
      </c>
      <c r="F149" s="34">
        <v>19.141999999999999</v>
      </c>
      <c r="G149" s="35">
        <v>173</v>
      </c>
      <c r="I149" t="s">
        <v>707</v>
      </c>
      <c r="O149" t="str">
        <f t="shared" si="8"/>
        <v>19+142</v>
      </c>
      <c r="P149" t="str">
        <f t="shared" si="9"/>
        <v>173</v>
      </c>
      <c r="Q149" t="str">
        <f t="shared" si="10"/>
        <v>19</v>
      </c>
      <c r="R149" t="str">
        <f t="shared" si="11"/>
        <v>142</v>
      </c>
      <c r="S149">
        <f t="shared" si="12"/>
        <v>19142</v>
      </c>
      <c r="T149">
        <f t="shared" si="15"/>
        <v>19.141999999999999</v>
      </c>
    </row>
    <row r="150" spans="1:20" ht="24.95" customHeight="1" x14ac:dyDescent="0.3">
      <c r="A150" s="1"/>
      <c r="B150" s="33" t="s">
        <v>480</v>
      </c>
      <c r="C150" s="1">
        <v>14</v>
      </c>
      <c r="D150" s="7" t="s">
        <v>56</v>
      </c>
      <c r="E150" s="33" t="s">
        <v>725</v>
      </c>
      <c r="F150" s="34">
        <v>39.03</v>
      </c>
      <c r="G150" s="35">
        <v>170</v>
      </c>
      <c r="I150" t="s">
        <v>708</v>
      </c>
      <c r="O150" t="str">
        <f t="shared" ref="O150:O166" si="55">MID(I150, 1, SEARCH(" / ", I150) - 1)</f>
        <v>39+030</v>
      </c>
      <c r="P150" t="str">
        <f t="shared" ref="P150:P166" si="56">MID(I150, SEARCH(" / ", I150) + 3, LEN(I150))</f>
        <v>170</v>
      </c>
      <c r="Q150" t="str">
        <f t="shared" ref="Q150:Q166" si="57">MID(O150, 1, SEARCH("+", O150) - 1)</f>
        <v>39</v>
      </c>
      <c r="R150" t="str">
        <f t="shared" ref="R150:R166" si="58">MID(O150, SEARCH("+", O150) + 1, LEN(O150))</f>
        <v>030</v>
      </c>
      <c r="S150">
        <f t="shared" ref="S150:S166" si="59">Q150*1000+R150</f>
        <v>39030</v>
      </c>
      <c r="T150">
        <f t="shared" ref="T150:T166" si="60">S150/1000</f>
        <v>39.03</v>
      </c>
    </row>
    <row r="151" spans="1:20" ht="24.95" customHeight="1" x14ac:dyDescent="0.3">
      <c r="A151" s="1"/>
      <c r="B151" s="33" t="s">
        <v>481</v>
      </c>
      <c r="C151" s="1">
        <v>14</v>
      </c>
      <c r="D151" s="7" t="s">
        <v>56</v>
      </c>
      <c r="E151" s="33" t="s">
        <v>726</v>
      </c>
      <c r="F151" s="34">
        <v>58.423000000000002</v>
      </c>
      <c r="G151" s="35">
        <v>127</v>
      </c>
      <c r="I151" t="s">
        <v>709</v>
      </c>
      <c r="O151" t="str">
        <f t="shared" si="55"/>
        <v>58+423</v>
      </c>
      <c r="P151" t="str">
        <f t="shared" si="56"/>
        <v>127</v>
      </c>
      <c r="Q151" t="str">
        <f t="shared" si="57"/>
        <v>58</v>
      </c>
      <c r="R151" t="str">
        <f t="shared" si="58"/>
        <v>423</v>
      </c>
      <c r="S151">
        <f t="shared" si="59"/>
        <v>58423</v>
      </c>
      <c r="T151">
        <f t="shared" si="60"/>
        <v>58.423000000000002</v>
      </c>
    </row>
    <row r="152" spans="1:20" ht="24.95" customHeight="1" x14ac:dyDescent="0.3">
      <c r="A152" s="1"/>
      <c r="B152" s="33" t="s">
        <v>482</v>
      </c>
      <c r="C152" s="1">
        <v>14</v>
      </c>
      <c r="D152" s="7" t="s">
        <v>56</v>
      </c>
      <c r="E152" s="33" t="s">
        <v>726</v>
      </c>
      <c r="F152" s="34">
        <v>78</v>
      </c>
      <c r="G152" s="35">
        <v>119</v>
      </c>
      <c r="I152" t="s">
        <v>710</v>
      </c>
      <c r="O152" t="str">
        <f t="shared" si="55"/>
        <v>78+000</v>
      </c>
      <c r="P152" t="str">
        <f t="shared" si="56"/>
        <v>119</v>
      </c>
      <c r="Q152" t="str">
        <f t="shared" si="57"/>
        <v>78</v>
      </c>
      <c r="R152" t="str">
        <f t="shared" si="58"/>
        <v>000</v>
      </c>
      <c r="S152">
        <f t="shared" si="59"/>
        <v>78000</v>
      </c>
      <c r="T152">
        <f t="shared" si="60"/>
        <v>78</v>
      </c>
    </row>
    <row r="153" spans="1:20" ht="24.95" customHeight="1" x14ac:dyDescent="0.3">
      <c r="A153" s="1"/>
      <c r="B153" s="33" t="s">
        <v>483</v>
      </c>
      <c r="C153" s="1">
        <v>14</v>
      </c>
      <c r="D153" s="7" t="s">
        <v>56</v>
      </c>
      <c r="E153" s="33" t="s">
        <v>726</v>
      </c>
      <c r="F153" s="34">
        <v>97.503</v>
      </c>
      <c r="G153" s="35">
        <v>112</v>
      </c>
      <c r="I153" t="s">
        <v>711</v>
      </c>
      <c r="O153" t="str">
        <f t="shared" si="55"/>
        <v>97+503</v>
      </c>
      <c r="P153" t="str">
        <f t="shared" si="56"/>
        <v>112</v>
      </c>
      <c r="Q153" t="str">
        <f t="shared" si="57"/>
        <v>97</v>
      </c>
      <c r="R153" t="str">
        <f t="shared" si="58"/>
        <v>503</v>
      </c>
      <c r="S153">
        <f t="shared" si="59"/>
        <v>97503</v>
      </c>
      <c r="T153">
        <f t="shared" si="60"/>
        <v>97.503</v>
      </c>
    </row>
    <row r="154" spans="1:20" ht="24.95" customHeight="1" x14ac:dyDescent="0.3">
      <c r="A154" s="1"/>
      <c r="B154" s="33" t="s">
        <v>484</v>
      </c>
      <c r="C154" s="1">
        <v>14</v>
      </c>
      <c r="D154" s="7" t="s">
        <v>56</v>
      </c>
      <c r="E154" s="33" t="s">
        <v>726</v>
      </c>
      <c r="F154" s="34">
        <v>117.11199999999999</v>
      </c>
      <c r="G154" s="35">
        <v>98</v>
      </c>
      <c r="I154" t="s">
        <v>712</v>
      </c>
      <c r="O154" t="str">
        <f t="shared" si="55"/>
        <v>117+112</v>
      </c>
      <c r="P154" t="str">
        <f t="shared" si="56"/>
        <v>98</v>
      </c>
      <c r="Q154" t="str">
        <f t="shared" si="57"/>
        <v>117</v>
      </c>
      <c r="R154" t="str">
        <f t="shared" si="58"/>
        <v>112</v>
      </c>
      <c r="S154">
        <f t="shared" si="59"/>
        <v>117112</v>
      </c>
      <c r="T154">
        <f t="shared" si="60"/>
        <v>117.11199999999999</v>
      </c>
    </row>
    <row r="155" spans="1:20" ht="24.95" customHeight="1" x14ac:dyDescent="0.3">
      <c r="A155" s="1"/>
      <c r="B155" s="33" t="s">
        <v>485</v>
      </c>
      <c r="C155" s="1">
        <v>14</v>
      </c>
      <c r="D155" s="7" t="s">
        <v>56</v>
      </c>
      <c r="E155" s="33" t="s">
        <v>727</v>
      </c>
      <c r="F155" s="34">
        <v>136.69800000000001</v>
      </c>
      <c r="G155" s="35">
        <v>88</v>
      </c>
      <c r="I155" t="s">
        <v>713</v>
      </c>
      <c r="O155" t="str">
        <f t="shared" si="55"/>
        <v>136+698</v>
      </c>
      <c r="P155" t="str">
        <f t="shared" si="56"/>
        <v>88</v>
      </c>
      <c r="Q155" t="str">
        <f t="shared" si="57"/>
        <v>136</v>
      </c>
      <c r="R155" t="str">
        <f t="shared" si="58"/>
        <v>698</v>
      </c>
      <c r="S155">
        <f t="shared" si="59"/>
        <v>136698</v>
      </c>
      <c r="T155">
        <f t="shared" si="60"/>
        <v>136.69800000000001</v>
      </c>
    </row>
    <row r="156" spans="1:20" ht="24.95" customHeight="1" x14ac:dyDescent="0.3">
      <c r="A156" s="1"/>
      <c r="B156" s="33" t="s">
        <v>486</v>
      </c>
      <c r="C156" s="1">
        <v>14</v>
      </c>
      <c r="D156" s="7" t="s">
        <v>56</v>
      </c>
      <c r="E156" s="33" t="s">
        <v>728</v>
      </c>
      <c r="F156" s="34">
        <v>156.44800000000001</v>
      </c>
      <c r="G156" s="35">
        <v>71</v>
      </c>
      <c r="I156" t="s">
        <v>714</v>
      </c>
      <c r="O156" t="str">
        <f t="shared" si="55"/>
        <v>156+448</v>
      </c>
      <c r="P156" t="str">
        <f t="shared" si="56"/>
        <v>71</v>
      </c>
      <c r="Q156" t="str">
        <f t="shared" si="57"/>
        <v>156</v>
      </c>
      <c r="R156" t="str">
        <f t="shared" si="58"/>
        <v>448</v>
      </c>
      <c r="S156">
        <f t="shared" si="59"/>
        <v>156448</v>
      </c>
      <c r="T156">
        <f t="shared" si="60"/>
        <v>156.44800000000001</v>
      </c>
    </row>
    <row r="157" spans="1:20" ht="24.95" customHeight="1" x14ac:dyDescent="0.3">
      <c r="A157" s="1"/>
      <c r="B157" s="33" t="s">
        <v>487</v>
      </c>
      <c r="C157" s="1">
        <v>14</v>
      </c>
      <c r="D157" s="7" t="s">
        <v>56</v>
      </c>
      <c r="E157" s="33" t="s">
        <v>732</v>
      </c>
      <c r="F157" s="34">
        <v>175.5</v>
      </c>
      <c r="G157" s="35">
        <v>77</v>
      </c>
      <c r="I157" t="s">
        <v>715</v>
      </c>
      <c r="O157" t="str">
        <f t="shared" si="55"/>
        <v>175+500</v>
      </c>
      <c r="P157" t="str">
        <f t="shared" si="56"/>
        <v>77</v>
      </c>
      <c r="Q157" t="str">
        <f t="shared" si="57"/>
        <v>175</v>
      </c>
      <c r="R157" t="str">
        <f t="shared" si="58"/>
        <v>500</v>
      </c>
      <c r="S157">
        <f t="shared" si="59"/>
        <v>175500</v>
      </c>
      <c r="T157">
        <f t="shared" si="60"/>
        <v>175.5</v>
      </c>
    </row>
    <row r="158" spans="1:20" ht="24.95" customHeight="1" x14ac:dyDescent="0.3">
      <c r="A158" s="1"/>
      <c r="B158" s="33" t="s">
        <v>378</v>
      </c>
      <c r="C158" s="1">
        <v>14</v>
      </c>
      <c r="D158" s="7" t="s">
        <v>56</v>
      </c>
      <c r="E158" s="33" t="s">
        <v>732</v>
      </c>
      <c r="F158" s="34">
        <v>209.315</v>
      </c>
      <c r="G158" s="35">
        <v>110</v>
      </c>
      <c r="I158" t="s">
        <v>716</v>
      </c>
      <c r="O158" t="str">
        <f t="shared" si="55"/>
        <v>209+315</v>
      </c>
      <c r="P158" t="str">
        <f t="shared" si="56"/>
        <v>110</v>
      </c>
      <c r="Q158" t="str">
        <f t="shared" si="57"/>
        <v>209</v>
      </c>
      <c r="R158" t="str">
        <f t="shared" si="58"/>
        <v>315</v>
      </c>
      <c r="S158">
        <f t="shared" si="59"/>
        <v>209315</v>
      </c>
      <c r="T158">
        <f t="shared" si="60"/>
        <v>209.315</v>
      </c>
    </row>
    <row r="159" spans="1:20" ht="24.95" customHeight="1" x14ac:dyDescent="0.3">
      <c r="A159" s="1"/>
      <c r="B159" s="33" t="s">
        <v>379</v>
      </c>
      <c r="C159" s="1">
        <v>14</v>
      </c>
      <c r="D159" s="7" t="s">
        <v>56</v>
      </c>
      <c r="E159" s="33" t="s">
        <v>731</v>
      </c>
      <c r="F159" s="34">
        <v>228.535</v>
      </c>
      <c r="G159" s="35">
        <v>78</v>
      </c>
      <c r="I159" t="s">
        <v>717</v>
      </c>
      <c r="O159" t="str">
        <f t="shared" si="55"/>
        <v>228+535</v>
      </c>
      <c r="P159" t="str">
        <f t="shared" si="56"/>
        <v>78</v>
      </c>
      <c r="Q159" t="str">
        <f t="shared" si="57"/>
        <v>228</v>
      </c>
      <c r="R159" t="str">
        <f t="shared" si="58"/>
        <v>535</v>
      </c>
      <c r="S159">
        <f t="shared" si="59"/>
        <v>228535</v>
      </c>
      <c r="T159">
        <f t="shared" si="60"/>
        <v>228.535</v>
      </c>
    </row>
    <row r="160" spans="1:20" ht="24.95" customHeight="1" x14ac:dyDescent="0.3">
      <c r="A160" s="1"/>
      <c r="B160" s="33" t="s">
        <v>380</v>
      </c>
      <c r="C160" s="1">
        <v>14</v>
      </c>
      <c r="D160" s="7" t="s">
        <v>56</v>
      </c>
      <c r="E160" s="33" t="s">
        <v>731</v>
      </c>
      <c r="F160" s="34">
        <v>248.00299999999999</v>
      </c>
      <c r="G160" s="35">
        <v>42</v>
      </c>
      <c r="I160" t="s">
        <v>718</v>
      </c>
      <c r="O160" t="str">
        <f t="shared" si="55"/>
        <v>248+003</v>
      </c>
      <c r="P160" t="str">
        <f t="shared" si="56"/>
        <v>42</v>
      </c>
      <c r="Q160" t="str">
        <f t="shared" si="57"/>
        <v>248</v>
      </c>
      <c r="R160" t="str">
        <f t="shared" si="58"/>
        <v>003</v>
      </c>
      <c r="S160">
        <f t="shared" si="59"/>
        <v>248003</v>
      </c>
      <c r="T160">
        <f t="shared" si="60"/>
        <v>248.00299999999999</v>
      </c>
    </row>
    <row r="161" spans="1:20" ht="24.95" customHeight="1" x14ac:dyDescent="0.3">
      <c r="A161" s="1"/>
      <c r="B161" s="33" t="s">
        <v>381</v>
      </c>
      <c r="C161" s="1">
        <v>14</v>
      </c>
      <c r="D161" s="7" t="s">
        <v>56</v>
      </c>
      <c r="E161" s="33" t="s">
        <v>731</v>
      </c>
      <c r="F161" s="34">
        <v>267.65100000000001</v>
      </c>
      <c r="G161" s="35">
        <v>93</v>
      </c>
      <c r="I161" t="s">
        <v>719</v>
      </c>
      <c r="O161" t="str">
        <f t="shared" si="55"/>
        <v>267+651</v>
      </c>
      <c r="P161" t="str">
        <f t="shared" si="56"/>
        <v>93</v>
      </c>
      <c r="Q161" t="str">
        <f t="shared" si="57"/>
        <v>267</v>
      </c>
      <c r="R161" t="str">
        <f t="shared" si="58"/>
        <v>651</v>
      </c>
      <c r="S161">
        <f t="shared" si="59"/>
        <v>267651</v>
      </c>
      <c r="T161">
        <f t="shared" si="60"/>
        <v>267.65100000000001</v>
      </c>
    </row>
    <row r="162" spans="1:20" ht="24.95" customHeight="1" x14ac:dyDescent="0.3">
      <c r="A162" s="1"/>
      <c r="B162" s="33" t="s">
        <v>382</v>
      </c>
      <c r="C162" s="1">
        <v>14</v>
      </c>
      <c r="D162" s="7" t="s">
        <v>56</v>
      </c>
      <c r="E162" s="33" t="s">
        <v>731</v>
      </c>
      <c r="F162" s="34">
        <v>287.16300000000001</v>
      </c>
      <c r="G162" s="35">
        <v>85</v>
      </c>
      <c r="I162" t="s">
        <v>720</v>
      </c>
      <c r="O162" t="str">
        <f t="shared" si="55"/>
        <v>287+163</v>
      </c>
      <c r="P162" t="str">
        <f t="shared" si="56"/>
        <v>85</v>
      </c>
      <c r="Q162" t="str">
        <f t="shared" si="57"/>
        <v>287</v>
      </c>
      <c r="R162" t="str">
        <f t="shared" si="58"/>
        <v>163</v>
      </c>
      <c r="S162">
        <f t="shared" si="59"/>
        <v>287163</v>
      </c>
      <c r="T162">
        <f t="shared" si="60"/>
        <v>287.16300000000001</v>
      </c>
    </row>
    <row r="163" spans="1:20" ht="24.95" customHeight="1" x14ac:dyDescent="0.3">
      <c r="A163" s="1"/>
      <c r="B163" s="33" t="s">
        <v>383</v>
      </c>
      <c r="C163" s="1">
        <v>14</v>
      </c>
      <c r="D163" s="7" t="s">
        <v>56</v>
      </c>
      <c r="E163" s="33" t="s">
        <v>730</v>
      </c>
      <c r="F163" s="34">
        <v>306.745</v>
      </c>
      <c r="G163" s="35">
        <v>78</v>
      </c>
      <c r="I163" t="s">
        <v>721</v>
      </c>
      <c r="O163" t="str">
        <f t="shared" si="55"/>
        <v>306+745</v>
      </c>
      <c r="P163" t="str">
        <f t="shared" si="56"/>
        <v>78</v>
      </c>
      <c r="Q163" t="str">
        <f t="shared" si="57"/>
        <v>306</v>
      </c>
      <c r="R163" t="str">
        <f t="shared" si="58"/>
        <v>745</v>
      </c>
      <c r="S163">
        <f t="shared" si="59"/>
        <v>306745</v>
      </c>
      <c r="T163">
        <f t="shared" si="60"/>
        <v>306.745</v>
      </c>
    </row>
    <row r="164" spans="1:20" ht="24.95" customHeight="1" x14ac:dyDescent="0.3">
      <c r="A164" s="1"/>
      <c r="B164" s="33" t="s">
        <v>384</v>
      </c>
      <c r="C164" s="1">
        <v>14</v>
      </c>
      <c r="D164" s="7" t="s">
        <v>56</v>
      </c>
      <c r="E164" s="33" t="s">
        <v>536</v>
      </c>
      <c r="F164" s="34">
        <v>326.50700000000001</v>
      </c>
      <c r="G164" s="35">
        <v>150</v>
      </c>
      <c r="I164" t="s">
        <v>722</v>
      </c>
      <c r="O164" t="str">
        <f t="shared" si="55"/>
        <v>326+507</v>
      </c>
      <c r="P164" t="str">
        <f t="shared" si="56"/>
        <v>150</v>
      </c>
      <c r="Q164" t="str">
        <f t="shared" si="57"/>
        <v>326</v>
      </c>
      <c r="R164" t="str">
        <f t="shared" si="58"/>
        <v>507</v>
      </c>
      <c r="S164">
        <f t="shared" si="59"/>
        <v>326507</v>
      </c>
      <c r="T164">
        <f t="shared" si="60"/>
        <v>326.50700000000001</v>
      </c>
    </row>
    <row r="165" spans="1:20" ht="24.95" customHeight="1" x14ac:dyDescent="0.3">
      <c r="A165" s="1"/>
      <c r="B165" s="33" t="s">
        <v>385</v>
      </c>
      <c r="C165" s="1">
        <v>14</v>
      </c>
      <c r="D165" s="7" t="s">
        <v>56</v>
      </c>
      <c r="E165" s="33" t="s">
        <v>729</v>
      </c>
      <c r="F165" s="34">
        <v>357.11399999999998</v>
      </c>
      <c r="G165" s="35">
        <v>241</v>
      </c>
      <c r="I165" t="s">
        <v>723</v>
      </c>
      <c r="O165" t="str">
        <f t="shared" si="55"/>
        <v>357+114</v>
      </c>
      <c r="P165" t="str">
        <f t="shared" si="56"/>
        <v>241</v>
      </c>
      <c r="Q165" t="str">
        <f t="shared" si="57"/>
        <v>357</v>
      </c>
      <c r="R165" t="str">
        <f t="shared" si="58"/>
        <v>114</v>
      </c>
      <c r="S165">
        <f t="shared" si="59"/>
        <v>357114</v>
      </c>
      <c r="T165">
        <f t="shared" si="60"/>
        <v>357.11399999999998</v>
      </c>
    </row>
    <row r="166" spans="1:20" ht="24.95" customHeight="1" x14ac:dyDescent="0.3">
      <c r="A166" s="1"/>
      <c r="B166" s="33" t="s">
        <v>386</v>
      </c>
      <c r="C166" s="1">
        <v>14</v>
      </c>
      <c r="D166" s="7" t="s">
        <v>56</v>
      </c>
      <c r="E166" s="33" t="s">
        <v>729</v>
      </c>
      <c r="F166" s="34">
        <v>375.16399999999999</v>
      </c>
      <c r="G166" s="35">
        <v>403</v>
      </c>
      <c r="I166" t="s">
        <v>724</v>
      </c>
      <c r="O166" t="str">
        <f t="shared" si="55"/>
        <v>375+164</v>
      </c>
      <c r="P166" t="str">
        <f t="shared" si="56"/>
        <v>403</v>
      </c>
      <c r="Q166" t="str">
        <f t="shared" si="57"/>
        <v>375</v>
      </c>
      <c r="R166" t="str">
        <f t="shared" si="58"/>
        <v>164</v>
      </c>
      <c r="S166">
        <f t="shared" si="59"/>
        <v>375164</v>
      </c>
      <c r="T166">
        <f t="shared" si="60"/>
        <v>375.16399999999999</v>
      </c>
    </row>
    <row r="167" spans="1:20" ht="24.95" customHeight="1" x14ac:dyDescent="0.3">
      <c r="A167" s="1"/>
      <c r="B167" s="33" t="s">
        <v>387</v>
      </c>
      <c r="C167" s="1">
        <v>14</v>
      </c>
      <c r="D167" s="7" t="s">
        <v>56</v>
      </c>
      <c r="E167" s="33" t="s">
        <v>777</v>
      </c>
      <c r="F167" s="34">
        <v>394.30099999999999</v>
      </c>
      <c r="G167" s="35">
        <v>538</v>
      </c>
      <c r="I167" t="s">
        <v>745</v>
      </c>
      <c r="K167" t="s">
        <v>518</v>
      </c>
      <c r="O167" t="str">
        <f t="shared" ref="O167:O183" si="61">MID(I167, 1, SEARCH(" / ", I167) - 1)</f>
        <v>394+301</v>
      </c>
      <c r="P167" t="str">
        <f t="shared" ref="P167:P183" si="62">MID(I167, SEARCH(" / ", I167) + 3, LEN(I167))</f>
        <v>538</v>
      </c>
      <c r="Q167" t="str">
        <f t="shared" ref="Q167:Q183" si="63">MID(O167, 1, SEARCH("+", O167) - 1)</f>
        <v>394</v>
      </c>
      <c r="R167" t="str">
        <f t="shared" ref="R167:R183" si="64">MID(O167, SEARCH("+", O167) + 1, LEN(O167))</f>
        <v>301</v>
      </c>
      <c r="S167">
        <f t="shared" ref="S167:S183" si="65">Q167*1000+R167</f>
        <v>394301</v>
      </c>
      <c r="T167">
        <f t="shared" ref="T167:T183" si="66">S167/1000</f>
        <v>394.30099999999999</v>
      </c>
    </row>
    <row r="168" spans="1:20" ht="24.95" customHeight="1" x14ac:dyDescent="0.3">
      <c r="A168" s="1"/>
      <c r="B168" s="33" t="s">
        <v>388</v>
      </c>
      <c r="C168" s="1">
        <v>14</v>
      </c>
      <c r="D168" s="7" t="s">
        <v>56</v>
      </c>
      <c r="E168" s="33" t="s">
        <v>777</v>
      </c>
      <c r="F168" s="34">
        <v>411.12900000000002</v>
      </c>
      <c r="G168" s="35">
        <v>474</v>
      </c>
      <c r="I168" t="s">
        <v>746</v>
      </c>
      <c r="O168" t="str">
        <f t="shared" si="61"/>
        <v>411+129</v>
      </c>
      <c r="P168" t="str">
        <f t="shared" si="62"/>
        <v>474</v>
      </c>
      <c r="Q168" t="str">
        <f t="shared" si="63"/>
        <v>411</v>
      </c>
      <c r="R168" t="str">
        <f t="shared" si="64"/>
        <v>129</v>
      </c>
      <c r="S168">
        <f t="shared" si="65"/>
        <v>411129</v>
      </c>
      <c r="T168">
        <f t="shared" si="66"/>
        <v>411.12900000000002</v>
      </c>
    </row>
    <row r="169" spans="1:20" ht="24.95" customHeight="1" x14ac:dyDescent="0.3">
      <c r="A169" s="1"/>
      <c r="B169" s="33" t="s">
        <v>389</v>
      </c>
      <c r="C169" s="1">
        <v>14</v>
      </c>
      <c r="D169" s="7" t="s">
        <v>56</v>
      </c>
      <c r="E169" s="33" t="s">
        <v>778</v>
      </c>
      <c r="F169" s="34">
        <v>446.33699999999999</v>
      </c>
      <c r="G169" s="35">
        <v>705</v>
      </c>
      <c r="I169" t="s">
        <v>747</v>
      </c>
      <c r="K169" t="s">
        <v>763</v>
      </c>
      <c r="O169" t="str">
        <f t="shared" si="61"/>
        <v>446+337</v>
      </c>
      <c r="P169" t="str">
        <f t="shared" si="62"/>
        <v>705</v>
      </c>
      <c r="Q169" t="str">
        <f t="shared" si="63"/>
        <v>446</v>
      </c>
      <c r="R169" t="str">
        <f t="shared" si="64"/>
        <v>337</v>
      </c>
      <c r="S169">
        <f t="shared" si="65"/>
        <v>446337</v>
      </c>
      <c r="T169">
        <f t="shared" si="66"/>
        <v>446.33699999999999</v>
      </c>
    </row>
    <row r="170" spans="1:20" ht="24.95" customHeight="1" x14ac:dyDescent="0.3">
      <c r="A170" s="1"/>
      <c r="B170" s="33" t="s">
        <v>451</v>
      </c>
      <c r="C170" s="1">
        <v>14</v>
      </c>
      <c r="D170" s="7" t="s">
        <v>56</v>
      </c>
      <c r="E170" s="33" t="s">
        <v>779</v>
      </c>
      <c r="F170" s="34">
        <v>461.375</v>
      </c>
      <c r="G170" s="35">
        <v>854</v>
      </c>
      <c r="I170" t="s">
        <v>748</v>
      </c>
      <c r="K170" t="s">
        <v>764</v>
      </c>
      <c r="O170" t="str">
        <f t="shared" si="61"/>
        <v>461+375</v>
      </c>
      <c r="P170" t="str">
        <f t="shared" si="62"/>
        <v>854</v>
      </c>
      <c r="Q170" t="str">
        <f t="shared" si="63"/>
        <v>461</v>
      </c>
      <c r="R170" t="str">
        <f t="shared" si="64"/>
        <v>375</v>
      </c>
      <c r="S170">
        <f t="shared" si="65"/>
        <v>461375</v>
      </c>
      <c r="T170">
        <f t="shared" si="66"/>
        <v>461.375</v>
      </c>
    </row>
    <row r="171" spans="1:20" ht="24.95" customHeight="1" x14ac:dyDescent="0.3">
      <c r="A171" s="1"/>
      <c r="B171" s="33" t="s">
        <v>452</v>
      </c>
      <c r="C171" s="1">
        <v>14</v>
      </c>
      <c r="D171" s="7" t="s">
        <v>56</v>
      </c>
      <c r="E171" s="33" t="s">
        <v>780</v>
      </c>
      <c r="F171" s="34">
        <v>478.15</v>
      </c>
      <c r="G171" s="35">
        <v>934</v>
      </c>
      <c r="I171" t="s">
        <v>749</v>
      </c>
      <c r="K171" t="s">
        <v>765</v>
      </c>
      <c r="O171" t="str">
        <f t="shared" si="61"/>
        <v>478+150</v>
      </c>
      <c r="P171" t="str">
        <f t="shared" si="62"/>
        <v>934</v>
      </c>
      <c r="Q171" t="str">
        <f t="shared" si="63"/>
        <v>478</v>
      </c>
      <c r="R171" t="str">
        <f t="shared" si="64"/>
        <v>150</v>
      </c>
      <c r="S171">
        <f t="shared" si="65"/>
        <v>478150</v>
      </c>
      <c r="T171">
        <f t="shared" si="66"/>
        <v>478.15</v>
      </c>
    </row>
    <row r="172" spans="1:20" ht="24.95" customHeight="1" x14ac:dyDescent="0.3">
      <c r="A172" s="1"/>
      <c r="B172" s="33" t="s">
        <v>453</v>
      </c>
      <c r="C172" s="1">
        <v>14</v>
      </c>
      <c r="D172" s="7" t="s">
        <v>56</v>
      </c>
      <c r="E172" s="33" t="s">
        <v>781</v>
      </c>
      <c r="F172" s="34">
        <v>496.24099999999999</v>
      </c>
      <c r="G172" s="35">
        <v>874</v>
      </c>
      <c r="I172" t="s">
        <v>750</v>
      </c>
      <c r="K172" t="s">
        <v>766</v>
      </c>
      <c r="O172" t="str">
        <f t="shared" si="61"/>
        <v>496+241</v>
      </c>
      <c r="P172" t="str">
        <f t="shared" si="62"/>
        <v>874</v>
      </c>
      <c r="Q172" t="str">
        <f t="shared" si="63"/>
        <v>496</v>
      </c>
      <c r="R172" t="str">
        <f t="shared" si="64"/>
        <v>241</v>
      </c>
      <c r="S172">
        <f t="shared" si="65"/>
        <v>496241</v>
      </c>
      <c r="T172">
        <f t="shared" si="66"/>
        <v>496.24099999999999</v>
      </c>
    </row>
    <row r="173" spans="1:20" ht="24.95" customHeight="1" x14ac:dyDescent="0.3">
      <c r="A173" s="1"/>
      <c r="B173" s="33" t="s">
        <v>454</v>
      </c>
      <c r="C173" s="1">
        <v>14</v>
      </c>
      <c r="D173" s="7" t="s">
        <v>56</v>
      </c>
      <c r="E173" s="33" t="s">
        <v>782</v>
      </c>
      <c r="F173" s="34">
        <v>508.36399999999998</v>
      </c>
      <c r="G173" s="35">
        <v>957</v>
      </c>
      <c r="I173" t="s">
        <v>751</v>
      </c>
      <c r="K173" t="s">
        <v>767</v>
      </c>
      <c r="O173" t="str">
        <f t="shared" si="61"/>
        <v>508+364</v>
      </c>
      <c r="P173" t="str">
        <f t="shared" si="62"/>
        <v>957</v>
      </c>
      <c r="Q173" t="str">
        <f t="shared" si="63"/>
        <v>508</v>
      </c>
      <c r="R173" t="str">
        <f t="shared" si="64"/>
        <v>364</v>
      </c>
      <c r="S173">
        <f t="shared" si="65"/>
        <v>508364</v>
      </c>
      <c r="T173">
        <f t="shared" si="66"/>
        <v>508.36399999999998</v>
      </c>
    </row>
    <row r="174" spans="1:20" ht="24.95" customHeight="1" x14ac:dyDescent="0.3">
      <c r="A174" s="1"/>
      <c r="B174" s="33" t="s">
        <v>734</v>
      </c>
      <c r="C174" s="1">
        <v>14</v>
      </c>
      <c r="D174" s="7" t="s">
        <v>56</v>
      </c>
      <c r="E174" s="33" t="s">
        <v>783</v>
      </c>
      <c r="F174" s="34">
        <v>525.23900000000003</v>
      </c>
      <c r="G174" s="35">
        <v>833</v>
      </c>
      <c r="I174" t="s">
        <v>752</v>
      </c>
      <c r="K174" t="s">
        <v>768</v>
      </c>
      <c r="O174" t="str">
        <f t="shared" si="61"/>
        <v>525+239</v>
      </c>
      <c r="P174" t="str">
        <f t="shared" si="62"/>
        <v>833</v>
      </c>
      <c r="Q174" t="str">
        <f t="shared" si="63"/>
        <v>525</v>
      </c>
      <c r="R174" t="str">
        <f t="shared" si="64"/>
        <v>239</v>
      </c>
      <c r="S174">
        <f t="shared" si="65"/>
        <v>525239</v>
      </c>
      <c r="T174">
        <f t="shared" si="66"/>
        <v>525.23900000000003</v>
      </c>
    </row>
    <row r="175" spans="1:20" ht="24.95" customHeight="1" x14ac:dyDescent="0.3">
      <c r="A175" s="1"/>
      <c r="B175" s="33" t="s">
        <v>735</v>
      </c>
      <c r="C175" s="1">
        <v>14</v>
      </c>
      <c r="D175" s="7" t="s">
        <v>56</v>
      </c>
      <c r="E175" s="33" t="s">
        <v>783</v>
      </c>
      <c r="F175" s="34">
        <v>540.75300000000004</v>
      </c>
      <c r="G175" s="35">
        <v>780</v>
      </c>
      <c r="I175" t="s">
        <v>753</v>
      </c>
      <c r="K175" t="s">
        <v>769</v>
      </c>
      <c r="O175" t="str">
        <f t="shared" si="61"/>
        <v>540+753</v>
      </c>
      <c r="P175" t="str">
        <f t="shared" si="62"/>
        <v>780</v>
      </c>
      <c r="Q175" t="str">
        <f t="shared" si="63"/>
        <v>540</v>
      </c>
      <c r="R175" t="str">
        <f t="shared" si="64"/>
        <v>753</v>
      </c>
      <c r="S175">
        <f t="shared" si="65"/>
        <v>540753</v>
      </c>
      <c r="T175">
        <f t="shared" si="66"/>
        <v>540.75300000000004</v>
      </c>
    </row>
    <row r="176" spans="1:20" ht="24.95" customHeight="1" x14ac:dyDescent="0.3">
      <c r="A176" s="1"/>
      <c r="B176" s="33" t="s">
        <v>736</v>
      </c>
      <c r="C176" s="1">
        <v>14</v>
      </c>
      <c r="D176" s="7" t="s">
        <v>56</v>
      </c>
      <c r="E176" s="33" t="s">
        <v>783</v>
      </c>
      <c r="F176" s="34">
        <v>554.19299999999998</v>
      </c>
      <c r="G176" s="35">
        <v>660</v>
      </c>
      <c r="I176" t="s">
        <v>754</v>
      </c>
      <c r="K176" t="s">
        <v>770</v>
      </c>
      <c r="O176" t="str">
        <f t="shared" si="61"/>
        <v>554+193</v>
      </c>
      <c r="P176" t="str">
        <f t="shared" si="62"/>
        <v>660</v>
      </c>
      <c r="Q176" t="str">
        <f t="shared" si="63"/>
        <v>554</v>
      </c>
      <c r="R176" t="str">
        <f t="shared" si="64"/>
        <v>193</v>
      </c>
      <c r="S176">
        <f t="shared" si="65"/>
        <v>554193</v>
      </c>
      <c r="T176">
        <f t="shared" si="66"/>
        <v>554.19299999999998</v>
      </c>
    </row>
    <row r="177" spans="1:20" ht="24.95" customHeight="1" x14ac:dyDescent="0.3">
      <c r="A177" s="1"/>
      <c r="B177" s="33" t="s">
        <v>737</v>
      </c>
      <c r="C177" s="1">
        <v>14</v>
      </c>
      <c r="D177" s="7" t="s">
        <v>56</v>
      </c>
      <c r="E177" s="33" t="s">
        <v>784</v>
      </c>
      <c r="F177" s="34">
        <v>568.76099999999997</v>
      </c>
      <c r="G177" s="35">
        <v>770</v>
      </c>
      <c r="I177" t="s">
        <v>755</v>
      </c>
      <c r="K177" t="s">
        <v>771</v>
      </c>
      <c r="O177" t="str">
        <f t="shared" si="61"/>
        <v>568+761</v>
      </c>
      <c r="P177" t="str">
        <f t="shared" si="62"/>
        <v>770</v>
      </c>
      <c r="Q177" t="str">
        <f t="shared" si="63"/>
        <v>568</v>
      </c>
      <c r="R177" t="str">
        <f t="shared" si="64"/>
        <v>761</v>
      </c>
      <c r="S177">
        <f t="shared" si="65"/>
        <v>568761</v>
      </c>
      <c r="T177">
        <f t="shared" si="66"/>
        <v>568.76099999999997</v>
      </c>
    </row>
    <row r="178" spans="1:20" ht="24.95" customHeight="1" x14ac:dyDescent="0.3">
      <c r="A178" s="1"/>
      <c r="B178" s="33" t="s">
        <v>738</v>
      </c>
      <c r="C178" s="1">
        <v>14</v>
      </c>
      <c r="D178" s="7" t="s">
        <v>56</v>
      </c>
      <c r="E178" s="33" t="s">
        <v>543</v>
      </c>
      <c r="F178" s="34">
        <v>576.08000000000004</v>
      </c>
      <c r="G178" s="35">
        <v>432</v>
      </c>
      <c r="I178" t="s">
        <v>756</v>
      </c>
      <c r="K178" t="s">
        <v>524</v>
      </c>
      <c r="O178" t="str">
        <f t="shared" si="61"/>
        <v>576+080</v>
      </c>
      <c r="P178" t="str">
        <f t="shared" si="62"/>
        <v>432</v>
      </c>
      <c r="Q178" t="str">
        <f t="shared" si="63"/>
        <v>576</v>
      </c>
      <c r="R178" t="str">
        <f t="shared" si="64"/>
        <v>080</v>
      </c>
      <c r="S178">
        <f t="shared" si="65"/>
        <v>576080</v>
      </c>
      <c r="T178">
        <f t="shared" si="66"/>
        <v>576.08000000000004</v>
      </c>
    </row>
    <row r="179" spans="1:20" ht="24.95" customHeight="1" x14ac:dyDescent="0.3">
      <c r="A179" s="1"/>
      <c r="B179" s="33" t="s">
        <v>739</v>
      </c>
      <c r="C179" s="1">
        <v>14</v>
      </c>
      <c r="D179" s="7" t="s">
        <v>56</v>
      </c>
      <c r="E179" s="33" t="s">
        <v>785</v>
      </c>
      <c r="F179" s="34">
        <v>588.96</v>
      </c>
      <c r="G179" s="35">
        <v>594</v>
      </c>
      <c r="I179" t="s">
        <v>757</v>
      </c>
      <c r="K179" t="s">
        <v>772</v>
      </c>
      <c r="O179" t="str">
        <f t="shared" si="61"/>
        <v>588+960</v>
      </c>
      <c r="P179" t="str">
        <f t="shared" si="62"/>
        <v>594</v>
      </c>
      <c r="Q179" t="str">
        <f t="shared" si="63"/>
        <v>588</v>
      </c>
      <c r="R179" t="str">
        <f t="shared" si="64"/>
        <v>960</v>
      </c>
      <c r="S179">
        <f t="shared" si="65"/>
        <v>588960</v>
      </c>
      <c r="T179">
        <f t="shared" si="66"/>
        <v>588.96</v>
      </c>
    </row>
    <row r="180" spans="1:20" ht="24.95" customHeight="1" x14ac:dyDescent="0.3">
      <c r="A180" s="1"/>
      <c r="B180" s="33" t="s">
        <v>740</v>
      </c>
      <c r="C180" s="1">
        <v>14</v>
      </c>
      <c r="D180" s="7" t="s">
        <v>56</v>
      </c>
      <c r="E180" s="33" t="s">
        <v>786</v>
      </c>
      <c r="F180" s="34">
        <v>599.88800000000003</v>
      </c>
      <c r="G180" s="35">
        <v>568</v>
      </c>
      <c r="I180" t="s">
        <v>758</v>
      </c>
      <c r="K180" t="s">
        <v>773</v>
      </c>
      <c r="O180" t="str">
        <f t="shared" si="61"/>
        <v>599+888</v>
      </c>
      <c r="P180" t="str">
        <f t="shared" si="62"/>
        <v>568</v>
      </c>
      <c r="Q180" t="str">
        <f t="shared" si="63"/>
        <v>599</v>
      </c>
      <c r="R180" t="str">
        <f t="shared" si="64"/>
        <v>888</v>
      </c>
      <c r="S180">
        <f t="shared" si="65"/>
        <v>599888</v>
      </c>
      <c r="T180">
        <f t="shared" si="66"/>
        <v>599.88800000000003</v>
      </c>
    </row>
    <row r="181" spans="1:20" ht="24.95" customHeight="1" x14ac:dyDescent="0.3">
      <c r="A181" s="1"/>
      <c r="B181" s="33" t="s">
        <v>741</v>
      </c>
      <c r="C181" s="1">
        <v>14</v>
      </c>
      <c r="D181" s="7" t="s">
        <v>56</v>
      </c>
      <c r="E181" s="33" t="s">
        <v>787</v>
      </c>
      <c r="F181" s="34">
        <v>614.43499999999995</v>
      </c>
      <c r="G181" s="35">
        <v>172</v>
      </c>
      <c r="I181" t="s">
        <v>759</v>
      </c>
      <c r="K181" t="s">
        <v>774</v>
      </c>
      <c r="O181" t="str">
        <f t="shared" si="61"/>
        <v>614+435</v>
      </c>
      <c r="P181" t="str">
        <f t="shared" si="62"/>
        <v>172</v>
      </c>
      <c r="Q181" t="str">
        <f t="shared" si="63"/>
        <v>614</v>
      </c>
      <c r="R181" t="str">
        <f t="shared" si="64"/>
        <v>435</v>
      </c>
      <c r="S181">
        <f t="shared" si="65"/>
        <v>614435</v>
      </c>
      <c r="T181">
        <f t="shared" si="66"/>
        <v>614.43499999999995</v>
      </c>
    </row>
    <row r="182" spans="1:20" ht="24.95" customHeight="1" x14ac:dyDescent="0.3">
      <c r="A182" s="1"/>
      <c r="B182" s="33" t="s">
        <v>742</v>
      </c>
      <c r="C182" s="1">
        <v>14</v>
      </c>
      <c r="D182" s="7" t="s">
        <v>56</v>
      </c>
      <c r="E182" s="33" t="s">
        <v>787</v>
      </c>
      <c r="F182" s="34">
        <v>623.41700000000003</v>
      </c>
      <c r="G182" s="35">
        <v>149</v>
      </c>
      <c r="I182" t="s">
        <v>760</v>
      </c>
      <c r="K182" t="s">
        <v>775</v>
      </c>
      <c r="O182" t="str">
        <f t="shared" si="61"/>
        <v>623+417</v>
      </c>
      <c r="P182" t="str">
        <f t="shared" si="62"/>
        <v>149</v>
      </c>
      <c r="Q182" t="str">
        <f t="shared" si="63"/>
        <v>623</v>
      </c>
      <c r="R182" t="str">
        <f t="shared" si="64"/>
        <v>417</v>
      </c>
      <c r="S182">
        <f t="shared" si="65"/>
        <v>623417</v>
      </c>
      <c r="T182">
        <f t="shared" si="66"/>
        <v>623.41700000000003</v>
      </c>
    </row>
    <row r="183" spans="1:20" ht="24.95" customHeight="1" x14ac:dyDescent="0.3">
      <c r="A183" s="1"/>
      <c r="B183" s="33" t="s">
        <v>743</v>
      </c>
      <c r="C183" s="1">
        <v>14</v>
      </c>
      <c r="D183" s="7" t="s">
        <v>56</v>
      </c>
      <c r="E183" s="33" t="s">
        <v>788</v>
      </c>
      <c r="F183" s="34">
        <v>633.08500000000004</v>
      </c>
      <c r="G183" s="35">
        <v>60</v>
      </c>
      <c r="I183" t="s">
        <v>761</v>
      </c>
      <c r="K183" t="s">
        <v>776</v>
      </c>
      <c r="O183" t="str">
        <f t="shared" si="61"/>
        <v>633+085</v>
      </c>
      <c r="P183" t="str">
        <f t="shared" si="62"/>
        <v>60</v>
      </c>
      <c r="Q183" t="str">
        <f t="shared" si="63"/>
        <v>633</v>
      </c>
      <c r="R183" t="str">
        <f t="shared" si="64"/>
        <v>085</v>
      </c>
      <c r="S183">
        <f t="shared" si="65"/>
        <v>633085</v>
      </c>
      <c r="T183">
        <f t="shared" si="66"/>
        <v>633.08500000000004</v>
      </c>
    </row>
    <row r="184" spans="1:20" ht="24.95" customHeight="1" x14ac:dyDescent="0.3">
      <c r="A184" s="1"/>
      <c r="B184" s="33" t="s">
        <v>744</v>
      </c>
      <c r="C184" s="1">
        <v>14</v>
      </c>
      <c r="D184" s="7" t="s">
        <v>56</v>
      </c>
      <c r="E184" s="33" t="s">
        <v>789</v>
      </c>
      <c r="F184" s="34">
        <v>641.44399999999996</v>
      </c>
      <c r="G184" s="35">
        <v>30</v>
      </c>
      <c r="I184" t="s">
        <v>762</v>
      </c>
      <c r="K184" t="s">
        <v>527</v>
      </c>
      <c r="O184" t="str">
        <f t="shared" si="8"/>
        <v>641+444</v>
      </c>
      <c r="P184" t="str">
        <f t="shared" si="9"/>
        <v>30</v>
      </c>
      <c r="Q184" t="str">
        <f t="shared" si="10"/>
        <v>641</v>
      </c>
      <c r="R184" t="str">
        <f t="shared" si="11"/>
        <v>444</v>
      </c>
      <c r="S184">
        <f t="shared" si="12"/>
        <v>641444</v>
      </c>
      <c r="T184">
        <f t="shared" si="15"/>
        <v>641.44399999999996</v>
      </c>
    </row>
    <row r="185" spans="1:20" ht="24.95" customHeight="1" x14ac:dyDescent="0.3">
      <c r="A185" s="1"/>
      <c r="B185" s="33" t="s">
        <v>479</v>
      </c>
      <c r="C185" s="1">
        <v>15</v>
      </c>
      <c r="D185" s="7" t="s">
        <v>57</v>
      </c>
      <c r="E185" s="33" t="s">
        <v>628</v>
      </c>
      <c r="F185" s="34">
        <v>27</v>
      </c>
      <c r="G185" s="35">
        <v>637</v>
      </c>
      <c r="I185" t="s">
        <v>790</v>
      </c>
      <c r="O185" t="str">
        <f t="shared" ref="O185:O194" si="67">MID(I185, 1, SEARCH(" / ", I185) - 1)</f>
        <v>27</v>
      </c>
      <c r="P185" t="str">
        <f t="shared" ref="P185:P194" si="68">MID(I185, SEARCH(" / ", I185) + 3, LEN(I185))</f>
        <v>637</v>
      </c>
      <c r="Q185" t="s">
        <v>800</v>
      </c>
      <c r="R185">
        <v>0</v>
      </c>
      <c r="S185">
        <f t="shared" ref="S185:S194" si="69">Q185*1000+R185</f>
        <v>27000</v>
      </c>
      <c r="T185">
        <f t="shared" ref="T185:T194" si="70">S185/1000</f>
        <v>27</v>
      </c>
    </row>
    <row r="186" spans="1:20" ht="24.95" customHeight="1" x14ac:dyDescent="0.3">
      <c r="A186" s="1"/>
      <c r="B186" s="33" t="s">
        <v>479</v>
      </c>
      <c r="C186" s="1">
        <v>15</v>
      </c>
      <c r="D186" s="7" t="s">
        <v>57</v>
      </c>
      <c r="E186" s="33" t="s">
        <v>628</v>
      </c>
      <c r="F186" s="34">
        <v>40</v>
      </c>
      <c r="G186" s="35">
        <v>515</v>
      </c>
      <c r="I186" t="s">
        <v>791</v>
      </c>
      <c r="O186" t="str">
        <f t="shared" si="67"/>
        <v>40</v>
      </c>
      <c r="P186" t="str">
        <f t="shared" si="68"/>
        <v>515</v>
      </c>
      <c r="Q186" t="s">
        <v>801</v>
      </c>
      <c r="R186">
        <v>0</v>
      </c>
      <c r="S186">
        <f t="shared" si="69"/>
        <v>40000</v>
      </c>
      <c r="T186">
        <f t="shared" si="70"/>
        <v>40</v>
      </c>
    </row>
    <row r="187" spans="1:20" ht="24.95" customHeight="1" x14ac:dyDescent="0.3">
      <c r="A187" s="1"/>
      <c r="B187" s="33" t="s">
        <v>480</v>
      </c>
      <c r="C187" s="1">
        <v>15</v>
      </c>
      <c r="D187" s="7" t="s">
        <v>57</v>
      </c>
      <c r="E187" s="33" t="s">
        <v>804</v>
      </c>
      <c r="F187" s="34">
        <v>78</v>
      </c>
      <c r="G187" s="35">
        <v>438</v>
      </c>
      <c r="I187" t="s">
        <v>792</v>
      </c>
      <c r="O187" t="str">
        <f t="shared" si="67"/>
        <v>78</v>
      </c>
      <c r="P187" t="str">
        <f t="shared" si="68"/>
        <v>438</v>
      </c>
      <c r="Q187" t="s">
        <v>802</v>
      </c>
      <c r="R187">
        <v>0</v>
      </c>
      <c r="S187">
        <f t="shared" si="69"/>
        <v>78000</v>
      </c>
      <c r="T187">
        <f t="shared" si="70"/>
        <v>78</v>
      </c>
    </row>
    <row r="188" spans="1:20" ht="24.95" customHeight="1" x14ac:dyDescent="0.3">
      <c r="A188" s="1"/>
      <c r="B188" s="33" t="s">
        <v>481</v>
      </c>
      <c r="C188" s="1">
        <v>15</v>
      </c>
      <c r="D188" s="7" t="s">
        <v>57</v>
      </c>
      <c r="E188" s="33" t="s">
        <v>804</v>
      </c>
      <c r="F188" s="34">
        <v>117.3</v>
      </c>
      <c r="G188" s="35">
        <v>373</v>
      </c>
      <c r="I188" t="s">
        <v>793</v>
      </c>
      <c r="O188" t="str">
        <f t="shared" si="67"/>
        <v>117+300</v>
      </c>
      <c r="P188" t="str">
        <f t="shared" si="68"/>
        <v>373</v>
      </c>
      <c r="Q188" t="str">
        <f t="shared" ref="Q188:Q194" si="71">MID(O188, 1, SEARCH("+", O188) - 1)</f>
        <v>117</v>
      </c>
      <c r="R188" t="str">
        <f t="shared" ref="R188:R194" si="72">MID(O188, SEARCH("+", O188) + 1, LEN(O188))</f>
        <v>300</v>
      </c>
      <c r="S188">
        <f t="shared" si="69"/>
        <v>117300</v>
      </c>
      <c r="T188">
        <f t="shared" si="70"/>
        <v>117.3</v>
      </c>
    </row>
    <row r="189" spans="1:20" ht="24.95" customHeight="1" x14ac:dyDescent="0.3">
      <c r="A189" s="1"/>
      <c r="B189" s="33" t="s">
        <v>482</v>
      </c>
      <c r="C189" s="1">
        <v>15</v>
      </c>
      <c r="D189" s="7" t="s">
        <v>57</v>
      </c>
      <c r="E189" s="33" t="s">
        <v>804</v>
      </c>
      <c r="F189" s="34">
        <v>201.6</v>
      </c>
      <c r="G189" s="35">
        <v>273</v>
      </c>
      <c r="I189" t="s">
        <v>794</v>
      </c>
      <c r="O189" t="str">
        <f t="shared" si="67"/>
        <v>201+600</v>
      </c>
      <c r="P189" t="str">
        <f t="shared" si="68"/>
        <v>273</v>
      </c>
      <c r="Q189" t="str">
        <f t="shared" si="71"/>
        <v>201</v>
      </c>
      <c r="R189" t="str">
        <f t="shared" si="72"/>
        <v>600</v>
      </c>
      <c r="S189">
        <f t="shared" si="69"/>
        <v>201600</v>
      </c>
      <c r="T189">
        <f t="shared" si="70"/>
        <v>201.6</v>
      </c>
    </row>
    <row r="190" spans="1:20" ht="24.95" customHeight="1" x14ac:dyDescent="0.3">
      <c r="A190" s="1"/>
      <c r="B190" s="33" t="s">
        <v>483</v>
      </c>
      <c r="C190" s="1">
        <v>15</v>
      </c>
      <c r="D190" s="7" t="s">
        <v>57</v>
      </c>
      <c r="E190" s="33" t="s">
        <v>804</v>
      </c>
      <c r="F190" s="34">
        <v>255.3</v>
      </c>
      <c r="G190" s="35">
        <v>242</v>
      </c>
      <c r="I190" t="s">
        <v>795</v>
      </c>
      <c r="O190" t="str">
        <f t="shared" si="67"/>
        <v>255+300</v>
      </c>
      <c r="P190" t="str">
        <f t="shared" si="68"/>
        <v>242</v>
      </c>
      <c r="Q190" t="str">
        <f t="shared" si="71"/>
        <v>255</v>
      </c>
      <c r="R190" t="str">
        <f t="shared" si="72"/>
        <v>300</v>
      </c>
      <c r="S190">
        <f t="shared" si="69"/>
        <v>255300</v>
      </c>
      <c r="T190">
        <f t="shared" si="70"/>
        <v>255.3</v>
      </c>
    </row>
    <row r="191" spans="1:20" ht="24.95" customHeight="1" x14ac:dyDescent="0.3">
      <c r="A191" s="1"/>
      <c r="B191" s="33" t="s">
        <v>484</v>
      </c>
      <c r="C191" s="1">
        <v>15</v>
      </c>
      <c r="D191" s="7" t="s">
        <v>57</v>
      </c>
      <c r="E191" s="33" t="s">
        <v>804</v>
      </c>
      <c r="F191" s="34">
        <v>293.60000000000002</v>
      </c>
      <c r="G191" s="35">
        <v>226</v>
      </c>
      <c r="I191" t="s">
        <v>796</v>
      </c>
      <c r="O191" t="str">
        <f t="shared" si="67"/>
        <v>293+600</v>
      </c>
      <c r="P191" t="str">
        <f t="shared" si="68"/>
        <v>226</v>
      </c>
      <c r="Q191" t="str">
        <f t="shared" si="71"/>
        <v>293</v>
      </c>
      <c r="R191" t="str">
        <f t="shared" si="72"/>
        <v>600</v>
      </c>
      <c r="S191">
        <f t="shared" si="69"/>
        <v>293600</v>
      </c>
      <c r="T191">
        <f t="shared" si="70"/>
        <v>293.60000000000002</v>
      </c>
    </row>
    <row r="192" spans="1:20" ht="24.95" customHeight="1" x14ac:dyDescent="0.3">
      <c r="A192" s="1"/>
      <c r="B192" s="33" t="s">
        <v>485</v>
      </c>
      <c r="C192" s="1">
        <v>15</v>
      </c>
      <c r="D192" s="7" t="s">
        <v>57</v>
      </c>
      <c r="E192" s="33" t="s">
        <v>355</v>
      </c>
      <c r="F192" s="34">
        <v>386</v>
      </c>
      <c r="G192" s="35">
        <v>183</v>
      </c>
      <c r="I192" t="s">
        <v>797</v>
      </c>
      <c r="O192" t="str">
        <f t="shared" si="67"/>
        <v>386</v>
      </c>
      <c r="P192" t="str">
        <f t="shared" si="68"/>
        <v>183</v>
      </c>
      <c r="Q192" t="s">
        <v>803</v>
      </c>
      <c r="R192">
        <v>0</v>
      </c>
      <c r="S192">
        <f t="shared" si="69"/>
        <v>386000</v>
      </c>
      <c r="T192">
        <f t="shared" si="70"/>
        <v>386</v>
      </c>
    </row>
    <row r="193" spans="1:20" ht="24.95" customHeight="1" x14ac:dyDescent="0.3">
      <c r="A193" s="1"/>
      <c r="B193" s="33" t="s">
        <v>486</v>
      </c>
      <c r="C193" s="1">
        <v>15</v>
      </c>
      <c r="D193" s="7" t="s">
        <v>57</v>
      </c>
      <c r="E193" s="33" t="s">
        <v>355</v>
      </c>
      <c r="F193" s="34">
        <v>435.1</v>
      </c>
      <c r="G193" s="35">
        <v>159</v>
      </c>
      <c r="I193" t="s">
        <v>798</v>
      </c>
      <c r="O193" t="str">
        <f t="shared" si="67"/>
        <v>435+100</v>
      </c>
      <c r="P193" t="str">
        <f t="shared" si="68"/>
        <v>159</v>
      </c>
      <c r="Q193" t="str">
        <f t="shared" si="71"/>
        <v>435</v>
      </c>
      <c r="R193" t="str">
        <f t="shared" si="72"/>
        <v>100</v>
      </c>
      <c r="S193">
        <f t="shared" si="69"/>
        <v>435100</v>
      </c>
      <c r="T193">
        <f t="shared" si="70"/>
        <v>435.1</v>
      </c>
    </row>
    <row r="194" spans="1:20" ht="24.95" customHeight="1" x14ac:dyDescent="0.3">
      <c r="A194" s="1"/>
      <c r="B194" s="33" t="s">
        <v>487</v>
      </c>
      <c r="C194" s="1">
        <v>15</v>
      </c>
      <c r="D194" s="7" t="s">
        <v>57</v>
      </c>
      <c r="E194" s="33" t="s">
        <v>355</v>
      </c>
      <c r="F194" s="34">
        <v>475.1</v>
      </c>
      <c r="G194" s="35">
        <v>145</v>
      </c>
      <c r="I194" t="s">
        <v>799</v>
      </c>
      <c r="O194" t="str">
        <f t="shared" si="67"/>
        <v>475+100</v>
      </c>
      <c r="P194" t="str">
        <f t="shared" si="68"/>
        <v>145</v>
      </c>
      <c r="Q194" t="str">
        <f t="shared" si="71"/>
        <v>475</v>
      </c>
      <c r="R194" t="str">
        <f t="shared" si="72"/>
        <v>100</v>
      </c>
      <c r="S194">
        <f t="shared" si="69"/>
        <v>475100</v>
      </c>
      <c r="T194">
        <f t="shared" si="70"/>
        <v>475.1</v>
      </c>
    </row>
    <row r="195" spans="1:20" ht="24.95" customHeight="1" x14ac:dyDescent="0.3">
      <c r="A195" s="1"/>
      <c r="B195" s="33" t="s">
        <v>479</v>
      </c>
      <c r="C195" s="1">
        <v>16</v>
      </c>
      <c r="D195" s="5" t="s">
        <v>99</v>
      </c>
      <c r="E195" s="33" t="s">
        <v>456</v>
      </c>
      <c r="F195" s="34">
        <v>33.4</v>
      </c>
      <c r="G195" s="35">
        <v>800</v>
      </c>
      <c r="I195" t="s">
        <v>815</v>
      </c>
      <c r="K195" t="s">
        <v>456</v>
      </c>
      <c r="O195" t="str">
        <f t="shared" ref="O195:O212" si="73">MID(I195, 1, SEARCH(" / ", I195) - 1)</f>
        <v>33+400</v>
      </c>
      <c r="P195" t="str">
        <f t="shared" ref="P195:P212" si="74">MID(I195, SEARCH(" / ", I195) + 3, LEN(I195))</f>
        <v>800</v>
      </c>
      <c r="Q195" t="str">
        <f t="shared" ref="Q195:Q212" si="75">MID(O195, 1, SEARCH("+", O195) - 1)</f>
        <v>33</v>
      </c>
      <c r="R195" t="str">
        <f t="shared" ref="R195:R212" si="76">MID(O195, SEARCH("+", O195) + 1, LEN(O195))</f>
        <v>400</v>
      </c>
      <c r="S195">
        <f t="shared" ref="S195:S212" si="77">Q195*1000+R195</f>
        <v>33400</v>
      </c>
      <c r="T195">
        <f t="shared" ref="T195:T212" si="78">S195/1000</f>
        <v>33.4</v>
      </c>
    </row>
    <row r="196" spans="1:20" ht="24.95" customHeight="1" x14ac:dyDescent="0.3">
      <c r="A196" s="1"/>
      <c r="B196" s="33" t="s">
        <v>480</v>
      </c>
      <c r="C196" s="1">
        <v>16</v>
      </c>
      <c r="D196" s="5" t="s">
        <v>99</v>
      </c>
      <c r="E196" s="36" t="s">
        <v>456</v>
      </c>
      <c r="F196" s="34">
        <v>66.8</v>
      </c>
      <c r="G196" s="35">
        <v>920</v>
      </c>
      <c r="I196" t="s">
        <v>816</v>
      </c>
      <c r="O196" t="str">
        <f t="shared" si="73"/>
        <v>66+800</v>
      </c>
      <c r="P196" t="str">
        <f t="shared" si="74"/>
        <v>920</v>
      </c>
      <c r="Q196" t="str">
        <f t="shared" si="75"/>
        <v>66</v>
      </c>
      <c r="R196" t="str">
        <f t="shared" si="76"/>
        <v>800</v>
      </c>
      <c r="S196">
        <f t="shared" si="77"/>
        <v>66800</v>
      </c>
      <c r="T196">
        <f t="shared" si="78"/>
        <v>66.8</v>
      </c>
    </row>
    <row r="197" spans="1:20" ht="24.95" customHeight="1" x14ac:dyDescent="0.3">
      <c r="A197" s="1"/>
      <c r="B197" s="33" t="s">
        <v>481</v>
      </c>
      <c r="C197" s="1">
        <v>16</v>
      </c>
      <c r="D197" s="5" t="s">
        <v>99</v>
      </c>
      <c r="E197" s="38" t="s">
        <v>832</v>
      </c>
      <c r="F197" s="34">
        <v>91.3</v>
      </c>
      <c r="G197" s="35">
        <v>820</v>
      </c>
      <c r="I197" t="s">
        <v>817</v>
      </c>
      <c r="K197" t="s">
        <v>832</v>
      </c>
      <c r="O197" t="str">
        <f t="shared" si="73"/>
        <v>91+300</v>
      </c>
      <c r="P197" t="str">
        <f t="shared" si="74"/>
        <v>820</v>
      </c>
      <c r="Q197" t="str">
        <f t="shared" si="75"/>
        <v>91</v>
      </c>
      <c r="R197" t="str">
        <f t="shared" si="76"/>
        <v>300</v>
      </c>
      <c r="S197">
        <f t="shared" si="77"/>
        <v>91300</v>
      </c>
      <c r="T197">
        <f t="shared" si="78"/>
        <v>91.3</v>
      </c>
    </row>
    <row r="198" spans="1:20" ht="24.95" customHeight="1" x14ac:dyDescent="0.3">
      <c r="A198" s="1"/>
      <c r="B198" s="33" t="s">
        <v>482</v>
      </c>
      <c r="C198" s="1">
        <v>16</v>
      </c>
      <c r="D198" s="5" t="s">
        <v>99</v>
      </c>
      <c r="E198" s="37" t="s">
        <v>833</v>
      </c>
      <c r="F198" s="34">
        <v>153.5</v>
      </c>
      <c r="G198" s="35">
        <v>1250</v>
      </c>
      <c r="I198" t="s">
        <v>818</v>
      </c>
      <c r="K198" t="s">
        <v>833</v>
      </c>
      <c r="O198" t="str">
        <f t="shared" si="73"/>
        <v>153+500</v>
      </c>
      <c r="P198" t="str">
        <f t="shared" si="74"/>
        <v>1250</v>
      </c>
      <c r="Q198" t="str">
        <f t="shared" si="75"/>
        <v>153</v>
      </c>
      <c r="R198" t="str">
        <f t="shared" si="76"/>
        <v>500</v>
      </c>
      <c r="S198">
        <f t="shared" si="77"/>
        <v>153500</v>
      </c>
      <c r="T198">
        <f t="shared" si="78"/>
        <v>153.5</v>
      </c>
    </row>
    <row r="199" spans="1:20" ht="24.95" customHeight="1" x14ac:dyDescent="0.3">
      <c r="A199" s="1"/>
      <c r="B199" s="33" t="s">
        <v>483</v>
      </c>
      <c r="C199" s="1">
        <v>16</v>
      </c>
      <c r="D199" s="5" t="s">
        <v>99</v>
      </c>
      <c r="E199" s="33" t="s">
        <v>834</v>
      </c>
      <c r="F199" s="34">
        <v>189</v>
      </c>
      <c r="G199" s="35">
        <v>1000</v>
      </c>
      <c r="I199" t="s">
        <v>819</v>
      </c>
      <c r="K199" t="s">
        <v>834</v>
      </c>
      <c r="O199" t="str">
        <f t="shared" si="73"/>
        <v>189</v>
      </c>
      <c r="P199" t="str">
        <f t="shared" si="74"/>
        <v>1000</v>
      </c>
      <c r="Q199" t="s">
        <v>843</v>
      </c>
      <c r="R199">
        <v>0</v>
      </c>
      <c r="S199">
        <f t="shared" si="77"/>
        <v>189000</v>
      </c>
      <c r="T199">
        <f t="shared" si="78"/>
        <v>189</v>
      </c>
    </row>
    <row r="200" spans="1:20" ht="24.95" customHeight="1" x14ac:dyDescent="0.3">
      <c r="A200" s="1"/>
      <c r="B200" s="33" t="s">
        <v>484</v>
      </c>
      <c r="C200" s="1">
        <v>16</v>
      </c>
      <c r="D200" s="5" t="s">
        <v>99</v>
      </c>
      <c r="E200" s="36" t="s">
        <v>417</v>
      </c>
      <c r="F200" s="34">
        <v>219</v>
      </c>
      <c r="G200" s="35">
        <v>920</v>
      </c>
      <c r="I200" t="s">
        <v>820</v>
      </c>
      <c r="K200" t="s">
        <v>417</v>
      </c>
      <c r="O200" t="str">
        <f t="shared" si="73"/>
        <v>219</v>
      </c>
      <c r="P200" t="str">
        <f t="shared" si="74"/>
        <v>920</v>
      </c>
      <c r="Q200" t="s">
        <v>844</v>
      </c>
      <c r="R200">
        <v>0</v>
      </c>
      <c r="S200">
        <f t="shared" si="77"/>
        <v>219000</v>
      </c>
      <c r="T200">
        <f t="shared" si="78"/>
        <v>219</v>
      </c>
    </row>
    <row r="201" spans="1:20" ht="24.95" customHeight="1" x14ac:dyDescent="0.3">
      <c r="A201" s="1"/>
      <c r="B201" s="33" t="s">
        <v>485</v>
      </c>
      <c r="C201" s="1">
        <v>16</v>
      </c>
      <c r="D201" s="5" t="s">
        <v>99</v>
      </c>
      <c r="E201" s="37" t="s">
        <v>417</v>
      </c>
      <c r="F201" s="34">
        <v>249</v>
      </c>
      <c r="G201" s="35">
        <v>1100</v>
      </c>
      <c r="I201" t="s">
        <v>821</v>
      </c>
      <c r="O201" t="str">
        <f t="shared" si="73"/>
        <v>249</v>
      </c>
      <c r="P201" t="str">
        <f t="shared" si="74"/>
        <v>1100</v>
      </c>
      <c r="Q201" t="s">
        <v>845</v>
      </c>
      <c r="R201">
        <v>0</v>
      </c>
      <c r="S201">
        <f t="shared" si="77"/>
        <v>249000</v>
      </c>
      <c r="T201">
        <f t="shared" si="78"/>
        <v>249</v>
      </c>
    </row>
    <row r="202" spans="1:20" ht="24.95" customHeight="1" x14ac:dyDescent="0.3">
      <c r="A202" s="1"/>
      <c r="B202" s="33" t="s">
        <v>486</v>
      </c>
      <c r="C202" s="1">
        <v>16</v>
      </c>
      <c r="D202" s="5" t="s">
        <v>99</v>
      </c>
      <c r="E202" s="33" t="s">
        <v>835</v>
      </c>
      <c r="F202" s="34">
        <v>281</v>
      </c>
      <c r="G202" s="35">
        <v>1250</v>
      </c>
      <c r="I202" t="s">
        <v>822</v>
      </c>
      <c r="K202" t="s">
        <v>835</v>
      </c>
      <c r="O202" t="str">
        <f t="shared" si="73"/>
        <v>281</v>
      </c>
      <c r="P202" t="str">
        <f t="shared" si="74"/>
        <v>1250</v>
      </c>
      <c r="Q202" t="s">
        <v>846</v>
      </c>
      <c r="R202">
        <v>0</v>
      </c>
      <c r="S202">
        <f t="shared" si="77"/>
        <v>281000</v>
      </c>
      <c r="T202">
        <f t="shared" si="78"/>
        <v>281</v>
      </c>
    </row>
    <row r="203" spans="1:20" ht="24.95" customHeight="1" x14ac:dyDescent="0.3">
      <c r="A203" s="1"/>
      <c r="B203" s="33" t="s">
        <v>487</v>
      </c>
      <c r="C203" s="1">
        <v>16</v>
      </c>
      <c r="D203" s="5" t="s">
        <v>99</v>
      </c>
      <c r="E203" s="33" t="s">
        <v>836</v>
      </c>
      <c r="F203" s="34">
        <v>329</v>
      </c>
      <c r="G203" s="35">
        <v>1000</v>
      </c>
      <c r="I203" t="s">
        <v>823</v>
      </c>
      <c r="K203" t="s">
        <v>836</v>
      </c>
      <c r="O203" t="str">
        <f t="shared" si="73"/>
        <v>329</v>
      </c>
      <c r="P203" t="str">
        <f t="shared" si="74"/>
        <v>1000</v>
      </c>
      <c r="Q203" t="s">
        <v>847</v>
      </c>
      <c r="R203">
        <v>0</v>
      </c>
      <c r="S203">
        <f t="shared" si="77"/>
        <v>329000</v>
      </c>
      <c r="T203">
        <f t="shared" si="78"/>
        <v>329</v>
      </c>
    </row>
    <row r="204" spans="1:20" ht="24.95" customHeight="1" x14ac:dyDescent="0.3">
      <c r="A204" s="1"/>
      <c r="B204" s="33" t="s">
        <v>378</v>
      </c>
      <c r="C204" s="1">
        <v>16</v>
      </c>
      <c r="D204" s="5" t="s">
        <v>99</v>
      </c>
      <c r="E204" s="33" t="s">
        <v>420</v>
      </c>
      <c r="F204" s="34">
        <v>349.4</v>
      </c>
      <c r="G204" s="35">
        <v>480</v>
      </c>
      <c r="I204" t="s">
        <v>824</v>
      </c>
      <c r="K204" t="s">
        <v>420</v>
      </c>
      <c r="O204" t="str">
        <f t="shared" si="73"/>
        <v>349+400</v>
      </c>
      <c r="P204" t="str">
        <f t="shared" si="74"/>
        <v>480</v>
      </c>
      <c r="Q204" t="str">
        <f t="shared" si="75"/>
        <v>349</v>
      </c>
      <c r="R204" t="str">
        <f t="shared" si="76"/>
        <v>400</v>
      </c>
      <c r="S204">
        <f t="shared" si="77"/>
        <v>349400</v>
      </c>
      <c r="T204">
        <f t="shared" si="78"/>
        <v>349.4</v>
      </c>
    </row>
    <row r="205" spans="1:20" ht="24.95" customHeight="1" x14ac:dyDescent="0.3">
      <c r="A205" s="1"/>
      <c r="B205" s="33" t="s">
        <v>379</v>
      </c>
      <c r="C205" s="1">
        <v>16</v>
      </c>
      <c r="D205" s="5" t="s">
        <v>99</v>
      </c>
      <c r="E205" s="33" t="s">
        <v>421</v>
      </c>
      <c r="F205" s="34">
        <v>372.8</v>
      </c>
      <c r="G205" s="35">
        <v>550</v>
      </c>
      <c r="I205" t="s">
        <v>825</v>
      </c>
      <c r="K205" t="s">
        <v>421</v>
      </c>
      <c r="O205" t="str">
        <f t="shared" si="73"/>
        <v>372+800</v>
      </c>
      <c r="P205" t="str">
        <f t="shared" si="74"/>
        <v>550</v>
      </c>
      <c r="Q205" t="str">
        <f t="shared" si="75"/>
        <v>372</v>
      </c>
      <c r="R205" t="str">
        <f t="shared" si="76"/>
        <v>800</v>
      </c>
      <c r="S205">
        <f t="shared" si="77"/>
        <v>372800</v>
      </c>
      <c r="T205">
        <f t="shared" si="78"/>
        <v>372.8</v>
      </c>
    </row>
    <row r="206" spans="1:20" ht="24.95" customHeight="1" x14ac:dyDescent="0.3">
      <c r="A206" s="1"/>
      <c r="B206" s="33" t="s">
        <v>380</v>
      </c>
      <c r="C206" s="1">
        <v>16</v>
      </c>
      <c r="D206" s="5" t="s">
        <v>99</v>
      </c>
      <c r="E206" s="33" t="s">
        <v>837</v>
      </c>
      <c r="F206" s="34">
        <v>388</v>
      </c>
      <c r="G206" s="35">
        <v>510</v>
      </c>
      <c r="I206" t="s">
        <v>826</v>
      </c>
      <c r="K206" t="s">
        <v>837</v>
      </c>
      <c r="O206" t="str">
        <f t="shared" si="73"/>
        <v>388</v>
      </c>
      <c r="P206" t="str">
        <f t="shared" si="74"/>
        <v>510</v>
      </c>
      <c r="Q206" t="s">
        <v>848</v>
      </c>
      <c r="R206">
        <v>0</v>
      </c>
      <c r="S206">
        <f t="shared" si="77"/>
        <v>388000</v>
      </c>
      <c r="T206">
        <f t="shared" si="78"/>
        <v>388</v>
      </c>
    </row>
    <row r="207" spans="1:20" ht="24.95" customHeight="1" x14ac:dyDescent="0.3">
      <c r="A207" s="1"/>
      <c r="B207" s="33" t="s">
        <v>381</v>
      </c>
      <c r="C207" s="1">
        <v>16</v>
      </c>
      <c r="D207" s="5" t="s">
        <v>99</v>
      </c>
      <c r="E207" s="33" t="s">
        <v>838</v>
      </c>
      <c r="F207" s="34">
        <v>412.2</v>
      </c>
      <c r="G207" s="35">
        <v>180</v>
      </c>
      <c r="I207" t="s">
        <v>827</v>
      </c>
      <c r="K207" t="s">
        <v>838</v>
      </c>
      <c r="O207" t="str">
        <f t="shared" si="73"/>
        <v>412+200</v>
      </c>
      <c r="P207" t="str">
        <f t="shared" si="74"/>
        <v>180</v>
      </c>
      <c r="Q207" t="str">
        <f t="shared" si="75"/>
        <v>412</v>
      </c>
      <c r="R207" t="str">
        <f t="shared" si="76"/>
        <v>200</v>
      </c>
      <c r="S207">
        <f t="shared" si="77"/>
        <v>412200</v>
      </c>
      <c r="T207">
        <f t="shared" si="78"/>
        <v>412.2</v>
      </c>
    </row>
    <row r="208" spans="1:20" ht="24.95" customHeight="1" x14ac:dyDescent="0.3">
      <c r="A208" s="1"/>
      <c r="B208" s="33" t="s">
        <v>382</v>
      </c>
      <c r="C208" s="1">
        <v>16</v>
      </c>
      <c r="D208" s="5" t="s">
        <v>99</v>
      </c>
      <c r="E208" s="33" t="s">
        <v>839</v>
      </c>
      <c r="F208" s="34">
        <v>436.3</v>
      </c>
      <c r="G208" s="35">
        <v>110</v>
      </c>
      <c r="I208" t="s">
        <v>828</v>
      </c>
      <c r="K208" t="s">
        <v>839</v>
      </c>
      <c r="O208" t="str">
        <f t="shared" si="73"/>
        <v>436+300</v>
      </c>
      <c r="P208" t="str">
        <f t="shared" si="74"/>
        <v>110</v>
      </c>
      <c r="Q208" t="str">
        <f t="shared" si="75"/>
        <v>436</v>
      </c>
      <c r="R208" t="str">
        <f t="shared" si="76"/>
        <v>300</v>
      </c>
      <c r="S208">
        <f t="shared" si="77"/>
        <v>436300</v>
      </c>
      <c r="T208">
        <f t="shared" si="78"/>
        <v>436.3</v>
      </c>
    </row>
    <row r="209" spans="1:20" ht="24.95" customHeight="1" x14ac:dyDescent="0.3">
      <c r="A209" s="1"/>
      <c r="B209" s="33" t="s">
        <v>383</v>
      </c>
      <c r="C209" s="1">
        <v>16</v>
      </c>
      <c r="D209" s="5" t="s">
        <v>99</v>
      </c>
      <c r="E209" s="33" t="s">
        <v>840</v>
      </c>
      <c r="F209" s="34">
        <v>451.4</v>
      </c>
      <c r="G209" s="35">
        <v>107</v>
      </c>
      <c r="I209" t="s">
        <v>829</v>
      </c>
      <c r="K209" t="s">
        <v>840</v>
      </c>
      <c r="O209" t="str">
        <f t="shared" si="73"/>
        <v>451+400</v>
      </c>
      <c r="P209" t="str">
        <f t="shared" si="74"/>
        <v>107</v>
      </c>
      <c r="Q209" t="str">
        <f t="shared" si="75"/>
        <v>451</v>
      </c>
      <c r="R209" t="str">
        <f t="shared" si="76"/>
        <v>400</v>
      </c>
      <c r="S209">
        <f t="shared" si="77"/>
        <v>451400</v>
      </c>
      <c r="T209">
        <f t="shared" si="78"/>
        <v>451.4</v>
      </c>
    </row>
    <row r="210" spans="1:20" ht="24.95" customHeight="1" x14ac:dyDescent="0.3">
      <c r="A210" s="1"/>
      <c r="B210" s="33" t="s">
        <v>384</v>
      </c>
      <c r="C210" s="1">
        <v>16</v>
      </c>
      <c r="D210" s="5" t="s">
        <v>99</v>
      </c>
      <c r="E210" s="33" t="s">
        <v>841</v>
      </c>
      <c r="F210" s="34">
        <v>474.3</v>
      </c>
      <c r="G210" s="35">
        <v>30</v>
      </c>
      <c r="I210" t="s">
        <v>830</v>
      </c>
      <c r="K210" t="s">
        <v>841</v>
      </c>
      <c r="O210" t="str">
        <f t="shared" si="73"/>
        <v>474+300</v>
      </c>
      <c r="P210" t="str">
        <f t="shared" si="74"/>
        <v>30</v>
      </c>
      <c r="Q210" t="str">
        <f t="shared" si="75"/>
        <v>474</v>
      </c>
      <c r="R210" t="str">
        <f t="shared" si="76"/>
        <v>300</v>
      </c>
      <c r="S210">
        <f t="shared" si="77"/>
        <v>474300</v>
      </c>
      <c r="T210">
        <f t="shared" si="78"/>
        <v>474.3</v>
      </c>
    </row>
    <row r="211" spans="1:20" ht="24.95" customHeight="1" x14ac:dyDescent="0.3">
      <c r="A211" s="1"/>
      <c r="B211" s="33" t="s">
        <v>385</v>
      </c>
      <c r="C211" s="1">
        <v>16</v>
      </c>
      <c r="D211" s="5" t="s">
        <v>99</v>
      </c>
      <c r="E211" s="33" t="s">
        <v>842</v>
      </c>
      <c r="F211" s="34">
        <v>492.7</v>
      </c>
      <c r="G211" s="35">
        <v>160</v>
      </c>
      <c r="I211" t="s">
        <v>831</v>
      </c>
      <c r="K211" t="s">
        <v>842</v>
      </c>
      <c r="O211" t="str">
        <f t="shared" si="73"/>
        <v>492+700</v>
      </c>
      <c r="P211" t="str">
        <f t="shared" si="74"/>
        <v>160</v>
      </c>
      <c r="Q211" t="str">
        <f t="shared" si="75"/>
        <v>492</v>
      </c>
      <c r="R211" t="str">
        <f t="shared" si="76"/>
        <v>700</v>
      </c>
      <c r="S211">
        <f t="shared" si="77"/>
        <v>492700</v>
      </c>
      <c r="T211">
        <f t="shared" si="78"/>
        <v>492.7</v>
      </c>
    </row>
    <row r="212" spans="1:20" ht="24.95" customHeight="1" x14ac:dyDescent="0.3">
      <c r="A212" s="1"/>
      <c r="B212" s="33" t="s">
        <v>479</v>
      </c>
      <c r="C212" s="1">
        <v>17</v>
      </c>
      <c r="D212" s="5" t="s">
        <v>100</v>
      </c>
      <c r="E212" s="36" t="s">
        <v>880</v>
      </c>
      <c r="F212" s="34">
        <v>20.983000000000001</v>
      </c>
      <c r="G212" s="35">
        <v>760</v>
      </c>
      <c r="I212" t="s">
        <v>851</v>
      </c>
      <c r="O212" t="str">
        <f t="shared" si="73"/>
        <v>20+983</v>
      </c>
      <c r="P212" t="str">
        <f t="shared" si="74"/>
        <v>760</v>
      </c>
      <c r="Q212" t="str">
        <f t="shared" si="75"/>
        <v>20</v>
      </c>
      <c r="R212" t="str">
        <f t="shared" si="76"/>
        <v>983</v>
      </c>
      <c r="S212">
        <f t="shared" si="77"/>
        <v>20983</v>
      </c>
      <c r="T212">
        <f t="shared" si="78"/>
        <v>20.983000000000001</v>
      </c>
    </row>
    <row r="213" spans="1:20" ht="24.95" customHeight="1" x14ac:dyDescent="0.3">
      <c r="A213" s="1"/>
      <c r="B213" s="33" t="s">
        <v>480</v>
      </c>
      <c r="C213" s="1">
        <v>17</v>
      </c>
      <c r="D213" s="5" t="s">
        <v>100</v>
      </c>
      <c r="E213" s="36" t="s">
        <v>880</v>
      </c>
      <c r="F213" s="34">
        <v>41.247</v>
      </c>
      <c r="G213" s="35">
        <v>824</v>
      </c>
      <c r="I213" t="s">
        <v>852</v>
      </c>
      <c r="O213" t="str">
        <f t="shared" ref="O213:O315" si="79">MID(I213, 1, SEARCH(" / ", I213) - 1)</f>
        <v>41+247</v>
      </c>
      <c r="P213" t="str">
        <f t="shared" ref="P213:P315" si="80">MID(I213, SEARCH(" / ", I213) + 3, LEN(I213))</f>
        <v>824</v>
      </c>
      <c r="Q213" t="str">
        <f t="shared" ref="Q213:Q315" si="81">MID(O213, 1, SEARCH("+", O213) - 1)</f>
        <v>41</v>
      </c>
      <c r="R213" t="str">
        <f t="shared" ref="R213:R315" si="82">MID(O213, SEARCH("+", O213) + 1, LEN(O213))</f>
        <v>247</v>
      </c>
      <c r="S213">
        <f t="shared" ref="S213:S315" si="83">Q213*1000+R213</f>
        <v>41247</v>
      </c>
      <c r="T213">
        <f t="shared" ref="T213:T315" si="84">S213/1000</f>
        <v>41.247</v>
      </c>
    </row>
    <row r="214" spans="1:20" ht="24.95" customHeight="1" x14ac:dyDescent="0.3">
      <c r="A214" s="1"/>
      <c r="B214" s="33" t="s">
        <v>481</v>
      </c>
      <c r="C214" s="1">
        <v>17</v>
      </c>
      <c r="D214" s="5" t="s">
        <v>100</v>
      </c>
      <c r="E214" s="36" t="s">
        <v>880</v>
      </c>
      <c r="F214" s="34">
        <v>60.603999999999999</v>
      </c>
      <c r="G214" s="35">
        <v>875</v>
      </c>
      <c r="I214" t="s">
        <v>853</v>
      </c>
      <c r="O214" t="str">
        <f t="shared" si="79"/>
        <v>60+604</v>
      </c>
      <c r="P214" t="str">
        <f t="shared" si="80"/>
        <v>875</v>
      </c>
      <c r="Q214" t="str">
        <f t="shared" si="81"/>
        <v>60</v>
      </c>
      <c r="R214" t="str">
        <f t="shared" si="82"/>
        <v>604</v>
      </c>
      <c r="S214">
        <f t="shared" si="83"/>
        <v>60604</v>
      </c>
      <c r="T214">
        <f t="shared" si="84"/>
        <v>60.603999999999999</v>
      </c>
    </row>
    <row r="215" spans="1:20" ht="24.95" customHeight="1" x14ac:dyDescent="0.3">
      <c r="A215" s="1"/>
      <c r="B215" s="33" t="s">
        <v>482</v>
      </c>
      <c r="C215" s="1">
        <v>17</v>
      </c>
      <c r="D215" s="5" t="s">
        <v>100</v>
      </c>
      <c r="E215" s="36" t="s">
        <v>832</v>
      </c>
      <c r="F215" s="34">
        <v>80.141000000000005</v>
      </c>
      <c r="G215" s="35">
        <v>800</v>
      </c>
      <c r="I215" t="s">
        <v>854</v>
      </c>
      <c r="O215" t="str">
        <f t="shared" si="79"/>
        <v>80+141</v>
      </c>
      <c r="P215" t="str">
        <f t="shared" si="80"/>
        <v>800</v>
      </c>
      <c r="Q215" t="str">
        <f t="shared" si="81"/>
        <v>80</v>
      </c>
      <c r="R215" t="str">
        <f t="shared" si="82"/>
        <v>141</v>
      </c>
      <c r="S215">
        <f t="shared" si="83"/>
        <v>80141</v>
      </c>
      <c r="T215">
        <f t="shared" si="84"/>
        <v>80.141000000000005</v>
      </c>
    </row>
    <row r="216" spans="1:20" ht="24.95" customHeight="1" x14ac:dyDescent="0.3">
      <c r="A216" s="1"/>
      <c r="B216" s="33" t="s">
        <v>483</v>
      </c>
      <c r="C216" s="1">
        <v>17</v>
      </c>
      <c r="D216" s="5" t="s">
        <v>100</v>
      </c>
      <c r="E216" s="36" t="s">
        <v>832</v>
      </c>
      <c r="F216" s="34">
        <v>97.957999999999998</v>
      </c>
      <c r="G216" s="35">
        <v>795</v>
      </c>
      <c r="I216" t="s">
        <v>855</v>
      </c>
      <c r="O216" t="str">
        <f t="shared" si="79"/>
        <v>97+958</v>
      </c>
      <c r="P216" t="str">
        <f t="shared" si="80"/>
        <v>795</v>
      </c>
      <c r="Q216" t="str">
        <f t="shared" si="81"/>
        <v>97</v>
      </c>
      <c r="R216" t="str">
        <f t="shared" si="82"/>
        <v>958</v>
      </c>
      <c r="S216">
        <f t="shared" si="83"/>
        <v>97958</v>
      </c>
      <c r="T216">
        <f t="shared" si="84"/>
        <v>97.957999999999998</v>
      </c>
    </row>
    <row r="217" spans="1:20" ht="24.95" customHeight="1" x14ac:dyDescent="0.3">
      <c r="A217" s="1"/>
      <c r="B217" s="33" t="s">
        <v>484</v>
      </c>
      <c r="C217" s="1">
        <v>17</v>
      </c>
      <c r="D217" s="5" t="s">
        <v>100</v>
      </c>
      <c r="E217" s="36" t="s">
        <v>832</v>
      </c>
      <c r="F217" s="34">
        <v>119.566</v>
      </c>
      <c r="G217" s="35">
        <v>953</v>
      </c>
      <c r="I217" t="s">
        <v>856</v>
      </c>
      <c r="O217" t="str">
        <f t="shared" si="79"/>
        <v>119+566</v>
      </c>
      <c r="P217" t="str">
        <f t="shared" si="80"/>
        <v>953</v>
      </c>
      <c r="Q217" t="str">
        <f t="shared" si="81"/>
        <v>119</v>
      </c>
      <c r="R217" t="str">
        <f t="shared" si="82"/>
        <v>566</v>
      </c>
      <c r="S217">
        <f t="shared" si="83"/>
        <v>119566</v>
      </c>
      <c r="T217">
        <f t="shared" si="84"/>
        <v>119.566</v>
      </c>
    </row>
    <row r="218" spans="1:20" ht="24.95" customHeight="1" x14ac:dyDescent="0.3">
      <c r="A218" s="1"/>
      <c r="B218" s="33" t="s">
        <v>485</v>
      </c>
      <c r="C218" s="1">
        <v>17</v>
      </c>
      <c r="D218" s="5" t="s">
        <v>100</v>
      </c>
      <c r="E218" s="36" t="s">
        <v>833</v>
      </c>
      <c r="F218" s="34">
        <v>140.999</v>
      </c>
      <c r="G218" s="35">
        <v>1069</v>
      </c>
      <c r="I218" t="s">
        <v>857</v>
      </c>
      <c r="O218" t="str">
        <f t="shared" si="79"/>
        <v>140+999</v>
      </c>
      <c r="P218" t="str">
        <f t="shared" si="80"/>
        <v>1069</v>
      </c>
      <c r="Q218" t="str">
        <f t="shared" si="81"/>
        <v>140</v>
      </c>
      <c r="R218" t="str">
        <f t="shared" si="82"/>
        <v>999</v>
      </c>
      <c r="S218">
        <f t="shared" si="83"/>
        <v>140999</v>
      </c>
      <c r="T218">
        <f t="shared" si="84"/>
        <v>140.999</v>
      </c>
    </row>
    <row r="219" spans="1:20" ht="24.95" customHeight="1" x14ac:dyDescent="0.3">
      <c r="A219" s="1"/>
      <c r="B219" s="33" t="s">
        <v>486</v>
      </c>
      <c r="C219" s="1">
        <v>17</v>
      </c>
      <c r="D219" s="5" t="s">
        <v>100</v>
      </c>
      <c r="E219" s="36" t="s">
        <v>833</v>
      </c>
      <c r="F219" s="34">
        <v>160.13399999999999</v>
      </c>
      <c r="G219" s="35">
        <v>1237</v>
      </c>
      <c r="I219" t="s">
        <v>858</v>
      </c>
      <c r="O219" t="str">
        <f t="shared" si="79"/>
        <v>160+134</v>
      </c>
      <c r="P219" t="str">
        <f t="shared" si="80"/>
        <v>1237</v>
      </c>
      <c r="Q219" t="str">
        <f t="shared" si="81"/>
        <v>160</v>
      </c>
      <c r="R219" t="str">
        <f t="shared" si="82"/>
        <v>134</v>
      </c>
      <c r="S219">
        <f t="shared" si="83"/>
        <v>160134</v>
      </c>
      <c r="T219">
        <f t="shared" si="84"/>
        <v>160.13399999999999</v>
      </c>
    </row>
    <row r="220" spans="1:20" ht="24.95" customHeight="1" x14ac:dyDescent="0.3">
      <c r="A220" s="1"/>
      <c r="B220" s="33" t="s">
        <v>487</v>
      </c>
      <c r="C220" s="1">
        <v>17</v>
      </c>
      <c r="D220" s="5" t="s">
        <v>100</v>
      </c>
      <c r="E220" s="36" t="s">
        <v>833</v>
      </c>
      <c r="F220" s="34">
        <v>182.012</v>
      </c>
      <c r="G220" s="35">
        <v>1136</v>
      </c>
      <c r="I220" t="s">
        <v>859</v>
      </c>
      <c r="O220" t="str">
        <f t="shared" si="79"/>
        <v>182+012</v>
      </c>
      <c r="P220" t="str">
        <f t="shared" si="80"/>
        <v>1136</v>
      </c>
      <c r="Q220" t="str">
        <f t="shared" si="81"/>
        <v>182</v>
      </c>
      <c r="R220" t="str">
        <f t="shared" si="82"/>
        <v>012</v>
      </c>
      <c r="S220">
        <f t="shared" si="83"/>
        <v>182012</v>
      </c>
      <c r="T220">
        <f t="shared" si="84"/>
        <v>182.012</v>
      </c>
    </row>
    <row r="221" spans="1:20" ht="24.95" customHeight="1" x14ac:dyDescent="0.3">
      <c r="A221" s="1"/>
      <c r="B221" s="33" t="s">
        <v>378</v>
      </c>
      <c r="C221" s="1">
        <v>17</v>
      </c>
      <c r="D221" s="5" t="s">
        <v>100</v>
      </c>
      <c r="E221" s="36" t="s">
        <v>881</v>
      </c>
      <c r="F221" s="34">
        <v>199.477</v>
      </c>
      <c r="G221" s="35">
        <v>971</v>
      </c>
      <c r="I221" t="s">
        <v>860</v>
      </c>
      <c r="O221" t="str">
        <f t="shared" si="79"/>
        <v>199+477</v>
      </c>
      <c r="P221" t="str">
        <f t="shared" si="80"/>
        <v>971</v>
      </c>
      <c r="Q221" t="str">
        <f t="shared" si="81"/>
        <v>199</v>
      </c>
      <c r="R221" t="str">
        <f t="shared" si="82"/>
        <v>477</v>
      </c>
      <c r="S221">
        <f t="shared" si="83"/>
        <v>199477</v>
      </c>
      <c r="T221">
        <f t="shared" si="84"/>
        <v>199.477</v>
      </c>
    </row>
    <row r="222" spans="1:20" ht="24.95" customHeight="1" x14ac:dyDescent="0.3">
      <c r="A222" s="1"/>
      <c r="B222" s="33" t="s">
        <v>379</v>
      </c>
      <c r="C222" s="1">
        <v>17</v>
      </c>
      <c r="D222" s="5" t="s">
        <v>100</v>
      </c>
      <c r="E222" s="36" t="s">
        <v>881</v>
      </c>
      <c r="F222" s="34">
        <v>219.48699999999999</v>
      </c>
      <c r="G222" s="35">
        <v>978</v>
      </c>
      <c r="I222" t="s">
        <v>861</v>
      </c>
      <c r="O222" t="str">
        <f t="shared" si="79"/>
        <v>219+487</v>
      </c>
      <c r="P222" t="str">
        <f t="shared" si="80"/>
        <v>978</v>
      </c>
      <c r="Q222" t="str">
        <f t="shared" si="81"/>
        <v>219</v>
      </c>
      <c r="R222" t="str">
        <f t="shared" si="82"/>
        <v>487</v>
      </c>
      <c r="S222">
        <f t="shared" si="83"/>
        <v>219487</v>
      </c>
      <c r="T222">
        <f t="shared" si="84"/>
        <v>219.48699999999999</v>
      </c>
    </row>
    <row r="223" spans="1:20" ht="24.95" customHeight="1" x14ac:dyDescent="0.3">
      <c r="A223" s="1"/>
      <c r="B223" s="33" t="s">
        <v>380</v>
      </c>
      <c r="C223" s="1">
        <v>17</v>
      </c>
      <c r="D223" s="5" t="s">
        <v>100</v>
      </c>
      <c r="E223" s="36" t="s">
        <v>417</v>
      </c>
      <c r="F223" s="34">
        <v>241.804</v>
      </c>
      <c r="G223" s="35">
        <v>1056</v>
      </c>
      <c r="I223" t="s">
        <v>862</v>
      </c>
      <c r="O223" t="str">
        <f t="shared" si="79"/>
        <v>241+804</v>
      </c>
      <c r="P223" t="str">
        <f t="shared" si="80"/>
        <v>1056</v>
      </c>
      <c r="Q223" t="str">
        <f t="shared" si="81"/>
        <v>241</v>
      </c>
      <c r="R223" t="str">
        <f t="shared" si="82"/>
        <v>804</v>
      </c>
      <c r="S223">
        <f t="shared" si="83"/>
        <v>241804</v>
      </c>
      <c r="T223">
        <f t="shared" si="84"/>
        <v>241.804</v>
      </c>
    </row>
    <row r="224" spans="1:20" ht="24.95" customHeight="1" x14ac:dyDescent="0.3">
      <c r="A224" s="1"/>
      <c r="B224" s="33" t="s">
        <v>381</v>
      </c>
      <c r="C224" s="1">
        <v>17</v>
      </c>
      <c r="D224" s="5" t="s">
        <v>100</v>
      </c>
      <c r="E224" s="36" t="s">
        <v>417</v>
      </c>
      <c r="F224" s="34">
        <v>261.91300000000001</v>
      </c>
      <c r="G224" s="35">
        <v>1147</v>
      </c>
      <c r="I224" t="s">
        <v>863</v>
      </c>
      <c r="O224" t="str">
        <f t="shared" si="79"/>
        <v>261+913</v>
      </c>
      <c r="P224" t="str">
        <f t="shared" si="80"/>
        <v>1147</v>
      </c>
      <c r="Q224" t="str">
        <f t="shared" si="81"/>
        <v>261</v>
      </c>
      <c r="R224" t="str">
        <f t="shared" si="82"/>
        <v>913</v>
      </c>
      <c r="S224">
        <f t="shared" si="83"/>
        <v>261913</v>
      </c>
      <c r="T224">
        <f t="shared" si="84"/>
        <v>261.91300000000001</v>
      </c>
    </row>
    <row r="225" spans="1:20" ht="24.95" customHeight="1" x14ac:dyDescent="0.3">
      <c r="A225" s="1"/>
      <c r="B225" s="33" t="s">
        <v>382</v>
      </c>
      <c r="C225" s="1">
        <v>17</v>
      </c>
      <c r="D225" s="5" t="s">
        <v>100</v>
      </c>
      <c r="E225" s="36" t="s">
        <v>835</v>
      </c>
      <c r="F225" s="34">
        <v>282.03800000000001</v>
      </c>
      <c r="G225" s="35">
        <v>1266</v>
      </c>
      <c r="I225" t="s">
        <v>864</v>
      </c>
      <c r="O225" t="str">
        <f t="shared" si="79"/>
        <v>282+038</v>
      </c>
      <c r="P225" t="str">
        <f t="shared" si="80"/>
        <v>1266</v>
      </c>
      <c r="Q225" t="str">
        <f t="shared" si="81"/>
        <v>282</v>
      </c>
      <c r="R225" t="str">
        <f t="shared" si="82"/>
        <v>038</v>
      </c>
      <c r="S225">
        <f t="shared" si="83"/>
        <v>282038</v>
      </c>
      <c r="T225">
        <f t="shared" si="84"/>
        <v>282.03800000000001</v>
      </c>
    </row>
    <row r="226" spans="1:20" ht="24.95" customHeight="1" x14ac:dyDescent="0.3">
      <c r="A226" s="1"/>
      <c r="B226" s="33" t="s">
        <v>383</v>
      </c>
      <c r="C226" s="1">
        <v>17</v>
      </c>
      <c r="D226" s="5" t="s">
        <v>100</v>
      </c>
      <c r="E226" s="36" t="s">
        <v>882</v>
      </c>
      <c r="F226" s="34">
        <v>301.416</v>
      </c>
      <c r="G226" s="35">
        <v>1173</v>
      </c>
      <c r="I226" t="s">
        <v>865</v>
      </c>
      <c r="O226" t="str">
        <f t="shared" si="79"/>
        <v>301+416</v>
      </c>
      <c r="P226" t="str">
        <f t="shared" si="80"/>
        <v>1173</v>
      </c>
      <c r="Q226" t="str">
        <f t="shared" si="81"/>
        <v>301</v>
      </c>
      <c r="R226" t="str">
        <f t="shared" si="82"/>
        <v>416</v>
      </c>
      <c r="S226">
        <f t="shared" si="83"/>
        <v>301416</v>
      </c>
      <c r="T226">
        <f t="shared" si="84"/>
        <v>301.416</v>
      </c>
    </row>
    <row r="227" spans="1:20" ht="24.95" customHeight="1" x14ac:dyDescent="0.3">
      <c r="A227" s="1"/>
      <c r="B227" s="33" t="s">
        <v>849</v>
      </c>
      <c r="C227" s="1">
        <v>17</v>
      </c>
      <c r="D227" s="5" t="s">
        <v>100</v>
      </c>
      <c r="E227" s="36" t="s">
        <v>836</v>
      </c>
      <c r="F227" s="34">
        <v>325.53399999999999</v>
      </c>
      <c r="G227" s="35">
        <v>995</v>
      </c>
      <c r="I227" t="s">
        <v>866</v>
      </c>
      <c r="O227" t="str">
        <f t="shared" si="79"/>
        <v>325+534</v>
      </c>
      <c r="P227" t="str">
        <f t="shared" si="80"/>
        <v>995</v>
      </c>
      <c r="Q227" t="str">
        <f t="shared" si="81"/>
        <v>325</v>
      </c>
      <c r="R227" t="str">
        <f t="shared" si="82"/>
        <v>534</v>
      </c>
      <c r="S227">
        <f t="shared" si="83"/>
        <v>325534</v>
      </c>
      <c r="T227">
        <f t="shared" si="84"/>
        <v>325.53399999999999</v>
      </c>
    </row>
    <row r="228" spans="1:20" ht="24.95" customHeight="1" x14ac:dyDescent="0.3">
      <c r="A228" s="1"/>
      <c r="B228" s="33" t="s">
        <v>850</v>
      </c>
      <c r="C228" s="1">
        <v>17</v>
      </c>
      <c r="D228" s="5" t="s">
        <v>100</v>
      </c>
      <c r="E228" s="36" t="s">
        <v>420</v>
      </c>
      <c r="F228" s="34">
        <v>336.22800000000001</v>
      </c>
      <c r="G228" s="35">
        <v>1015</v>
      </c>
      <c r="I228" t="s">
        <v>867</v>
      </c>
      <c r="O228" t="str">
        <f t="shared" si="79"/>
        <v>336+228</v>
      </c>
      <c r="P228" t="str">
        <f t="shared" si="80"/>
        <v>1015</v>
      </c>
      <c r="Q228" t="str">
        <f t="shared" si="81"/>
        <v>336</v>
      </c>
      <c r="R228" t="str">
        <f t="shared" si="82"/>
        <v>228</v>
      </c>
      <c r="S228">
        <f t="shared" si="83"/>
        <v>336228</v>
      </c>
      <c r="T228">
        <f t="shared" si="84"/>
        <v>336.22800000000001</v>
      </c>
    </row>
    <row r="229" spans="1:20" ht="24.95" customHeight="1" x14ac:dyDescent="0.3">
      <c r="A229" s="1"/>
      <c r="B229" s="33" t="s">
        <v>384</v>
      </c>
      <c r="C229" s="1">
        <v>17</v>
      </c>
      <c r="D229" s="5" t="s">
        <v>100</v>
      </c>
      <c r="E229" s="36" t="s">
        <v>420</v>
      </c>
      <c r="F229" s="34">
        <v>346.71699999999998</v>
      </c>
      <c r="G229" s="35">
        <v>786</v>
      </c>
      <c r="I229" t="s">
        <v>868</v>
      </c>
      <c r="O229" t="str">
        <f t="shared" si="79"/>
        <v>346+717</v>
      </c>
      <c r="P229" t="str">
        <f t="shared" si="80"/>
        <v>786</v>
      </c>
      <c r="Q229" t="str">
        <f t="shared" si="81"/>
        <v>346</v>
      </c>
      <c r="R229" t="str">
        <f t="shared" si="82"/>
        <v>717</v>
      </c>
      <c r="S229">
        <f t="shared" si="83"/>
        <v>346717</v>
      </c>
      <c r="T229">
        <f t="shared" si="84"/>
        <v>346.71699999999998</v>
      </c>
    </row>
    <row r="230" spans="1:20" ht="24.95" customHeight="1" x14ac:dyDescent="0.3">
      <c r="A230" s="1"/>
      <c r="B230" s="33" t="s">
        <v>385</v>
      </c>
      <c r="C230" s="1">
        <v>17</v>
      </c>
      <c r="D230" s="5" t="s">
        <v>100</v>
      </c>
      <c r="E230" s="36" t="s">
        <v>421</v>
      </c>
      <c r="F230" s="34">
        <v>358.62099999999998</v>
      </c>
      <c r="G230" s="35">
        <v>673</v>
      </c>
      <c r="I230" t="s">
        <v>869</v>
      </c>
      <c r="O230" t="str">
        <f t="shared" si="79"/>
        <v>358+621</v>
      </c>
      <c r="P230" t="str">
        <f t="shared" si="80"/>
        <v>673</v>
      </c>
      <c r="Q230" t="str">
        <f t="shared" si="81"/>
        <v>358</v>
      </c>
      <c r="R230" t="str">
        <f t="shared" si="82"/>
        <v>621</v>
      </c>
      <c r="S230">
        <f t="shared" si="83"/>
        <v>358621</v>
      </c>
      <c r="T230">
        <f t="shared" si="84"/>
        <v>358.62099999999998</v>
      </c>
    </row>
    <row r="231" spans="1:20" ht="24.95" customHeight="1" x14ac:dyDescent="0.3">
      <c r="A231" s="1"/>
      <c r="B231" s="33" t="s">
        <v>386</v>
      </c>
      <c r="C231" s="1">
        <v>17</v>
      </c>
      <c r="D231" s="5" t="s">
        <v>100</v>
      </c>
      <c r="E231" s="36" t="s">
        <v>421</v>
      </c>
      <c r="F231" s="34">
        <v>369.78100000000001</v>
      </c>
      <c r="G231" s="35">
        <v>636</v>
      </c>
      <c r="I231" t="s">
        <v>870</v>
      </c>
      <c r="O231" t="str">
        <f t="shared" si="79"/>
        <v>369+781</v>
      </c>
      <c r="P231" t="str">
        <f t="shared" si="80"/>
        <v>636</v>
      </c>
      <c r="Q231" t="str">
        <f t="shared" si="81"/>
        <v>369</v>
      </c>
      <c r="R231" t="str">
        <f t="shared" si="82"/>
        <v>781</v>
      </c>
      <c r="S231">
        <f t="shared" si="83"/>
        <v>369781</v>
      </c>
      <c r="T231">
        <f t="shared" si="84"/>
        <v>369.78100000000001</v>
      </c>
    </row>
    <row r="232" spans="1:20" ht="24.95" customHeight="1" x14ac:dyDescent="0.3">
      <c r="A232" s="1"/>
      <c r="B232" s="33" t="s">
        <v>387</v>
      </c>
      <c r="C232" s="1">
        <v>17</v>
      </c>
      <c r="D232" s="5" t="s">
        <v>100</v>
      </c>
      <c r="E232" s="36" t="s">
        <v>837</v>
      </c>
      <c r="F232" s="34">
        <v>382.14600000000002</v>
      </c>
      <c r="G232" s="35">
        <v>538</v>
      </c>
      <c r="I232" t="s">
        <v>871</v>
      </c>
      <c r="O232" t="str">
        <f t="shared" si="79"/>
        <v>382+146</v>
      </c>
      <c r="P232" t="str">
        <f t="shared" si="80"/>
        <v>538</v>
      </c>
      <c r="Q232" t="str">
        <f t="shared" si="81"/>
        <v>382</v>
      </c>
      <c r="R232" t="str">
        <f t="shared" si="82"/>
        <v>146</v>
      </c>
      <c r="S232">
        <f t="shared" si="83"/>
        <v>382146</v>
      </c>
      <c r="T232">
        <f t="shared" si="84"/>
        <v>382.14600000000002</v>
      </c>
    </row>
    <row r="233" spans="1:20" ht="24.95" customHeight="1" x14ac:dyDescent="0.3">
      <c r="A233" s="1"/>
      <c r="B233" s="33" t="s">
        <v>388</v>
      </c>
      <c r="C233" s="1">
        <v>17</v>
      </c>
      <c r="D233" s="5" t="s">
        <v>100</v>
      </c>
      <c r="E233" s="36" t="s">
        <v>883</v>
      </c>
      <c r="F233" s="34">
        <v>393.13200000000001</v>
      </c>
      <c r="G233" s="35">
        <v>269</v>
      </c>
      <c r="I233" t="s">
        <v>872</v>
      </c>
      <c r="O233" t="str">
        <f t="shared" si="79"/>
        <v>393+132</v>
      </c>
      <c r="P233" t="str">
        <f t="shared" si="80"/>
        <v>269</v>
      </c>
      <c r="Q233" t="str">
        <f t="shared" si="81"/>
        <v>393</v>
      </c>
      <c r="R233" t="str">
        <f t="shared" si="82"/>
        <v>132</v>
      </c>
      <c r="S233">
        <f t="shared" si="83"/>
        <v>393132</v>
      </c>
      <c r="T233">
        <f t="shared" si="84"/>
        <v>393.13200000000001</v>
      </c>
    </row>
    <row r="234" spans="1:20" ht="24.95" customHeight="1" x14ac:dyDescent="0.3">
      <c r="A234" s="1"/>
      <c r="B234" s="33" t="s">
        <v>389</v>
      </c>
      <c r="C234" s="1">
        <v>17</v>
      </c>
      <c r="D234" s="5" t="s">
        <v>100</v>
      </c>
      <c r="E234" s="36" t="s">
        <v>883</v>
      </c>
      <c r="F234" s="34">
        <v>404.39800000000002</v>
      </c>
      <c r="G234" s="35">
        <v>116</v>
      </c>
      <c r="I234" t="s">
        <v>873</v>
      </c>
      <c r="O234" t="str">
        <f t="shared" si="79"/>
        <v>404+398</v>
      </c>
      <c r="P234" t="str">
        <f t="shared" si="80"/>
        <v>116</v>
      </c>
      <c r="Q234" t="str">
        <f t="shared" si="81"/>
        <v>404</v>
      </c>
      <c r="R234" t="str">
        <f t="shared" si="82"/>
        <v>398</v>
      </c>
      <c r="S234">
        <f t="shared" si="83"/>
        <v>404398</v>
      </c>
      <c r="T234">
        <f t="shared" si="84"/>
        <v>404.39800000000002</v>
      </c>
    </row>
    <row r="235" spans="1:20" ht="24.95" customHeight="1" x14ac:dyDescent="0.3">
      <c r="A235" s="1"/>
      <c r="B235" s="33" t="s">
        <v>451</v>
      </c>
      <c r="C235" s="1">
        <v>17</v>
      </c>
      <c r="D235" s="5" t="s">
        <v>100</v>
      </c>
      <c r="E235" s="36" t="s">
        <v>838</v>
      </c>
      <c r="F235" s="34">
        <v>412.41800000000001</v>
      </c>
      <c r="G235" s="35">
        <v>120</v>
      </c>
      <c r="I235" t="s">
        <v>874</v>
      </c>
      <c r="O235" t="str">
        <f t="shared" si="79"/>
        <v>412+418</v>
      </c>
      <c r="P235" t="str">
        <f t="shared" si="80"/>
        <v>120</v>
      </c>
      <c r="Q235" t="str">
        <f t="shared" si="81"/>
        <v>412</v>
      </c>
      <c r="R235" t="str">
        <f t="shared" si="82"/>
        <v>418</v>
      </c>
      <c r="S235">
        <f t="shared" si="83"/>
        <v>412418</v>
      </c>
      <c r="T235">
        <f t="shared" si="84"/>
        <v>412.41800000000001</v>
      </c>
    </row>
    <row r="236" spans="1:20" ht="24.95" customHeight="1" x14ac:dyDescent="0.3">
      <c r="A236" s="1"/>
      <c r="B236" s="33" t="s">
        <v>452</v>
      </c>
      <c r="C236" s="1">
        <v>17</v>
      </c>
      <c r="D236" s="5" t="s">
        <v>100</v>
      </c>
      <c r="E236" s="36" t="s">
        <v>884</v>
      </c>
      <c r="F236" s="34">
        <v>425.31900000000002</v>
      </c>
      <c r="G236" s="35">
        <v>311</v>
      </c>
      <c r="I236" t="s">
        <v>875</v>
      </c>
      <c r="O236" t="str">
        <f t="shared" si="79"/>
        <v>425+319</v>
      </c>
      <c r="P236" t="str">
        <f t="shared" si="80"/>
        <v>311</v>
      </c>
      <c r="Q236" t="str">
        <f t="shared" si="81"/>
        <v>425</v>
      </c>
      <c r="R236" t="str">
        <f t="shared" si="82"/>
        <v>319</v>
      </c>
      <c r="S236">
        <f t="shared" si="83"/>
        <v>425319</v>
      </c>
      <c r="T236">
        <f t="shared" si="84"/>
        <v>425.31900000000002</v>
      </c>
    </row>
    <row r="237" spans="1:20" ht="24.95" customHeight="1" x14ac:dyDescent="0.3">
      <c r="A237" s="1"/>
      <c r="B237" s="33" t="s">
        <v>453</v>
      </c>
      <c r="C237" s="1">
        <v>17</v>
      </c>
      <c r="D237" s="5" t="s">
        <v>100</v>
      </c>
      <c r="E237" s="36" t="s">
        <v>885</v>
      </c>
      <c r="F237" s="34">
        <v>433.72199999999998</v>
      </c>
      <c r="G237" s="35">
        <v>314</v>
      </c>
      <c r="I237" t="s">
        <v>876</v>
      </c>
      <c r="O237" t="str">
        <f t="shared" si="79"/>
        <v>433+722</v>
      </c>
      <c r="P237" t="str">
        <f t="shared" si="80"/>
        <v>314</v>
      </c>
      <c r="Q237" t="str">
        <f t="shared" si="81"/>
        <v>433</v>
      </c>
      <c r="R237" t="str">
        <f t="shared" si="82"/>
        <v>722</v>
      </c>
      <c r="S237">
        <f t="shared" si="83"/>
        <v>433722</v>
      </c>
      <c r="T237">
        <f t="shared" si="84"/>
        <v>433.72199999999998</v>
      </c>
    </row>
    <row r="238" spans="1:20" ht="24.95" customHeight="1" x14ac:dyDescent="0.3">
      <c r="A238" s="1"/>
      <c r="B238" s="33" t="s">
        <v>454</v>
      </c>
      <c r="C238" s="1">
        <v>17</v>
      </c>
      <c r="D238" s="5" t="s">
        <v>100</v>
      </c>
      <c r="E238" s="36" t="s">
        <v>840</v>
      </c>
      <c r="F238" s="34">
        <v>447.16800000000001</v>
      </c>
      <c r="G238" s="35">
        <v>75</v>
      </c>
      <c r="I238" t="s">
        <v>877</v>
      </c>
      <c r="O238" t="str">
        <f t="shared" si="79"/>
        <v>447+168</v>
      </c>
      <c r="P238" t="str">
        <f t="shared" si="80"/>
        <v>75</v>
      </c>
      <c r="Q238" t="str">
        <f t="shared" si="81"/>
        <v>447</v>
      </c>
      <c r="R238" t="str">
        <f t="shared" si="82"/>
        <v>168</v>
      </c>
      <c r="S238">
        <f t="shared" si="83"/>
        <v>447168</v>
      </c>
      <c r="T238">
        <f t="shared" si="84"/>
        <v>447.16800000000001</v>
      </c>
    </row>
    <row r="239" spans="1:20" ht="24.95" customHeight="1" x14ac:dyDescent="0.3">
      <c r="A239" s="1"/>
      <c r="B239" s="33" t="s">
        <v>734</v>
      </c>
      <c r="C239" s="1">
        <v>17</v>
      </c>
      <c r="D239" s="5" t="s">
        <v>100</v>
      </c>
      <c r="E239" s="36" t="s">
        <v>886</v>
      </c>
      <c r="F239" s="34">
        <v>457.03300000000002</v>
      </c>
      <c r="G239" s="35">
        <v>24</v>
      </c>
      <c r="I239" t="s">
        <v>878</v>
      </c>
      <c r="O239" t="str">
        <f t="shared" si="79"/>
        <v>457+033</v>
      </c>
      <c r="P239" t="str">
        <f t="shared" si="80"/>
        <v>24</v>
      </c>
      <c r="Q239" t="str">
        <f t="shared" si="81"/>
        <v>457</v>
      </c>
      <c r="R239" t="str">
        <f t="shared" si="82"/>
        <v>033</v>
      </c>
      <c r="S239">
        <f t="shared" si="83"/>
        <v>457033</v>
      </c>
      <c r="T239">
        <f t="shared" si="84"/>
        <v>457.03300000000002</v>
      </c>
    </row>
    <row r="240" spans="1:20" ht="24.95" customHeight="1" x14ac:dyDescent="0.3">
      <c r="A240" s="1"/>
      <c r="B240" s="33" t="s">
        <v>735</v>
      </c>
      <c r="C240" s="1">
        <v>17</v>
      </c>
      <c r="D240" s="5" t="s">
        <v>100</v>
      </c>
      <c r="E240" s="36" t="s">
        <v>887</v>
      </c>
      <c r="F240" s="34">
        <v>467.13200000000001</v>
      </c>
      <c r="G240" s="35">
        <v>15</v>
      </c>
      <c r="I240" t="s">
        <v>889</v>
      </c>
      <c r="O240" t="str">
        <f t="shared" si="79"/>
        <v>467+132</v>
      </c>
      <c r="P240" t="str">
        <f t="shared" si="80"/>
        <v>15</v>
      </c>
      <c r="Q240" t="str">
        <f t="shared" si="81"/>
        <v>467</v>
      </c>
      <c r="R240" t="str">
        <f t="shared" si="82"/>
        <v>132</v>
      </c>
      <c r="S240">
        <f t="shared" si="83"/>
        <v>467132</v>
      </c>
      <c r="T240">
        <f t="shared" si="84"/>
        <v>467.13200000000001</v>
      </c>
    </row>
    <row r="241" spans="1:20" ht="24.95" customHeight="1" x14ac:dyDescent="0.3">
      <c r="A241" s="1"/>
      <c r="B241" s="33" t="s">
        <v>736</v>
      </c>
      <c r="C241" s="1">
        <v>17</v>
      </c>
      <c r="D241" s="5" t="s">
        <v>100</v>
      </c>
      <c r="E241" s="36" t="s">
        <v>888</v>
      </c>
      <c r="F241" s="34">
        <v>477.35199999999998</v>
      </c>
      <c r="G241" s="35">
        <v>8</v>
      </c>
      <c r="I241" t="s">
        <v>879</v>
      </c>
      <c r="O241" t="str">
        <f t="shared" si="79"/>
        <v>477+352</v>
      </c>
      <c r="P241" t="str">
        <f t="shared" si="80"/>
        <v>8</v>
      </c>
      <c r="Q241" t="str">
        <f t="shared" si="81"/>
        <v>477</v>
      </c>
      <c r="R241" t="str">
        <f t="shared" si="82"/>
        <v>352</v>
      </c>
      <c r="S241">
        <f t="shared" si="83"/>
        <v>477352</v>
      </c>
      <c r="T241">
        <f t="shared" si="84"/>
        <v>477.35199999999998</v>
      </c>
    </row>
    <row r="242" spans="1:20" ht="24.95" customHeight="1" x14ac:dyDescent="0.3">
      <c r="A242" s="1"/>
      <c r="B242" s="33" t="s">
        <v>737</v>
      </c>
      <c r="C242" s="1">
        <v>17</v>
      </c>
      <c r="D242" s="5" t="s">
        <v>100</v>
      </c>
      <c r="E242" s="36" t="s">
        <v>842</v>
      </c>
      <c r="F242" s="34">
        <v>486.01299999999998</v>
      </c>
      <c r="G242" s="35">
        <v>16</v>
      </c>
      <c r="I242" t="s">
        <v>890</v>
      </c>
      <c r="O242" t="str">
        <f t="shared" si="79"/>
        <v>486+013</v>
      </c>
      <c r="P242" t="str">
        <f t="shared" si="80"/>
        <v>16</v>
      </c>
      <c r="Q242" t="str">
        <f t="shared" si="81"/>
        <v>486</v>
      </c>
      <c r="R242" t="str">
        <f t="shared" si="82"/>
        <v>013</v>
      </c>
      <c r="S242">
        <f t="shared" si="83"/>
        <v>486013</v>
      </c>
      <c r="T242">
        <f t="shared" si="84"/>
        <v>486.01299999999998</v>
      </c>
    </row>
    <row r="243" spans="1:20" ht="24.95" customHeight="1" x14ac:dyDescent="0.3">
      <c r="A243" s="1"/>
      <c r="B243" s="33" t="s">
        <v>479</v>
      </c>
      <c r="C243" s="1">
        <v>18</v>
      </c>
      <c r="D243" s="5" t="s">
        <v>96</v>
      </c>
      <c r="E243" s="33" t="s">
        <v>583</v>
      </c>
      <c r="F243" s="34">
        <v>20</v>
      </c>
      <c r="G243" s="35">
        <v>709</v>
      </c>
      <c r="I243" t="s">
        <v>892</v>
      </c>
      <c r="O243" t="str">
        <f t="shared" ref="O243:O275" si="85">MID(I243, 1, SEARCH(" / ", I243) - 1)</f>
        <v>20+000</v>
      </c>
      <c r="P243" t="str">
        <f t="shared" ref="P243:P275" si="86">MID(I243, SEARCH(" / ", I243) + 3, LEN(I243))</f>
        <v>709</v>
      </c>
      <c r="Q243" t="str">
        <f t="shared" ref="Q243:Q275" si="87">MID(O243, 1, SEARCH("+", O243) - 1)</f>
        <v>20</v>
      </c>
      <c r="R243" t="str">
        <f t="shared" ref="R243:R275" si="88">MID(O243, SEARCH("+", O243) + 1, LEN(O243))</f>
        <v>000</v>
      </c>
      <c r="S243">
        <f t="shared" ref="S243:S275" si="89">Q243*1000+R243</f>
        <v>20000</v>
      </c>
      <c r="T243">
        <f t="shared" ref="T243:T275" si="90">S243/1000</f>
        <v>20</v>
      </c>
    </row>
    <row r="244" spans="1:20" ht="24.95" customHeight="1" x14ac:dyDescent="0.3">
      <c r="A244" s="1"/>
      <c r="B244" s="33" t="s">
        <v>480</v>
      </c>
      <c r="C244" s="1">
        <v>18</v>
      </c>
      <c r="D244" s="5" t="s">
        <v>96</v>
      </c>
      <c r="E244" s="33"/>
      <c r="F244" s="34">
        <v>40</v>
      </c>
      <c r="G244" s="35">
        <v>694</v>
      </c>
      <c r="I244" t="s">
        <v>893</v>
      </c>
      <c r="O244" t="str">
        <f t="shared" si="85"/>
        <v>40+000</v>
      </c>
      <c r="P244" t="str">
        <f t="shared" si="86"/>
        <v>694</v>
      </c>
      <c r="Q244" t="str">
        <f t="shared" si="87"/>
        <v>40</v>
      </c>
      <c r="R244" t="str">
        <f t="shared" si="88"/>
        <v>000</v>
      </c>
      <c r="S244">
        <f t="shared" si="89"/>
        <v>40000</v>
      </c>
      <c r="T244">
        <f t="shared" si="90"/>
        <v>40</v>
      </c>
    </row>
    <row r="245" spans="1:20" ht="24.95" customHeight="1" x14ac:dyDescent="0.3">
      <c r="A245" s="1"/>
      <c r="B245" s="33" t="s">
        <v>481</v>
      </c>
      <c r="C245" s="1">
        <v>18</v>
      </c>
      <c r="D245" s="5" t="s">
        <v>96</v>
      </c>
      <c r="E245" s="33" t="s">
        <v>591</v>
      </c>
      <c r="F245" s="34">
        <v>60</v>
      </c>
      <c r="G245" s="35">
        <v>662</v>
      </c>
      <c r="I245" t="s">
        <v>894</v>
      </c>
      <c r="O245" t="str">
        <f t="shared" si="85"/>
        <v>60+000</v>
      </c>
      <c r="P245" t="str">
        <f t="shared" si="86"/>
        <v>662</v>
      </c>
      <c r="Q245" t="str">
        <f t="shared" si="87"/>
        <v>60</v>
      </c>
      <c r="R245" t="str">
        <f t="shared" si="88"/>
        <v>000</v>
      </c>
      <c r="S245">
        <f t="shared" si="89"/>
        <v>60000</v>
      </c>
      <c r="T245">
        <f t="shared" si="90"/>
        <v>60</v>
      </c>
    </row>
    <row r="246" spans="1:20" ht="24.95" customHeight="1" x14ac:dyDescent="0.3">
      <c r="A246" s="1"/>
      <c r="B246" s="33" t="s">
        <v>482</v>
      </c>
      <c r="C246" s="1">
        <v>18</v>
      </c>
      <c r="D246" s="5" t="s">
        <v>96</v>
      </c>
      <c r="E246" s="33" t="s">
        <v>925</v>
      </c>
      <c r="F246" s="34">
        <v>118</v>
      </c>
      <c r="G246" s="35">
        <v>558</v>
      </c>
      <c r="I246" t="s">
        <v>895</v>
      </c>
      <c r="O246" t="str">
        <f t="shared" si="85"/>
        <v>118+000</v>
      </c>
      <c r="P246" t="str">
        <f t="shared" si="86"/>
        <v>558</v>
      </c>
      <c r="Q246" t="str">
        <f t="shared" si="87"/>
        <v>118</v>
      </c>
      <c r="R246" t="str">
        <f t="shared" si="88"/>
        <v>000</v>
      </c>
      <c r="S246">
        <f t="shared" si="89"/>
        <v>118000</v>
      </c>
      <c r="T246">
        <f t="shared" si="90"/>
        <v>118</v>
      </c>
    </row>
    <row r="247" spans="1:20" ht="24.95" customHeight="1" x14ac:dyDescent="0.3">
      <c r="A247" s="1"/>
      <c r="B247" s="33" t="s">
        <v>483</v>
      </c>
      <c r="C247" s="1">
        <v>18</v>
      </c>
      <c r="D247" s="5" t="s">
        <v>96</v>
      </c>
      <c r="E247" s="33"/>
      <c r="F247" s="34">
        <v>156</v>
      </c>
      <c r="G247" s="35">
        <v>570</v>
      </c>
      <c r="I247" t="s">
        <v>896</v>
      </c>
      <c r="O247" t="str">
        <f t="shared" si="85"/>
        <v>156+000</v>
      </c>
      <c r="P247" t="str">
        <f t="shared" si="86"/>
        <v>570</v>
      </c>
      <c r="Q247" t="str">
        <f t="shared" si="87"/>
        <v>156</v>
      </c>
      <c r="R247" t="str">
        <f t="shared" si="88"/>
        <v>000</v>
      </c>
      <c r="S247">
        <f t="shared" si="89"/>
        <v>156000</v>
      </c>
      <c r="T247">
        <f t="shared" si="90"/>
        <v>156</v>
      </c>
    </row>
    <row r="248" spans="1:20" ht="24.95" customHeight="1" x14ac:dyDescent="0.3">
      <c r="A248" s="1"/>
      <c r="B248" s="33" t="s">
        <v>484</v>
      </c>
      <c r="C248" s="1">
        <v>18</v>
      </c>
      <c r="D248" s="5" t="s">
        <v>96</v>
      </c>
      <c r="E248" s="33"/>
      <c r="F248" s="34">
        <v>195.6</v>
      </c>
      <c r="G248" s="35">
        <v>540</v>
      </c>
      <c r="I248" t="s">
        <v>897</v>
      </c>
      <c r="O248" t="str">
        <f t="shared" si="85"/>
        <v>195+600</v>
      </c>
      <c r="P248" t="str">
        <f t="shared" si="86"/>
        <v>540</v>
      </c>
      <c r="Q248" t="str">
        <f t="shared" si="87"/>
        <v>195</v>
      </c>
      <c r="R248" t="str">
        <f t="shared" si="88"/>
        <v>600</v>
      </c>
      <c r="S248">
        <f t="shared" si="89"/>
        <v>195600</v>
      </c>
      <c r="T248">
        <f t="shared" si="90"/>
        <v>195.6</v>
      </c>
    </row>
    <row r="249" spans="1:20" ht="24.95" customHeight="1" x14ac:dyDescent="0.3">
      <c r="A249" s="1"/>
      <c r="B249" s="33" t="s">
        <v>485</v>
      </c>
      <c r="C249" s="1">
        <v>18</v>
      </c>
      <c r="D249" s="5" t="s">
        <v>96</v>
      </c>
      <c r="E249" s="33"/>
      <c r="F249" s="34">
        <v>263.39999999999998</v>
      </c>
      <c r="G249" s="35">
        <v>423</v>
      </c>
      <c r="I249" t="s">
        <v>898</v>
      </c>
      <c r="O249" t="str">
        <f t="shared" si="85"/>
        <v>263+400</v>
      </c>
      <c r="P249" t="str">
        <f t="shared" si="86"/>
        <v>423</v>
      </c>
      <c r="Q249" t="str">
        <f t="shared" si="87"/>
        <v>263</v>
      </c>
      <c r="R249" t="str">
        <f t="shared" si="88"/>
        <v>400</v>
      </c>
      <c r="S249">
        <f t="shared" si="89"/>
        <v>263400</v>
      </c>
      <c r="T249">
        <f t="shared" si="90"/>
        <v>263.39999999999998</v>
      </c>
    </row>
    <row r="250" spans="1:20" ht="24.95" customHeight="1" x14ac:dyDescent="0.3">
      <c r="A250" s="1"/>
      <c r="B250" s="33" t="s">
        <v>486</v>
      </c>
      <c r="C250" s="1">
        <v>18</v>
      </c>
      <c r="D250" s="5" t="s">
        <v>96</v>
      </c>
      <c r="E250" s="33"/>
      <c r="F250" s="34">
        <v>298</v>
      </c>
      <c r="G250" s="35">
        <v>348</v>
      </c>
      <c r="I250" t="s">
        <v>899</v>
      </c>
      <c r="O250" t="str">
        <f t="shared" si="85"/>
        <v>298+000</v>
      </c>
      <c r="P250" t="str">
        <f t="shared" si="86"/>
        <v>348</v>
      </c>
      <c r="Q250" t="str">
        <f t="shared" si="87"/>
        <v>298</v>
      </c>
      <c r="R250" t="str">
        <f t="shared" si="88"/>
        <v>000</v>
      </c>
      <c r="S250">
        <f t="shared" si="89"/>
        <v>298000</v>
      </c>
      <c r="T250">
        <f t="shared" si="90"/>
        <v>298</v>
      </c>
    </row>
    <row r="251" spans="1:20" ht="24.95" customHeight="1" x14ac:dyDescent="0.3">
      <c r="A251" s="1"/>
      <c r="B251" s="33" t="s">
        <v>487</v>
      </c>
      <c r="C251" s="1">
        <v>18</v>
      </c>
      <c r="D251" s="5" t="s">
        <v>96</v>
      </c>
      <c r="E251" s="33"/>
      <c r="F251" s="34">
        <v>316.8</v>
      </c>
      <c r="G251" s="35">
        <v>318</v>
      </c>
      <c r="I251" t="s">
        <v>900</v>
      </c>
      <c r="O251" t="str">
        <f t="shared" si="85"/>
        <v>316+800</v>
      </c>
      <c r="P251" t="str">
        <f t="shared" si="86"/>
        <v>318</v>
      </c>
      <c r="Q251" t="str">
        <f t="shared" si="87"/>
        <v>316</v>
      </c>
      <c r="R251" t="str">
        <f t="shared" si="88"/>
        <v>800</v>
      </c>
      <c r="S251">
        <f t="shared" si="89"/>
        <v>316800</v>
      </c>
      <c r="T251">
        <f t="shared" si="90"/>
        <v>316.8</v>
      </c>
    </row>
    <row r="252" spans="1:20" ht="24.95" customHeight="1" x14ac:dyDescent="0.3">
      <c r="A252" s="1"/>
      <c r="B252" s="33" t="s">
        <v>378</v>
      </c>
      <c r="C252" s="1">
        <v>18</v>
      </c>
      <c r="D252" s="5" t="s">
        <v>96</v>
      </c>
      <c r="E252" s="33"/>
      <c r="F252" s="34">
        <v>357.8</v>
      </c>
      <c r="G252" s="35">
        <v>300</v>
      </c>
      <c r="I252" t="s">
        <v>901</v>
      </c>
      <c r="O252" t="str">
        <f t="shared" si="85"/>
        <v>357+800</v>
      </c>
      <c r="P252" t="str">
        <f t="shared" si="86"/>
        <v>300</v>
      </c>
      <c r="Q252" t="str">
        <f t="shared" si="87"/>
        <v>357</v>
      </c>
      <c r="R252" t="str">
        <f t="shared" si="88"/>
        <v>800</v>
      </c>
      <c r="S252">
        <f t="shared" si="89"/>
        <v>357800</v>
      </c>
      <c r="T252">
        <f t="shared" si="90"/>
        <v>357.8</v>
      </c>
    </row>
    <row r="253" spans="1:20" ht="24.95" customHeight="1" x14ac:dyDescent="0.3">
      <c r="A253" s="1"/>
      <c r="B253" s="33" t="s">
        <v>379</v>
      </c>
      <c r="C253" s="1">
        <v>18</v>
      </c>
      <c r="D253" s="5" t="s">
        <v>96</v>
      </c>
      <c r="E253" s="33"/>
      <c r="F253" s="34">
        <v>395.7</v>
      </c>
      <c r="G253" s="35">
        <v>274</v>
      </c>
      <c r="I253" t="s">
        <v>902</v>
      </c>
      <c r="O253" t="str">
        <f t="shared" si="85"/>
        <v>395+700</v>
      </c>
      <c r="P253" t="str">
        <f t="shared" si="86"/>
        <v>274</v>
      </c>
      <c r="Q253" t="str">
        <f t="shared" si="87"/>
        <v>395</v>
      </c>
      <c r="R253" t="str">
        <f t="shared" si="88"/>
        <v>700</v>
      </c>
      <c r="S253">
        <f t="shared" si="89"/>
        <v>395700</v>
      </c>
      <c r="T253">
        <f t="shared" si="90"/>
        <v>395.7</v>
      </c>
    </row>
    <row r="254" spans="1:20" ht="24.95" customHeight="1" x14ac:dyDescent="0.3">
      <c r="A254" s="1"/>
      <c r="B254" s="33" t="s">
        <v>380</v>
      </c>
      <c r="C254" s="1">
        <v>18</v>
      </c>
      <c r="D254" s="5" t="s">
        <v>96</v>
      </c>
      <c r="E254" s="33"/>
      <c r="F254" s="34">
        <v>448.8</v>
      </c>
      <c r="G254" s="35">
        <v>240</v>
      </c>
      <c r="I254" t="s">
        <v>903</v>
      </c>
      <c r="O254" t="str">
        <f t="shared" si="85"/>
        <v>448+800</v>
      </c>
      <c r="P254" t="str">
        <f t="shared" si="86"/>
        <v>240</v>
      </c>
      <c r="Q254" t="str">
        <f t="shared" si="87"/>
        <v>448</v>
      </c>
      <c r="R254" t="str">
        <f t="shared" si="88"/>
        <v>800</v>
      </c>
      <c r="S254">
        <f t="shared" si="89"/>
        <v>448800</v>
      </c>
      <c r="T254">
        <f t="shared" si="90"/>
        <v>448.8</v>
      </c>
    </row>
    <row r="255" spans="1:20" ht="24.95" customHeight="1" x14ac:dyDescent="0.3">
      <c r="A255" s="1"/>
      <c r="B255" s="33" t="s">
        <v>381</v>
      </c>
      <c r="C255" s="1">
        <v>18</v>
      </c>
      <c r="D255" s="5" t="s">
        <v>96</v>
      </c>
      <c r="E255" s="33" t="s">
        <v>355</v>
      </c>
      <c r="F255" s="34">
        <v>484.8</v>
      </c>
      <c r="G255" s="35">
        <v>220</v>
      </c>
      <c r="I255" t="s">
        <v>904</v>
      </c>
      <c r="O255" t="str">
        <f t="shared" si="85"/>
        <v>484+800</v>
      </c>
      <c r="P255" t="str">
        <f t="shared" si="86"/>
        <v>220</v>
      </c>
      <c r="Q255" t="str">
        <f t="shared" si="87"/>
        <v>484</v>
      </c>
      <c r="R255" t="str">
        <f t="shared" si="88"/>
        <v>800</v>
      </c>
      <c r="S255">
        <f t="shared" si="89"/>
        <v>484800</v>
      </c>
      <c r="T255">
        <f t="shared" si="90"/>
        <v>484.8</v>
      </c>
    </row>
    <row r="256" spans="1:20" ht="24.95" customHeight="1" x14ac:dyDescent="0.3">
      <c r="A256" s="1"/>
      <c r="B256" s="33" t="s">
        <v>382</v>
      </c>
      <c r="C256" s="1">
        <v>18</v>
      </c>
      <c r="D256" s="5" t="s">
        <v>96</v>
      </c>
      <c r="E256" s="33"/>
      <c r="F256" s="34">
        <v>524.29999999999995</v>
      </c>
      <c r="G256" s="35">
        <v>198</v>
      </c>
      <c r="I256" t="s">
        <v>905</v>
      </c>
      <c r="O256" t="str">
        <f t="shared" si="85"/>
        <v>524+300</v>
      </c>
      <c r="P256" t="str">
        <f t="shared" si="86"/>
        <v>198</v>
      </c>
      <c r="Q256" t="str">
        <f t="shared" si="87"/>
        <v>524</v>
      </c>
      <c r="R256" t="str">
        <f t="shared" si="88"/>
        <v>300</v>
      </c>
      <c r="S256">
        <f t="shared" si="89"/>
        <v>524300</v>
      </c>
      <c r="T256">
        <f t="shared" si="90"/>
        <v>524.29999999999995</v>
      </c>
    </row>
    <row r="257" spans="1:20" ht="24.95" customHeight="1" x14ac:dyDescent="0.3">
      <c r="A257" s="1"/>
      <c r="B257" s="33" t="s">
        <v>383</v>
      </c>
      <c r="C257" s="1">
        <v>18</v>
      </c>
      <c r="D257" s="5" t="s">
        <v>96</v>
      </c>
      <c r="E257" s="33"/>
      <c r="F257" s="34">
        <v>544.9</v>
      </c>
      <c r="G257" s="35">
        <v>186</v>
      </c>
      <c r="I257" t="s">
        <v>906</v>
      </c>
      <c r="O257" t="str">
        <f t="shared" si="85"/>
        <v>544+900</v>
      </c>
      <c r="P257" t="str">
        <f t="shared" si="86"/>
        <v>186</v>
      </c>
      <c r="Q257" t="str">
        <f t="shared" si="87"/>
        <v>544</v>
      </c>
      <c r="R257" t="str">
        <f t="shared" si="88"/>
        <v>900</v>
      </c>
      <c r="S257">
        <f t="shared" si="89"/>
        <v>544900</v>
      </c>
      <c r="T257">
        <f t="shared" si="90"/>
        <v>544.9</v>
      </c>
    </row>
    <row r="258" spans="1:20" ht="24.95" customHeight="1" x14ac:dyDescent="0.3">
      <c r="A258" s="1"/>
      <c r="B258" s="33" t="s">
        <v>384</v>
      </c>
      <c r="C258" s="1">
        <v>18</v>
      </c>
      <c r="D258" s="5" t="s">
        <v>96</v>
      </c>
      <c r="E258" s="33"/>
      <c r="F258" s="34">
        <v>565.6</v>
      </c>
      <c r="G258" s="35">
        <v>178</v>
      </c>
      <c r="I258" t="s">
        <v>907</v>
      </c>
      <c r="O258" t="str">
        <f t="shared" si="85"/>
        <v>565+600</v>
      </c>
      <c r="P258" t="str">
        <f t="shared" si="86"/>
        <v>178</v>
      </c>
      <c r="Q258" t="str">
        <f t="shared" si="87"/>
        <v>565</v>
      </c>
      <c r="R258" t="str">
        <f t="shared" si="88"/>
        <v>600</v>
      </c>
      <c r="S258">
        <f t="shared" si="89"/>
        <v>565600</v>
      </c>
      <c r="T258">
        <f t="shared" si="90"/>
        <v>565.6</v>
      </c>
    </row>
    <row r="259" spans="1:20" ht="24.95" customHeight="1" x14ac:dyDescent="0.3">
      <c r="A259" s="1"/>
      <c r="B259" s="33" t="s">
        <v>385</v>
      </c>
      <c r="C259" s="1">
        <v>18</v>
      </c>
      <c r="D259" s="5" t="s">
        <v>96</v>
      </c>
      <c r="E259" s="33"/>
      <c r="F259" s="34">
        <v>586.4</v>
      </c>
      <c r="G259" s="35">
        <v>167</v>
      </c>
      <c r="I259" t="s">
        <v>908</v>
      </c>
      <c r="O259" t="str">
        <f t="shared" si="85"/>
        <v>586+400</v>
      </c>
      <c r="P259" t="str">
        <f t="shared" si="86"/>
        <v>167</v>
      </c>
      <c r="Q259" t="str">
        <f t="shared" si="87"/>
        <v>586</v>
      </c>
      <c r="R259" t="str">
        <f t="shared" si="88"/>
        <v>400</v>
      </c>
      <c r="S259">
        <f t="shared" si="89"/>
        <v>586400</v>
      </c>
      <c r="T259">
        <f t="shared" si="90"/>
        <v>586.4</v>
      </c>
    </row>
    <row r="260" spans="1:20" ht="24.95" customHeight="1" x14ac:dyDescent="0.3">
      <c r="A260" s="1"/>
      <c r="B260" s="33" t="s">
        <v>386</v>
      </c>
      <c r="C260" s="1">
        <v>18</v>
      </c>
      <c r="D260" s="5" t="s">
        <v>96</v>
      </c>
      <c r="E260" s="33"/>
      <c r="F260" s="34">
        <v>604.29999999999995</v>
      </c>
      <c r="G260" s="35">
        <v>160</v>
      </c>
      <c r="I260" t="s">
        <v>909</v>
      </c>
      <c r="O260" t="str">
        <f t="shared" si="85"/>
        <v>604+300</v>
      </c>
      <c r="P260" t="str">
        <f t="shared" si="86"/>
        <v>160</v>
      </c>
      <c r="Q260" t="str">
        <f t="shared" si="87"/>
        <v>604</v>
      </c>
      <c r="R260" t="str">
        <f t="shared" si="88"/>
        <v>300</v>
      </c>
      <c r="S260">
        <f t="shared" si="89"/>
        <v>604300</v>
      </c>
      <c r="T260">
        <f t="shared" si="90"/>
        <v>604.29999999999995</v>
      </c>
    </row>
    <row r="261" spans="1:20" ht="24.95" customHeight="1" x14ac:dyDescent="0.3">
      <c r="A261" s="1"/>
      <c r="B261" s="33" t="s">
        <v>387</v>
      </c>
      <c r="C261" s="1">
        <v>18</v>
      </c>
      <c r="D261" s="5" t="s">
        <v>96</v>
      </c>
      <c r="E261" s="33"/>
      <c r="F261" s="34">
        <v>623.29999999999995</v>
      </c>
      <c r="G261" s="35">
        <v>151</v>
      </c>
      <c r="I261" t="s">
        <v>910</v>
      </c>
      <c r="O261" t="str">
        <f t="shared" si="85"/>
        <v>623+300</v>
      </c>
      <c r="P261" t="str">
        <f t="shared" si="86"/>
        <v>151</v>
      </c>
      <c r="Q261" t="str">
        <f t="shared" si="87"/>
        <v>623</v>
      </c>
      <c r="R261" t="str">
        <f t="shared" si="88"/>
        <v>300</v>
      </c>
      <c r="S261">
        <f t="shared" si="89"/>
        <v>623300</v>
      </c>
      <c r="T261">
        <f t="shared" si="90"/>
        <v>623.29999999999995</v>
      </c>
    </row>
    <row r="262" spans="1:20" ht="24.95" customHeight="1" x14ac:dyDescent="0.3">
      <c r="A262" s="1"/>
      <c r="B262" s="33" t="s">
        <v>388</v>
      </c>
      <c r="C262" s="1">
        <v>18</v>
      </c>
      <c r="D262" s="5" t="s">
        <v>96</v>
      </c>
      <c r="E262" s="33"/>
      <c r="F262" s="34">
        <v>653.5</v>
      </c>
      <c r="G262" s="35">
        <v>167</v>
      </c>
      <c r="I262" t="s">
        <v>911</v>
      </c>
      <c r="O262" t="str">
        <f t="shared" si="85"/>
        <v>653+500</v>
      </c>
      <c r="P262" t="str">
        <f t="shared" si="86"/>
        <v>167</v>
      </c>
      <c r="Q262" t="str">
        <f t="shared" si="87"/>
        <v>653</v>
      </c>
      <c r="R262" t="str">
        <f t="shared" si="88"/>
        <v>500</v>
      </c>
      <c r="S262">
        <f t="shared" si="89"/>
        <v>653500</v>
      </c>
      <c r="T262">
        <f t="shared" si="90"/>
        <v>653.5</v>
      </c>
    </row>
    <row r="263" spans="1:20" ht="24.95" customHeight="1" x14ac:dyDescent="0.3">
      <c r="A263" s="1"/>
      <c r="B263" s="33" t="s">
        <v>891</v>
      </c>
      <c r="C263" s="1">
        <v>18</v>
      </c>
      <c r="D263" s="5" t="s">
        <v>96</v>
      </c>
      <c r="E263" s="33"/>
      <c r="F263" s="34">
        <v>672.5</v>
      </c>
      <c r="G263" s="35">
        <v>167</v>
      </c>
      <c r="I263" t="s">
        <v>912</v>
      </c>
      <c r="O263" t="str">
        <f t="shared" si="85"/>
        <v>672+500</v>
      </c>
      <c r="P263" t="str">
        <f t="shared" si="86"/>
        <v>167</v>
      </c>
      <c r="Q263" t="str">
        <f t="shared" si="87"/>
        <v>672</v>
      </c>
      <c r="R263" t="str">
        <f t="shared" si="88"/>
        <v>500</v>
      </c>
      <c r="S263">
        <f t="shared" si="89"/>
        <v>672500</v>
      </c>
      <c r="T263">
        <f t="shared" si="90"/>
        <v>672.5</v>
      </c>
    </row>
    <row r="264" spans="1:20" ht="24.95" customHeight="1" x14ac:dyDescent="0.3">
      <c r="A264" s="1"/>
      <c r="B264" s="33" t="s">
        <v>389</v>
      </c>
      <c r="C264" s="1">
        <v>18</v>
      </c>
      <c r="D264" s="5" t="s">
        <v>96</v>
      </c>
      <c r="E264" s="33" t="s">
        <v>363</v>
      </c>
      <c r="F264" s="34">
        <v>694.5</v>
      </c>
      <c r="G264" s="35">
        <v>177</v>
      </c>
      <c r="I264" t="s">
        <v>913</v>
      </c>
      <c r="K264" t="s">
        <v>363</v>
      </c>
      <c r="O264" t="str">
        <f t="shared" si="85"/>
        <v>694+500</v>
      </c>
      <c r="P264" t="str">
        <f t="shared" si="86"/>
        <v>177</v>
      </c>
      <c r="Q264" t="str">
        <f t="shared" si="87"/>
        <v>694</v>
      </c>
      <c r="R264" t="str">
        <f t="shared" si="88"/>
        <v>500</v>
      </c>
      <c r="S264">
        <f t="shared" si="89"/>
        <v>694500</v>
      </c>
      <c r="T264">
        <f t="shared" si="90"/>
        <v>694.5</v>
      </c>
    </row>
    <row r="265" spans="1:20" ht="24.95" customHeight="1" x14ac:dyDescent="0.3">
      <c r="A265" s="1"/>
      <c r="B265" s="33" t="s">
        <v>451</v>
      </c>
      <c r="C265" s="1">
        <v>18</v>
      </c>
      <c r="D265" s="5" t="s">
        <v>96</v>
      </c>
      <c r="E265" s="33" t="s">
        <v>409</v>
      </c>
      <c r="F265" s="34">
        <v>715.5</v>
      </c>
      <c r="G265" s="35">
        <v>148</v>
      </c>
      <c r="I265" t="s">
        <v>914</v>
      </c>
      <c r="K265" t="s">
        <v>409</v>
      </c>
      <c r="O265" t="str">
        <f t="shared" si="85"/>
        <v>715+500</v>
      </c>
      <c r="P265" t="str">
        <f t="shared" si="86"/>
        <v>148</v>
      </c>
      <c r="Q265" t="str">
        <f t="shared" si="87"/>
        <v>715</v>
      </c>
      <c r="R265" t="str">
        <f t="shared" si="88"/>
        <v>500</v>
      </c>
      <c r="S265">
        <f t="shared" si="89"/>
        <v>715500</v>
      </c>
      <c r="T265">
        <f t="shared" si="90"/>
        <v>715.5</v>
      </c>
    </row>
    <row r="266" spans="1:20" ht="24.95" customHeight="1" x14ac:dyDescent="0.3">
      <c r="A266" s="1"/>
      <c r="B266" s="33" t="s">
        <v>452</v>
      </c>
      <c r="C266" s="1">
        <v>18</v>
      </c>
      <c r="D266" s="5" t="s">
        <v>96</v>
      </c>
      <c r="E266" s="33" t="s">
        <v>926</v>
      </c>
      <c r="F266" s="34">
        <v>741.6</v>
      </c>
      <c r="G266" s="35">
        <v>136</v>
      </c>
      <c r="I266" t="s">
        <v>915</v>
      </c>
      <c r="K266" t="s">
        <v>926</v>
      </c>
      <c r="O266" t="str">
        <f t="shared" si="85"/>
        <v>741+600</v>
      </c>
      <c r="P266" t="str">
        <f t="shared" si="86"/>
        <v>136</v>
      </c>
      <c r="Q266" t="str">
        <f t="shared" si="87"/>
        <v>741</v>
      </c>
      <c r="R266" t="str">
        <f t="shared" si="88"/>
        <v>600</v>
      </c>
      <c r="S266">
        <f t="shared" si="89"/>
        <v>741600</v>
      </c>
      <c r="T266">
        <f t="shared" si="90"/>
        <v>741.6</v>
      </c>
    </row>
    <row r="267" spans="1:20" ht="24.95" customHeight="1" x14ac:dyDescent="0.3">
      <c r="A267" s="1"/>
      <c r="B267" s="33" t="s">
        <v>453</v>
      </c>
      <c r="C267" s="1">
        <v>18</v>
      </c>
      <c r="D267" s="5" t="s">
        <v>96</v>
      </c>
      <c r="E267" s="33" t="s">
        <v>363</v>
      </c>
      <c r="F267" s="34">
        <v>769.5</v>
      </c>
      <c r="G267" s="35">
        <v>160</v>
      </c>
      <c r="I267" t="s">
        <v>916</v>
      </c>
      <c r="K267" t="s">
        <v>363</v>
      </c>
      <c r="O267" t="str">
        <f t="shared" si="85"/>
        <v>769+500</v>
      </c>
      <c r="P267" t="str">
        <f t="shared" si="86"/>
        <v>160</v>
      </c>
      <c r="Q267" t="str">
        <f t="shared" si="87"/>
        <v>769</v>
      </c>
      <c r="R267" t="str">
        <f t="shared" si="88"/>
        <v>500</v>
      </c>
      <c r="S267">
        <f t="shared" si="89"/>
        <v>769500</v>
      </c>
      <c r="T267">
        <f t="shared" si="90"/>
        <v>769.5</v>
      </c>
    </row>
    <row r="268" spans="1:20" ht="24.95" customHeight="1" x14ac:dyDescent="0.3">
      <c r="A268" s="1"/>
      <c r="B268" s="33" t="s">
        <v>454</v>
      </c>
      <c r="C268" s="1">
        <v>18</v>
      </c>
      <c r="D268" s="5" t="s">
        <v>96</v>
      </c>
      <c r="E268" s="33" t="s">
        <v>411</v>
      </c>
      <c r="F268" s="34">
        <v>837.6</v>
      </c>
      <c r="G268" s="35">
        <v>318</v>
      </c>
      <c r="I268" t="s">
        <v>917</v>
      </c>
      <c r="O268" t="str">
        <f t="shared" si="85"/>
        <v>837+600</v>
      </c>
      <c r="P268" t="str">
        <f t="shared" si="86"/>
        <v>318</v>
      </c>
      <c r="Q268" t="str">
        <f t="shared" si="87"/>
        <v>837</v>
      </c>
      <c r="R268" t="str">
        <f t="shared" si="88"/>
        <v>600</v>
      </c>
      <c r="S268">
        <f t="shared" si="89"/>
        <v>837600</v>
      </c>
      <c r="T268">
        <f t="shared" si="90"/>
        <v>837.6</v>
      </c>
    </row>
    <row r="269" spans="1:20" ht="24.95" customHeight="1" x14ac:dyDescent="0.3">
      <c r="A269" s="1"/>
      <c r="B269" s="33" t="s">
        <v>734</v>
      </c>
      <c r="C269" s="1">
        <v>18</v>
      </c>
      <c r="D269" s="5" t="s">
        <v>96</v>
      </c>
      <c r="E269" s="33" t="s">
        <v>411</v>
      </c>
      <c r="F269" s="34">
        <v>857.5</v>
      </c>
      <c r="G269" s="35">
        <v>352</v>
      </c>
      <c r="I269" t="s">
        <v>918</v>
      </c>
      <c r="K269" t="s">
        <v>411</v>
      </c>
      <c r="O269" t="str">
        <f t="shared" si="85"/>
        <v>857+500</v>
      </c>
      <c r="P269" t="str">
        <f t="shared" si="86"/>
        <v>352</v>
      </c>
      <c r="Q269" t="str">
        <f t="shared" si="87"/>
        <v>857</v>
      </c>
      <c r="R269" t="str">
        <f t="shared" si="88"/>
        <v>500</v>
      </c>
      <c r="S269">
        <f t="shared" si="89"/>
        <v>857500</v>
      </c>
      <c r="T269">
        <f t="shared" si="90"/>
        <v>857.5</v>
      </c>
    </row>
    <row r="270" spans="1:20" ht="24.95" customHeight="1" x14ac:dyDescent="0.3">
      <c r="A270" s="1"/>
      <c r="B270" s="33" t="s">
        <v>735</v>
      </c>
      <c r="C270" s="1">
        <v>18</v>
      </c>
      <c r="D270" s="5" t="s">
        <v>96</v>
      </c>
      <c r="E270" s="33" t="s">
        <v>411</v>
      </c>
      <c r="F270" s="34">
        <v>878.5</v>
      </c>
      <c r="G270" s="35">
        <v>412</v>
      </c>
      <c r="I270" t="s">
        <v>919</v>
      </c>
      <c r="O270" t="str">
        <f t="shared" si="85"/>
        <v>878+500</v>
      </c>
      <c r="P270" t="str">
        <f t="shared" si="86"/>
        <v>412</v>
      </c>
      <c r="Q270" t="str">
        <f t="shared" si="87"/>
        <v>878</v>
      </c>
      <c r="R270" t="str">
        <f t="shared" si="88"/>
        <v>500</v>
      </c>
      <c r="S270">
        <f t="shared" si="89"/>
        <v>878500</v>
      </c>
      <c r="T270">
        <f t="shared" si="90"/>
        <v>878.5</v>
      </c>
    </row>
    <row r="271" spans="1:20" ht="24.95" customHeight="1" x14ac:dyDescent="0.3">
      <c r="A271" s="1"/>
      <c r="B271" s="33" t="s">
        <v>736</v>
      </c>
      <c r="C271" s="1">
        <v>18</v>
      </c>
      <c r="D271" s="5" t="s">
        <v>96</v>
      </c>
      <c r="E271" s="33" t="s">
        <v>927</v>
      </c>
      <c r="F271" s="34">
        <v>900.7</v>
      </c>
      <c r="G271" s="35">
        <v>496</v>
      </c>
      <c r="I271" t="s">
        <v>920</v>
      </c>
      <c r="K271" t="s">
        <v>927</v>
      </c>
      <c r="O271" t="str">
        <f t="shared" si="85"/>
        <v>900+700</v>
      </c>
      <c r="P271" t="str">
        <f t="shared" si="86"/>
        <v>496</v>
      </c>
      <c r="Q271" t="str">
        <f t="shared" si="87"/>
        <v>900</v>
      </c>
      <c r="R271" t="str">
        <f t="shared" si="88"/>
        <v>700</v>
      </c>
      <c r="S271">
        <f t="shared" si="89"/>
        <v>900700</v>
      </c>
      <c r="T271">
        <f t="shared" si="90"/>
        <v>900.7</v>
      </c>
    </row>
    <row r="272" spans="1:20" ht="24.95" customHeight="1" x14ac:dyDescent="0.3">
      <c r="A272" s="1"/>
      <c r="B272" s="33" t="s">
        <v>737</v>
      </c>
      <c r="C272" s="1">
        <v>18</v>
      </c>
      <c r="D272" s="5" t="s">
        <v>96</v>
      </c>
      <c r="E272" s="33" t="s">
        <v>928</v>
      </c>
      <c r="F272" s="34">
        <v>918.3</v>
      </c>
      <c r="G272" s="35">
        <v>558</v>
      </c>
      <c r="I272" t="s">
        <v>921</v>
      </c>
      <c r="K272" t="s">
        <v>928</v>
      </c>
      <c r="O272" t="str">
        <f t="shared" si="85"/>
        <v>918+300</v>
      </c>
      <c r="P272" t="str">
        <f t="shared" si="86"/>
        <v>558</v>
      </c>
      <c r="Q272" t="str">
        <f t="shared" si="87"/>
        <v>918</v>
      </c>
      <c r="R272" t="str">
        <f t="shared" si="88"/>
        <v>300</v>
      </c>
      <c r="S272">
        <f t="shared" si="89"/>
        <v>918300</v>
      </c>
      <c r="T272">
        <f t="shared" si="90"/>
        <v>918.3</v>
      </c>
    </row>
    <row r="273" spans="1:20" ht="24.95" customHeight="1" x14ac:dyDescent="0.3">
      <c r="A273" s="1"/>
      <c r="B273" s="33" t="s">
        <v>738</v>
      </c>
      <c r="C273" s="1">
        <v>18</v>
      </c>
      <c r="D273" s="5" t="s">
        <v>96</v>
      </c>
      <c r="E273" s="33" t="s">
        <v>929</v>
      </c>
      <c r="F273" s="34">
        <v>936.6</v>
      </c>
      <c r="G273" s="35">
        <v>626</v>
      </c>
      <c r="I273" t="s">
        <v>922</v>
      </c>
      <c r="K273" t="s">
        <v>929</v>
      </c>
      <c r="O273" t="str">
        <f t="shared" si="85"/>
        <v>936+600</v>
      </c>
      <c r="P273" t="str">
        <f t="shared" si="86"/>
        <v>626</v>
      </c>
      <c r="Q273" t="str">
        <f t="shared" si="87"/>
        <v>936</v>
      </c>
      <c r="R273" t="str">
        <f t="shared" si="88"/>
        <v>600</v>
      </c>
      <c r="S273">
        <f t="shared" si="89"/>
        <v>936600</v>
      </c>
      <c r="T273">
        <f t="shared" si="90"/>
        <v>936.6</v>
      </c>
    </row>
    <row r="274" spans="1:20" ht="24.95" customHeight="1" x14ac:dyDescent="0.3">
      <c r="A274" s="1"/>
      <c r="B274" s="33" t="s">
        <v>739</v>
      </c>
      <c r="C274" s="1">
        <v>18</v>
      </c>
      <c r="D274" s="5" t="s">
        <v>96</v>
      </c>
      <c r="E274" s="33" t="s">
        <v>929</v>
      </c>
      <c r="F274" s="34">
        <v>954.3</v>
      </c>
      <c r="G274" s="35">
        <v>708</v>
      </c>
      <c r="I274" t="s">
        <v>923</v>
      </c>
      <c r="O274" t="str">
        <f t="shared" si="85"/>
        <v>954+300</v>
      </c>
      <c r="P274" t="str">
        <f t="shared" si="86"/>
        <v>708</v>
      </c>
      <c r="Q274" t="str">
        <f t="shared" si="87"/>
        <v>954</v>
      </c>
      <c r="R274" t="str">
        <f t="shared" si="88"/>
        <v>300</v>
      </c>
      <c r="S274">
        <f t="shared" si="89"/>
        <v>954300</v>
      </c>
      <c r="T274">
        <f t="shared" si="90"/>
        <v>954.3</v>
      </c>
    </row>
    <row r="275" spans="1:20" ht="24.95" customHeight="1" x14ac:dyDescent="0.3">
      <c r="A275" s="1"/>
      <c r="B275" s="33" t="s">
        <v>740</v>
      </c>
      <c r="C275" s="1">
        <v>18</v>
      </c>
      <c r="D275" s="5" t="s">
        <v>96</v>
      </c>
      <c r="E275" s="33" t="s">
        <v>930</v>
      </c>
      <c r="F275" s="34">
        <v>971.3</v>
      </c>
      <c r="G275" s="35">
        <v>770</v>
      </c>
      <c r="I275" t="s">
        <v>924</v>
      </c>
      <c r="K275" t="s">
        <v>930</v>
      </c>
      <c r="O275" t="str">
        <f t="shared" si="85"/>
        <v>971+300</v>
      </c>
      <c r="P275" t="str">
        <f t="shared" si="86"/>
        <v>770</v>
      </c>
      <c r="Q275" t="str">
        <f t="shared" si="87"/>
        <v>971</v>
      </c>
      <c r="R275" t="str">
        <f t="shared" si="88"/>
        <v>300</v>
      </c>
      <c r="S275">
        <f t="shared" si="89"/>
        <v>971300</v>
      </c>
      <c r="T275">
        <f t="shared" si="90"/>
        <v>971.3</v>
      </c>
    </row>
    <row r="276" spans="1:20" ht="24.95" customHeight="1" x14ac:dyDescent="0.3">
      <c r="A276" s="1"/>
      <c r="B276" s="33"/>
      <c r="C276" s="1">
        <v>19</v>
      </c>
      <c r="D276" s="5" t="s">
        <v>97</v>
      </c>
      <c r="E276" s="33" t="s">
        <v>583</v>
      </c>
      <c r="F276" s="34">
        <v>18</v>
      </c>
      <c r="G276" s="35">
        <v>558</v>
      </c>
      <c r="I276" t="s">
        <v>931</v>
      </c>
      <c r="O276" t="str">
        <f t="shared" ref="O276:O313" si="91">MID(I276, 1, SEARCH(" / ", I276) - 1)</f>
        <v>18</v>
      </c>
      <c r="P276" t="str">
        <f t="shared" ref="P276:P313" si="92">MID(I276, SEARCH(" / ", I276) + 3, LEN(I276))</f>
        <v>558</v>
      </c>
      <c r="Q276" t="e">
        <f t="shared" ref="Q276:Q313" si="93">MID(O276, 1, SEARCH("+", O276) - 1)</f>
        <v>#VALUE!</v>
      </c>
      <c r="R276" t="e">
        <f t="shared" ref="R276:R313" si="94">MID(O276, SEARCH("+", O276) + 1, LEN(O276))</f>
        <v>#VALUE!</v>
      </c>
      <c r="S276" t="e">
        <f t="shared" ref="S276:S313" si="95">Q276*1000+R276</f>
        <v>#VALUE!</v>
      </c>
      <c r="T276" t="e">
        <f t="shared" ref="T276:T313" si="96">S276/1000</f>
        <v>#VALUE!</v>
      </c>
    </row>
    <row r="277" spans="1:20" ht="24.95" customHeight="1" x14ac:dyDescent="0.3">
      <c r="A277" s="1"/>
      <c r="B277" s="33"/>
      <c r="C277" s="1">
        <v>19</v>
      </c>
      <c r="D277" s="5" t="s">
        <v>97</v>
      </c>
      <c r="E277" s="33" t="s">
        <v>583</v>
      </c>
      <c r="F277" s="34">
        <v>54</v>
      </c>
      <c r="G277" s="35">
        <v>570</v>
      </c>
      <c r="I277" t="s">
        <v>932</v>
      </c>
      <c r="O277" t="str">
        <f t="shared" si="91"/>
        <v>54</v>
      </c>
      <c r="P277" t="str">
        <f t="shared" si="92"/>
        <v>570</v>
      </c>
      <c r="Q277" t="e">
        <f t="shared" si="93"/>
        <v>#VALUE!</v>
      </c>
      <c r="R277" t="e">
        <f t="shared" si="94"/>
        <v>#VALUE!</v>
      </c>
      <c r="S277" t="e">
        <f t="shared" si="95"/>
        <v>#VALUE!</v>
      </c>
      <c r="T277" t="e">
        <f t="shared" si="96"/>
        <v>#VALUE!</v>
      </c>
    </row>
    <row r="278" spans="1:20" ht="24.95" customHeight="1" x14ac:dyDescent="0.3">
      <c r="A278" s="1"/>
      <c r="B278" s="33"/>
      <c r="C278" s="1">
        <v>19</v>
      </c>
      <c r="D278" s="5" t="s">
        <v>97</v>
      </c>
      <c r="E278" s="33" t="s">
        <v>925</v>
      </c>
      <c r="F278" s="34">
        <v>93</v>
      </c>
      <c r="G278" s="35">
        <v>540</v>
      </c>
      <c r="I278" t="s">
        <v>933</v>
      </c>
      <c r="O278" t="str">
        <f t="shared" si="91"/>
        <v>93</v>
      </c>
      <c r="P278" t="str">
        <f t="shared" si="92"/>
        <v>540</v>
      </c>
      <c r="Q278" t="e">
        <f t="shared" si="93"/>
        <v>#VALUE!</v>
      </c>
      <c r="R278" t="e">
        <f t="shared" si="94"/>
        <v>#VALUE!</v>
      </c>
      <c r="S278" t="e">
        <f t="shared" si="95"/>
        <v>#VALUE!</v>
      </c>
      <c r="T278" t="e">
        <f t="shared" si="96"/>
        <v>#VALUE!</v>
      </c>
    </row>
    <row r="279" spans="1:20" ht="24.95" customHeight="1" x14ac:dyDescent="0.3">
      <c r="A279" s="1"/>
      <c r="B279" s="33"/>
      <c r="C279" s="1">
        <v>19</v>
      </c>
      <c r="D279" s="5" t="s">
        <v>97</v>
      </c>
      <c r="E279" s="33" t="s">
        <v>925</v>
      </c>
      <c r="F279" s="34">
        <v>161</v>
      </c>
      <c r="G279" s="35">
        <v>423</v>
      </c>
      <c r="I279" t="s">
        <v>934</v>
      </c>
      <c r="O279" t="str">
        <f t="shared" si="91"/>
        <v>161</v>
      </c>
      <c r="P279" t="str">
        <f t="shared" si="92"/>
        <v>423</v>
      </c>
      <c r="Q279" t="e">
        <f t="shared" si="93"/>
        <v>#VALUE!</v>
      </c>
      <c r="R279" t="e">
        <f t="shared" si="94"/>
        <v>#VALUE!</v>
      </c>
      <c r="S279" t="e">
        <f t="shared" si="95"/>
        <v>#VALUE!</v>
      </c>
      <c r="T279" t="e">
        <f t="shared" si="96"/>
        <v>#VALUE!</v>
      </c>
    </row>
    <row r="280" spans="1:20" ht="24.95" customHeight="1" x14ac:dyDescent="0.3">
      <c r="A280" s="1"/>
      <c r="B280" s="33"/>
      <c r="C280" s="1">
        <v>19</v>
      </c>
      <c r="D280" s="5" t="s">
        <v>97</v>
      </c>
      <c r="E280" s="33" t="s">
        <v>925</v>
      </c>
      <c r="F280" s="34">
        <v>196</v>
      </c>
      <c r="G280" s="35">
        <v>348</v>
      </c>
      <c r="I280" t="s">
        <v>935</v>
      </c>
      <c r="O280" t="str">
        <f t="shared" si="91"/>
        <v>196</v>
      </c>
      <c r="P280" t="str">
        <f t="shared" si="92"/>
        <v>348</v>
      </c>
      <c r="Q280" t="e">
        <f t="shared" si="93"/>
        <v>#VALUE!</v>
      </c>
      <c r="R280" t="e">
        <f t="shared" si="94"/>
        <v>#VALUE!</v>
      </c>
      <c r="S280" t="e">
        <f t="shared" si="95"/>
        <v>#VALUE!</v>
      </c>
      <c r="T280" t="e">
        <f t="shared" si="96"/>
        <v>#VALUE!</v>
      </c>
    </row>
    <row r="281" spans="1:20" ht="24.95" customHeight="1" x14ac:dyDescent="0.3">
      <c r="A281" s="1"/>
      <c r="B281" s="33"/>
      <c r="C281" s="1">
        <v>19</v>
      </c>
      <c r="D281" s="5" t="s">
        <v>97</v>
      </c>
      <c r="E281" s="33" t="s">
        <v>925</v>
      </c>
      <c r="F281" s="34">
        <v>214</v>
      </c>
      <c r="G281" s="35">
        <v>318</v>
      </c>
      <c r="I281" t="s">
        <v>936</v>
      </c>
      <c r="O281" t="str">
        <f t="shared" si="91"/>
        <v>214</v>
      </c>
      <c r="P281" t="str">
        <f t="shared" si="92"/>
        <v>318</v>
      </c>
      <c r="Q281" t="e">
        <f t="shared" si="93"/>
        <v>#VALUE!</v>
      </c>
      <c r="R281" t="e">
        <f t="shared" si="94"/>
        <v>#VALUE!</v>
      </c>
      <c r="S281" t="e">
        <f t="shared" si="95"/>
        <v>#VALUE!</v>
      </c>
      <c r="T281" t="e">
        <f t="shared" si="96"/>
        <v>#VALUE!</v>
      </c>
    </row>
    <row r="282" spans="1:20" ht="24.95" customHeight="1" x14ac:dyDescent="0.3">
      <c r="A282" s="1"/>
      <c r="B282" s="33"/>
      <c r="C282" s="1">
        <v>19</v>
      </c>
      <c r="D282" s="5" t="s">
        <v>97</v>
      </c>
      <c r="E282" s="33" t="s">
        <v>925</v>
      </c>
      <c r="F282" s="34">
        <v>255</v>
      </c>
      <c r="G282" s="35">
        <v>300</v>
      </c>
      <c r="I282" t="s">
        <v>937</v>
      </c>
      <c r="O282" t="str">
        <f t="shared" si="91"/>
        <v>255</v>
      </c>
      <c r="P282" t="str">
        <f t="shared" si="92"/>
        <v>300</v>
      </c>
      <c r="Q282" t="e">
        <f t="shared" si="93"/>
        <v>#VALUE!</v>
      </c>
      <c r="R282" t="e">
        <f t="shared" si="94"/>
        <v>#VALUE!</v>
      </c>
      <c r="S282" t="e">
        <f t="shared" si="95"/>
        <v>#VALUE!</v>
      </c>
      <c r="T282" t="e">
        <f t="shared" si="96"/>
        <v>#VALUE!</v>
      </c>
    </row>
    <row r="283" spans="1:20" ht="24.95" customHeight="1" x14ac:dyDescent="0.3">
      <c r="A283" s="1"/>
      <c r="B283" s="33"/>
      <c r="C283" s="1">
        <v>19</v>
      </c>
      <c r="D283" s="5" t="s">
        <v>97</v>
      </c>
      <c r="E283" s="33" t="s">
        <v>925</v>
      </c>
      <c r="F283" s="34">
        <v>294</v>
      </c>
      <c r="G283" s="35">
        <v>274</v>
      </c>
      <c r="I283" t="s">
        <v>938</v>
      </c>
      <c r="O283" t="str">
        <f t="shared" si="91"/>
        <v>294</v>
      </c>
      <c r="P283" t="str">
        <f t="shared" si="92"/>
        <v>274</v>
      </c>
      <c r="Q283" t="e">
        <f t="shared" si="93"/>
        <v>#VALUE!</v>
      </c>
      <c r="R283" t="e">
        <f t="shared" si="94"/>
        <v>#VALUE!</v>
      </c>
      <c r="S283" t="e">
        <f t="shared" si="95"/>
        <v>#VALUE!</v>
      </c>
      <c r="T283" t="e">
        <f t="shared" si="96"/>
        <v>#VALUE!</v>
      </c>
    </row>
    <row r="284" spans="1:20" ht="24.95" customHeight="1" x14ac:dyDescent="0.3">
      <c r="A284" s="1"/>
      <c r="B284" s="33"/>
      <c r="C284" s="1">
        <v>19</v>
      </c>
      <c r="D284" s="5" t="s">
        <v>97</v>
      </c>
      <c r="E284" s="33" t="s">
        <v>925</v>
      </c>
      <c r="F284" s="34">
        <v>346</v>
      </c>
      <c r="G284" s="35">
        <v>240</v>
      </c>
      <c r="I284" t="s">
        <v>939</v>
      </c>
      <c r="O284" t="str">
        <f t="shared" si="91"/>
        <v>346</v>
      </c>
      <c r="P284" t="str">
        <f t="shared" si="92"/>
        <v>240</v>
      </c>
      <c r="Q284" t="e">
        <f t="shared" si="93"/>
        <v>#VALUE!</v>
      </c>
      <c r="R284" t="e">
        <f t="shared" si="94"/>
        <v>#VALUE!</v>
      </c>
      <c r="S284" t="e">
        <f t="shared" si="95"/>
        <v>#VALUE!</v>
      </c>
      <c r="T284" t="e">
        <f t="shared" si="96"/>
        <v>#VALUE!</v>
      </c>
    </row>
    <row r="285" spans="1:20" ht="24.95" customHeight="1" x14ac:dyDescent="0.3">
      <c r="A285" s="1"/>
      <c r="B285" s="33"/>
      <c r="C285" s="1">
        <v>19</v>
      </c>
      <c r="D285" s="5" t="s">
        <v>97</v>
      </c>
      <c r="E285" s="33" t="s">
        <v>355</v>
      </c>
      <c r="F285" s="34">
        <v>382</v>
      </c>
      <c r="G285" s="35">
        <v>220</v>
      </c>
      <c r="I285" t="s">
        <v>940</v>
      </c>
      <c r="O285" t="str">
        <f t="shared" si="91"/>
        <v>382</v>
      </c>
      <c r="P285" t="str">
        <f t="shared" si="92"/>
        <v>220</v>
      </c>
      <c r="Q285" t="e">
        <f t="shared" si="93"/>
        <v>#VALUE!</v>
      </c>
      <c r="R285" t="e">
        <f t="shared" si="94"/>
        <v>#VALUE!</v>
      </c>
      <c r="S285" t="e">
        <f t="shared" si="95"/>
        <v>#VALUE!</v>
      </c>
      <c r="T285" t="e">
        <f t="shared" si="96"/>
        <v>#VALUE!</v>
      </c>
    </row>
    <row r="286" spans="1:20" ht="24.95" customHeight="1" x14ac:dyDescent="0.3">
      <c r="A286" s="1"/>
      <c r="B286" s="33"/>
      <c r="C286" s="1">
        <v>20</v>
      </c>
      <c r="D286" s="5" t="s">
        <v>98</v>
      </c>
      <c r="E286" s="33" t="s">
        <v>355</v>
      </c>
      <c r="F286" s="34">
        <v>19</v>
      </c>
      <c r="G286" s="35">
        <v>163</v>
      </c>
      <c r="I286" t="s">
        <v>941</v>
      </c>
      <c r="O286" t="str">
        <f t="shared" si="91"/>
        <v>19+000</v>
      </c>
      <c r="P286" t="str">
        <f t="shared" si="92"/>
        <v>163</v>
      </c>
      <c r="Q286" t="str">
        <f t="shared" si="93"/>
        <v>19</v>
      </c>
      <c r="R286" t="str">
        <f t="shared" si="94"/>
        <v>000</v>
      </c>
      <c r="S286">
        <f t="shared" si="95"/>
        <v>19000</v>
      </c>
      <c r="T286">
        <f t="shared" si="96"/>
        <v>19</v>
      </c>
    </row>
    <row r="287" spans="1:20" ht="24.95" customHeight="1" x14ac:dyDescent="0.3">
      <c r="A287" s="1"/>
      <c r="B287" s="33"/>
      <c r="C287" s="1">
        <v>20</v>
      </c>
      <c r="D287" s="5" t="s">
        <v>98</v>
      </c>
      <c r="E287" s="33" t="s">
        <v>472</v>
      </c>
      <c r="F287" s="34">
        <v>41</v>
      </c>
      <c r="G287" s="35">
        <v>177</v>
      </c>
      <c r="I287" t="s">
        <v>942</v>
      </c>
      <c r="K287" t="s">
        <v>355</v>
      </c>
      <c r="O287" t="str">
        <f t="shared" si="91"/>
        <v>41+000</v>
      </c>
      <c r="P287" t="str">
        <f t="shared" si="92"/>
        <v>177</v>
      </c>
      <c r="Q287" t="str">
        <f t="shared" si="93"/>
        <v>41</v>
      </c>
      <c r="R287" t="str">
        <f t="shared" si="94"/>
        <v>000</v>
      </c>
      <c r="S287">
        <f t="shared" si="95"/>
        <v>41000</v>
      </c>
      <c r="T287">
        <f t="shared" si="96"/>
        <v>41</v>
      </c>
    </row>
    <row r="288" spans="1:20" ht="24.95" customHeight="1" x14ac:dyDescent="0.3">
      <c r="A288" s="1"/>
      <c r="B288" s="33"/>
      <c r="C288" s="1">
        <v>20</v>
      </c>
      <c r="D288" s="5" t="s">
        <v>98</v>
      </c>
      <c r="E288" s="33" t="s">
        <v>472</v>
      </c>
      <c r="F288" s="34">
        <v>63</v>
      </c>
      <c r="G288" s="35">
        <v>147</v>
      </c>
      <c r="I288" t="s">
        <v>943</v>
      </c>
      <c r="K288" t="s">
        <v>472</v>
      </c>
      <c r="O288" t="str">
        <f t="shared" si="91"/>
        <v>63+000</v>
      </c>
      <c r="P288" t="str">
        <f t="shared" si="92"/>
        <v>147</v>
      </c>
      <c r="Q288" t="str">
        <f t="shared" si="93"/>
        <v>63</v>
      </c>
      <c r="R288" t="str">
        <f t="shared" si="94"/>
        <v>000</v>
      </c>
      <c r="S288">
        <f t="shared" si="95"/>
        <v>63000</v>
      </c>
      <c r="T288">
        <f t="shared" si="96"/>
        <v>63</v>
      </c>
    </row>
    <row r="289" spans="1:20" ht="24.95" customHeight="1" x14ac:dyDescent="0.3">
      <c r="A289" s="1"/>
      <c r="B289" s="33"/>
      <c r="C289" s="1">
        <v>20</v>
      </c>
      <c r="D289" s="5" t="s">
        <v>98</v>
      </c>
      <c r="E289" s="33" t="s">
        <v>409</v>
      </c>
      <c r="F289" s="34">
        <v>84.016999999999996</v>
      </c>
      <c r="G289" s="35">
        <v>140</v>
      </c>
      <c r="I289" t="s">
        <v>944</v>
      </c>
      <c r="K289" t="s">
        <v>472</v>
      </c>
      <c r="O289" t="str">
        <f t="shared" si="91"/>
        <v>84+017</v>
      </c>
      <c r="P289" t="str">
        <f t="shared" si="92"/>
        <v>140</v>
      </c>
      <c r="Q289" t="str">
        <f t="shared" si="93"/>
        <v>84</v>
      </c>
      <c r="R289" t="str">
        <f t="shared" si="94"/>
        <v>017</v>
      </c>
      <c r="S289">
        <f t="shared" si="95"/>
        <v>84017</v>
      </c>
      <c r="T289">
        <f t="shared" si="96"/>
        <v>84.016999999999996</v>
      </c>
    </row>
    <row r="290" spans="1:20" ht="24.95" customHeight="1" x14ac:dyDescent="0.3">
      <c r="A290" s="1"/>
      <c r="B290" s="33"/>
      <c r="C290" s="1">
        <v>20</v>
      </c>
      <c r="D290" s="5" t="s">
        <v>98</v>
      </c>
      <c r="E290" s="33" t="s">
        <v>363</v>
      </c>
      <c r="F290" s="34">
        <v>101.80200000000001</v>
      </c>
      <c r="G290" s="35">
        <v>220</v>
      </c>
      <c r="I290" t="s">
        <v>945</v>
      </c>
      <c r="K290" t="s">
        <v>409</v>
      </c>
      <c r="O290" t="str">
        <f t="shared" si="91"/>
        <v>101+802</v>
      </c>
      <c r="P290" t="str">
        <f t="shared" si="92"/>
        <v>220</v>
      </c>
      <c r="Q290" t="str">
        <f t="shared" si="93"/>
        <v>101</v>
      </c>
      <c r="R290" t="str">
        <f t="shared" si="94"/>
        <v>802</v>
      </c>
      <c r="S290">
        <f t="shared" si="95"/>
        <v>101802</v>
      </c>
      <c r="T290">
        <f t="shared" si="96"/>
        <v>101.80200000000001</v>
      </c>
    </row>
    <row r="291" spans="1:20" ht="24.95" customHeight="1" x14ac:dyDescent="0.3">
      <c r="A291" s="1"/>
      <c r="B291" s="33"/>
      <c r="C291" s="1">
        <v>20</v>
      </c>
      <c r="D291" s="5" t="s">
        <v>98</v>
      </c>
      <c r="E291" s="33" t="s">
        <v>363</v>
      </c>
      <c r="F291" s="34">
        <v>121.5</v>
      </c>
      <c r="G291" s="35">
        <v>230</v>
      </c>
      <c r="I291" t="s">
        <v>946</v>
      </c>
      <c r="O291" t="str">
        <f t="shared" si="91"/>
        <v>121+500</v>
      </c>
      <c r="P291" t="str">
        <f t="shared" si="92"/>
        <v>230</v>
      </c>
      <c r="Q291" t="str">
        <f t="shared" si="93"/>
        <v>121</v>
      </c>
      <c r="R291" t="str">
        <f t="shared" si="94"/>
        <v>500</v>
      </c>
      <c r="S291">
        <f t="shared" si="95"/>
        <v>121500</v>
      </c>
      <c r="T291">
        <f t="shared" si="96"/>
        <v>121.5</v>
      </c>
    </row>
    <row r="292" spans="1:20" ht="24.95" customHeight="1" x14ac:dyDescent="0.3">
      <c r="A292" s="1"/>
      <c r="B292" s="33"/>
      <c r="C292" s="1">
        <v>20</v>
      </c>
      <c r="D292" s="5" t="s">
        <v>98</v>
      </c>
      <c r="E292" s="33" t="s">
        <v>363</v>
      </c>
      <c r="F292" s="34">
        <v>142</v>
      </c>
      <c r="G292" s="35">
        <v>250</v>
      </c>
      <c r="I292" t="s">
        <v>947</v>
      </c>
      <c r="K292" t="s">
        <v>363</v>
      </c>
      <c r="O292" t="str">
        <f t="shared" si="91"/>
        <v>142+000</v>
      </c>
      <c r="P292" t="str">
        <f t="shared" si="92"/>
        <v>250</v>
      </c>
      <c r="Q292" t="str">
        <f t="shared" si="93"/>
        <v>142</v>
      </c>
      <c r="R292" t="str">
        <f t="shared" si="94"/>
        <v>000</v>
      </c>
      <c r="S292">
        <f t="shared" si="95"/>
        <v>142000</v>
      </c>
      <c r="T292">
        <f t="shared" si="96"/>
        <v>142</v>
      </c>
    </row>
    <row r="293" spans="1:20" ht="24.95" customHeight="1" x14ac:dyDescent="0.3">
      <c r="A293" s="1"/>
      <c r="B293" s="33"/>
      <c r="C293" s="1">
        <v>20</v>
      </c>
      <c r="D293" s="5" t="s">
        <v>98</v>
      </c>
      <c r="E293" s="33" t="s">
        <v>363</v>
      </c>
      <c r="F293" s="34">
        <v>171</v>
      </c>
      <c r="G293" s="35">
        <v>310</v>
      </c>
      <c r="I293" t="s">
        <v>948</v>
      </c>
      <c r="O293" t="str">
        <f t="shared" si="91"/>
        <v>171+000</v>
      </c>
      <c r="P293" t="str">
        <f t="shared" si="92"/>
        <v>310</v>
      </c>
      <c r="Q293" t="str">
        <f t="shared" si="93"/>
        <v>171</v>
      </c>
      <c r="R293" t="str">
        <f t="shared" si="94"/>
        <v>000</v>
      </c>
      <c r="S293">
        <f t="shared" si="95"/>
        <v>171000</v>
      </c>
      <c r="T293">
        <f t="shared" si="96"/>
        <v>171</v>
      </c>
    </row>
    <row r="294" spans="1:20" ht="24.95" customHeight="1" x14ac:dyDescent="0.3">
      <c r="A294" s="1"/>
      <c r="B294" s="33"/>
      <c r="C294" s="1">
        <v>20</v>
      </c>
      <c r="D294" s="5" t="s">
        <v>98</v>
      </c>
      <c r="E294" s="33" t="s">
        <v>411</v>
      </c>
      <c r="F294" s="34">
        <v>191.27799999999999</v>
      </c>
      <c r="G294" s="35">
        <v>380</v>
      </c>
      <c r="I294" t="s">
        <v>949</v>
      </c>
      <c r="O294" t="str">
        <f t="shared" si="91"/>
        <v>191+278</v>
      </c>
      <c r="P294" t="str">
        <f t="shared" si="92"/>
        <v>380</v>
      </c>
      <c r="Q294" t="str">
        <f t="shared" si="93"/>
        <v>191</v>
      </c>
      <c r="R294" t="str">
        <f t="shared" si="94"/>
        <v>278</v>
      </c>
      <c r="S294">
        <f t="shared" si="95"/>
        <v>191278</v>
      </c>
      <c r="T294">
        <f t="shared" si="96"/>
        <v>191.27799999999999</v>
      </c>
    </row>
    <row r="295" spans="1:20" ht="24.95" customHeight="1" x14ac:dyDescent="0.3">
      <c r="A295" s="1"/>
      <c r="B295" s="33"/>
      <c r="C295" s="1">
        <v>20</v>
      </c>
      <c r="D295" s="5" t="s">
        <v>98</v>
      </c>
      <c r="E295" s="33" t="s">
        <v>411</v>
      </c>
      <c r="F295" s="34">
        <v>212</v>
      </c>
      <c r="G295" s="35">
        <v>440</v>
      </c>
      <c r="I295" t="s">
        <v>950</v>
      </c>
      <c r="K295" t="s">
        <v>411</v>
      </c>
      <c r="O295" t="str">
        <f t="shared" si="91"/>
        <v>212+000</v>
      </c>
      <c r="P295" t="str">
        <f t="shared" si="92"/>
        <v>440</v>
      </c>
      <c r="Q295" t="str">
        <f t="shared" si="93"/>
        <v>212</v>
      </c>
      <c r="R295" t="str">
        <f t="shared" si="94"/>
        <v>000</v>
      </c>
      <c r="S295">
        <f t="shared" si="95"/>
        <v>212000</v>
      </c>
      <c r="T295">
        <f t="shared" si="96"/>
        <v>212</v>
      </c>
    </row>
    <row r="296" spans="1:20" ht="24.95" customHeight="1" x14ac:dyDescent="0.3">
      <c r="A296" s="1"/>
      <c r="B296" s="33"/>
      <c r="C296" s="1">
        <v>20</v>
      </c>
      <c r="D296" s="5" t="s">
        <v>98</v>
      </c>
      <c r="E296" s="33" t="s">
        <v>956</v>
      </c>
      <c r="F296" s="34">
        <v>233.24</v>
      </c>
      <c r="G296" s="35">
        <v>470</v>
      </c>
      <c r="I296" t="s">
        <v>951</v>
      </c>
      <c r="O296" t="str">
        <f t="shared" si="91"/>
        <v>233+240</v>
      </c>
      <c r="P296" t="str">
        <f t="shared" si="92"/>
        <v>470</v>
      </c>
      <c r="Q296" t="str">
        <f t="shared" si="93"/>
        <v>233</v>
      </c>
      <c r="R296" t="str">
        <f t="shared" si="94"/>
        <v>240</v>
      </c>
      <c r="S296">
        <f t="shared" si="95"/>
        <v>233240</v>
      </c>
      <c r="T296">
        <f t="shared" si="96"/>
        <v>233.24</v>
      </c>
    </row>
    <row r="297" spans="1:20" ht="24.95" customHeight="1" x14ac:dyDescent="0.3">
      <c r="A297" s="1"/>
      <c r="B297" s="33"/>
      <c r="C297" s="1">
        <v>20</v>
      </c>
      <c r="D297" s="5" t="s">
        <v>98</v>
      </c>
      <c r="E297" s="33" t="s">
        <v>927</v>
      </c>
      <c r="F297" s="34">
        <v>271.322</v>
      </c>
      <c r="G297" s="35">
        <v>580</v>
      </c>
      <c r="I297" t="s">
        <v>952</v>
      </c>
      <c r="K297" t="s">
        <v>956</v>
      </c>
      <c r="O297" t="str">
        <f t="shared" si="91"/>
        <v>271+322</v>
      </c>
      <c r="P297" t="str">
        <f t="shared" si="92"/>
        <v>580</v>
      </c>
      <c r="Q297" t="str">
        <f t="shared" si="93"/>
        <v>271</v>
      </c>
      <c r="R297" t="str">
        <f t="shared" si="94"/>
        <v>322</v>
      </c>
      <c r="S297">
        <f t="shared" si="95"/>
        <v>271322</v>
      </c>
      <c r="T297">
        <f t="shared" si="96"/>
        <v>271.322</v>
      </c>
    </row>
    <row r="298" spans="1:20" ht="24.95" customHeight="1" x14ac:dyDescent="0.3">
      <c r="A298" s="1"/>
      <c r="B298" s="33"/>
      <c r="C298" s="1">
        <v>20</v>
      </c>
      <c r="D298" s="5" t="s">
        <v>98</v>
      </c>
      <c r="E298" s="33" t="s">
        <v>957</v>
      </c>
      <c r="F298" s="34">
        <v>291.5</v>
      </c>
      <c r="G298" s="35">
        <v>640</v>
      </c>
      <c r="I298" t="s">
        <v>953</v>
      </c>
      <c r="K298" t="s">
        <v>927</v>
      </c>
      <c r="O298" t="str">
        <f t="shared" si="91"/>
        <v>291+500</v>
      </c>
      <c r="P298" t="str">
        <f t="shared" si="92"/>
        <v>640</v>
      </c>
      <c r="Q298" t="str">
        <f t="shared" si="93"/>
        <v>291</v>
      </c>
      <c r="R298" t="str">
        <f t="shared" si="94"/>
        <v>500</v>
      </c>
      <c r="S298">
        <f t="shared" si="95"/>
        <v>291500</v>
      </c>
      <c r="T298">
        <f t="shared" si="96"/>
        <v>291.5</v>
      </c>
    </row>
    <row r="299" spans="1:20" ht="24.95" customHeight="1" x14ac:dyDescent="0.3">
      <c r="A299" s="1"/>
      <c r="B299" s="33"/>
      <c r="C299" s="1">
        <v>20</v>
      </c>
      <c r="D299" s="5" t="s">
        <v>98</v>
      </c>
      <c r="E299" s="33" t="s">
        <v>455</v>
      </c>
      <c r="F299" s="34">
        <v>305.61799999999999</v>
      </c>
      <c r="G299" s="35">
        <v>690</v>
      </c>
      <c r="I299" t="s">
        <v>954</v>
      </c>
      <c r="K299" t="s">
        <v>957</v>
      </c>
      <c r="O299" t="str">
        <f t="shared" si="91"/>
        <v>305+618</v>
      </c>
      <c r="P299" t="str">
        <f t="shared" si="92"/>
        <v>690</v>
      </c>
      <c r="Q299" t="str">
        <f t="shared" si="93"/>
        <v>305</v>
      </c>
      <c r="R299" t="str">
        <f t="shared" si="94"/>
        <v>618</v>
      </c>
      <c r="S299">
        <f t="shared" si="95"/>
        <v>305618</v>
      </c>
      <c r="T299">
        <f t="shared" si="96"/>
        <v>305.61799999999999</v>
      </c>
    </row>
    <row r="300" spans="1:20" ht="24.95" customHeight="1" x14ac:dyDescent="0.3">
      <c r="A300" s="1"/>
      <c r="B300" s="33"/>
      <c r="C300" s="1">
        <v>20</v>
      </c>
      <c r="D300" s="5" t="s">
        <v>98</v>
      </c>
      <c r="E300" s="33" t="s">
        <v>930</v>
      </c>
      <c r="F300" s="34">
        <v>324</v>
      </c>
      <c r="G300" s="35">
        <v>750</v>
      </c>
      <c r="I300" t="s">
        <v>955</v>
      </c>
      <c r="K300" t="s">
        <v>455</v>
      </c>
      <c r="O300" t="str">
        <f t="shared" si="91"/>
        <v>324+000</v>
      </c>
      <c r="P300" t="str">
        <f t="shared" si="92"/>
        <v>750</v>
      </c>
      <c r="Q300" t="str">
        <f t="shared" si="93"/>
        <v>324</v>
      </c>
      <c r="R300" t="str">
        <f t="shared" si="94"/>
        <v>000</v>
      </c>
      <c r="S300">
        <f t="shared" si="95"/>
        <v>324000</v>
      </c>
      <c r="T300">
        <f t="shared" si="96"/>
        <v>324</v>
      </c>
    </row>
    <row r="301" spans="1:20" ht="24.95" customHeight="1" x14ac:dyDescent="0.3">
      <c r="A301" s="1"/>
      <c r="B301" s="33"/>
      <c r="C301" s="1">
        <v>21</v>
      </c>
      <c r="D301" s="8" t="s">
        <v>60</v>
      </c>
      <c r="E301" s="33"/>
      <c r="F301" s="34"/>
      <c r="G301" s="35"/>
      <c r="K301" t="s">
        <v>930</v>
      </c>
      <c r="O301" t="e">
        <f t="shared" si="91"/>
        <v>#VALUE!</v>
      </c>
      <c r="P301" t="e">
        <f t="shared" si="92"/>
        <v>#VALUE!</v>
      </c>
      <c r="Q301" t="e">
        <f t="shared" si="93"/>
        <v>#VALUE!</v>
      </c>
      <c r="R301" t="e">
        <f t="shared" si="94"/>
        <v>#VALUE!</v>
      </c>
      <c r="S301" t="e">
        <f t="shared" si="95"/>
        <v>#VALUE!</v>
      </c>
      <c r="T301" t="e">
        <f t="shared" si="96"/>
        <v>#VALUE!</v>
      </c>
    </row>
    <row r="302" spans="1:20" ht="24.95" customHeight="1" x14ac:dyDescent="0.3">
      <c r="A302" s="1"/>
      <c r="B302" s="33"/>
      <c r="C302" s="1">
        <v>22</v>
      </c>
      <c r="D302" s="8" t="s">
        <v>111</v>
      </c>
      <c r="E302" s="33"/>
      <c r="F302" s="34"/>
      <c r="G302" s="35"/>
      <c r="O302" t="e">
        <f t="shared" si="91"/>
        <v>#VALUE!</v>
      </c>
      <c r="P302" t="e">
        <f t="shared" si="92"/>
        <v>#VALUE!</v>
      </c>
      <c r="Q302" t="e">
        <f t="shared" si="93"/>
        <v>#VALUE!</v>
      </c>
      <c r="R302" t="e">
        <f t="shared" si="94"/>
        <v>#VALUE!</v>
      </c>
      <c r="S302" t="e">
        <f t="shared" si="95"/>
        <v>#VALUE!</v>
      </c>
      <c r="T302" t="e">
        <f t="shared" si="96"/>
        <v>#VALUE!</v>
      </c>
    </row>
    <row r="303" spans="1:20" ht="24.95" customHeight="1" x14ac:dyDescent="0.3">
      <c r="A303" s="1"/>
      <c r="B303" s="33"/>
      <c r="C303" s="1">
        <v>23</v>
      </c>
      <c r="D303" s="8" t="s">
        <v>112</v>
      </c>
      <c r="E303" s="33"/>
      <c r="F303" s="34"/>
      <c r="G303" s="35"/>
      <c r="O303" t="e">
        <f t="shared" si="91"/>
        <v>#VALUE!</v>
      </c>
      <c r="P303" t="e">
        <f t="shared" si="92"/>
        <v>#VALUE!</v>
      </c>
      <c r="Q303" t="e">
        <f t="shared" si="93"/>
        <v>#VALUE!</v>
      </c>
      <c r="R303" t="e">
        <f t="shared" si="94"/>
        <v>#VALUE!</v>
      </c>
      <c r="S303" t="e">
        <f t="shared" si="95"/>
        <v>#VALUE!</v>
      </c>
      <c r="T303" t="e">
        <f t="shared" si="96"/>
        <v>#VALUE!</v>
      </c>
    </row>
    <row r="304" spans="1:20" ht="24.95" customHeight="1" x14ac:dyDescent="0.3">
      <c r="A304" s="1"/>
      <c r="B304" s="33"/>
      <c r="C304" s="1">
        <v>24</v>
      </c>
      <c r="D304" s="8" t="s">
        <v>131</v>
      </c>
      <c r="E304" s="33"/>
      <c r="F304" s="34"/>
      <c r="G304" s="35"/>
      <c r="O304" t="e">
        <f t="shared" si="91"/>
        <v>#VALUE!</v>
      </c>
      <c r="P304" t="e">
        <f t="shared" si="92"/>
        <v>#VALUE!</v>
      </c>
      <c r="Q304" t="e">
        <f t="shared" si="93"/>
        <v>#VALUE!</v>
      </c>
      <c r="R304" t="e">
        <f t="shared" si="94"/>
        <v>#VALUE!</v>
      </c>
      <c r="S304" t="e">
        <f t="shared" si="95"/>
        <v>#VALUE!</v>
      </c>
      <c r="T304" t="e">
        <f t="shared" si="96"/>
        <v>#VALUE!</v>
      </c>
    </row>
    <row r="305" spans="1:20" ht="24.95" customHeight="1" x14ac:dyDescent="0.3">
      <c r="A305" s="1"/>
      <c r="B305" s="33"/>
      <c r="C305" s="1">
        <v>25</v>
      </c>
      <c r="D305" s="8" t="s">
        <v>62</v>
      </c>
      <c r="E305" s="33"/>
      <c r="F305" s="34"/>
      <c r="G305" s="35"/>
      <c r="O305" t="e">
        <f t="shared" si="91"/>
        <v>#VALUE!</v>
      </c>
      <c r="P305" t="e">
        <f t="shared" si="92"/>
        <v>#VALUE!</v>
      </c>
      <c r="Q305" t="e">
        <f t="shared" si="93"/>
        <v>#VALUE!</v>
      </c>
      <c r="R305" t="e">
        <f t="shared" si="94"/>
        <v>#VALUE!</v>
      </c>
      <c r="S305" t="e">
        <f t="shared" si="95"/>
        <v>#VALUE!</v>
      </c>
      <c r="T305" t="e">
        <f t="shared" si="96"/>
        <v>#VALUE!</v>
      </c>
    </row>
    <row r="306" spans="1:20" ht="24.95" customHeight="1" x14ac:dyDescent="0.3">
      <c r="A306" s="1"/>
      <c r="B306" s="33"/>
      <c r="C306" s="1">
        <v>26</v>
      </c>
      <c r="D306" s="8" t="s">
        <v>8</v>
      </c>
      <c r="E306" s="33"/>
      <c r="F306" s="34"/>
      <c r="G306" s="35"/>
      <c r="O306" t="e">
        <f t="shared" si="91"/>
        <v>#VALUE!</v>
      </c>
      <c r="P306" t="e">
        <f t="shared" si="92"/>
        <v>#VALUE!</v>
      </c>
      <c r="Q306" t="e">
        <f t="shared" si="93"/>
        <v>#VALUE!</v>
      </c>
      <c r="R306" t="e">
        <f t="shared" si="94"/>
        <v>#VALUE!</v>
      </c>
      <c r="S306" t="e">
        <f t="shared" si="95"/>
        <v>#VALUE!</v>
      </c>
      <c r="T306" t="e">
        <f t="shared" si="96"/>
        <v>#VALUE!</v>
      </c>
    </row>
    <row r="307" spans="1:20" ht="24.95" customHeight="1" x14ac:dyDescent="0.3">
      <c r="A307" s="1"/>
      <c r="B307" s="33"/>
      <c r="C307" s="1">
        <v>27</v>
      </c>
      <c r="D307" s="8" t="s">
        <v>110</v>
      </c>
      <c r="E307" s="33"/>
      <c r="F307" s="32"/>
      <c r="G307" s="35"/>
      <c r="O307" t="e">
        <f t="shared" si="91"/>
        <v>#VALUE!</v>
      </c>
      <c r="P307" t="e">
        <f t="shared" si="92"/>
        <v>#VALUE!</v>
      </c>
      <c r="Q307" t="e">
        <f t="shared" si="93"/>
        <v>#VALUE!</v>
      </c>
      <c r="R307" t="e">
        <f t="shared" si="94"/>
        <v>#VALUE!</v>
      </c>
      <c r="S307" t="e">
        <f t="shared" si="95"/>
        <v>#VALUE!</v>
      </c>
      <c r="T307" t="e">
        <f t="shared" si="96"/>
        <v>#VALUE!</v>
      </c>
    </row>
    <row r="308" spans="1:20" ht="24.95" customHeight="1" x14ac:dyDescent="0.3">
      <c r="A308" s="1"/>
      <c r="B308" s="33"/>
      <c r="C308" s="1">
        <v>28</v>
      </c>
      <c r="D308" s="8" t="s">
        <v>109</v>
      </c>
      <c r="E308" s="33"/>
      <c r="F308" s="32"/>
      <c r="G308" s="35"/>
      <c r="O308" t="e">
        <f t="shared" si="91"/>
        <v>#VALUE!</v>
      </c>
      <c r="P308" t="e">
        <f t="shared" si="92"/>
        <v>#VALUE!</v>
      </c>
      <c r="Q308" t="e">
        <f t="shared" si="93"/>
        <v>#VALUE!</v>
      </c>
      <c r="R308" t="e">
        <f t="shared" si="94"/>
        <v>#VALUE!</v>
      </c>
      <c r="S308" t="e">
        <f t="shared" si="95"/>
        <v>#VALUE!</v>
      </c>
      <c r="T308" t="e">
        <f t="shared" si="96"/>
        <v>#VALUE!</v>
      </c>
    </row>
    <row r="309" spans="1:20" ht="24.95" customHeight="1" x14ac:dyDescent="0.3">
      <c r="A309" s="1"/>
      <c r="B309" s="33"/>
      <c r="C309" s="1">
        <v>29</v>
      </c>
      <c r="D309" s="8" t="s">
        <v>108</v>
      </c>
      <c r="E309" s="33"/>
      <c r="F309" s="32"/>
      <c r="G309" s="35"/>
      <c r="O309" t="e">
        <f t="shared" si="91"/>
        <v>#VALUE!</v>
      </c>
      <c r="P309" t="e">
        <f t="shared" si="92"/>
        <v>#VALUE!</v>
      </c>
      <c r="Q309" t="e">
        <f t="shared" si="93"/>
        <v>#VALUE!</v>
      </c>
      <c r="R309" t="e">
        <f t="shared" si="94"/>
        <v>#VALUE!</v>
      </c>
      <c r="S309" t="e">
        <f t="shared" si="95"/>
        <v>#VALUE!</v>
      </c>
      <c r="T309" t="e">
        <f t="shared" si="96"/>
        <v>#VALUE!</v>
      </c>
    </row>
    <row r="310" spans="1:20" ht="24.95" customHeight="1" x14ac:dyDescent="0.3">
      <c r="A310" s="1"/>
      <c r="B310" s="33"/>
      <c r="C310" s="1">
        <v>30</v>
      </c>
      <c r="D310" s="8" t="s">
        <v>64</v>
      </c>
      <c r="E310" s="33"/>
      <c r="F310" s="32"/>
      <c r="G310" s="35"/>
      <c r="O310" t="e">
        <f t="shared" si="91"/>
        <v>#VALUE!</v>
      </c>
      <c r="P310" t="e">
        <f t="shared" si="92"/>
        <v>#VALUE!</v>
      </c>
      <c r="Q310" t="e">
        <f t="shared" si="93"/>
        <v>#VALUE!</v>
      </c>
      <c r="R310" t="e">
        <f t="shared" si="94"/>
        <v>#VALUE!</v>
      </c>
      <c r="S310" t="e">
        <f t="shared" si="95"/>
        <v>#VALUE!</v>
      </c>
      <c r="T310" t="e">
        <f t="shared" si="96"/>
        <v>#VALUE!</v>
      </c>
    </row>
    <row r="311" spans="1:20" ht="24.95" customHeight="1" x14ac:dyDescent="0.3">
      <c r="A311" s="1"/>
      <c r="B311" s="33"/>
      <c r="C311" s="1">
        <v>31</v>
      </c>
      <c r="D311" s="8" t="s">
        <v>105</v>
      </c>
      <c r="E311" s="33"/>
      <c r="F311" s="32"/>
      <c r="G311" s="35"/>
      <c r="O311" t="e">
        <f t="shared" si="91"/>
        <v>#VALUE!</v>
      </c>
      <c r="P311" t="e">
        <f t="shared" si="92"/>
        <v>#VALUE!</v>
      </c>
      <c r="Q311" t="e">
        <f t="shared" si="93"/>
        <v>#VALUE!</v>
      </c>
      <c r="R311" t="e">
        <f t="shared" si="94"/>
        <v>#VALUE!</v>
      </c>
      <c r="S311" t="e">
        <f t="shared" si="95"/>
        <v>#VALUE!</v>
      </c>
      <c r="T311" t="e">
        <f t="shared" si="96"/>
        <v>#VALUE!</v>
      </c>
    </row>
    <row r="312" spans="1:20" ht="24.95" customHeight="1" x14ac:dyDescent="0.3">
      <c r="A312" s="1"/>
      <c r="B312" s="33"/>
      <c r="C312" s="1">
        <v>32</v>
      </c>
      <c r="D312" s="8" t="s">
        <v>106</v>
      </c>
      <c r="E312" s="33"/>
      <c r="F312" s="32"/>
      <c r="G312" s="35"/>
      <c r="O312" t="e">
        <f t="shared" si="91"/>
        <v>#VALUE!</v>
      </c>
      <c r="P312" t="e">
        <f t="shared" si="92"/>
        <v>#VALUE!</v>
      </c>
      <c r="Q312" t="e">
        <f t="shared" si="93"/>
        <v>#VALUE!</v>
      </c>
      <c r="R312" t="e">
        <f t="shared" si="94"/>
        <v>#VALUE!</v>
      </c>
      <c r="S312" t="e">
        <f t="shared" si="95"/>
        <v>#VALUE!</v>
      </c>
      <c r="T312" t="e">
        <f t="shared" si="96"/>
        <v>#VALUE!</v>
      </c>
    </row>
    <row r="313" spans="1:20" ht="24.95" customHeight="1" x14ac:dyDescent="0.3">
      <c r="A313" s="1"/>
      <c r="B313" s="33"/>
      <c r="C313" s="1">
        <v>33</v>
      </c>
      <c r="D313" s="8" t="s">
        <v>107</v>
      </c>
      <c r="E313" s="33"/>
      <c r="F313" s="32"/>
      <c r="G313" s="35"/>
      <c r="O313" t="e">
        <f t="shared" si="91"/>
        <v>#VALUE!</v>
      </c>
      <c r="P313" t="e">
        <f t="shared" si="92"/>
        <v>#VALUE!</v>
      </c>
      <c r="Q313" t="e">
        <f t="shared" si="93"/>
        <v>#VALUE!</v>
      </c>
      <c r="R313" t="e">
        <f t="shared" si="94"/>
        <v>#VALUE!</v>
      </c>
      <c r="S313" t="e">
        <f t="shared" si="95"/>
        <v>#VALUE!</v>
      </c>
      <c r="T313" t="e">
        <f t="shared" si="96"/>
        <v>#VALUE!</v>
      </c>
    </row>
    <row r="314" spans="1:20" ht="24.95" customHeight="1" x14ac:dyDescent="0.3">
      <c r="A314" s="1"/>
      <c r="B314" s="33"/>
      <c r="C314" s="1">
        <v>34</v>
      </c>
      <c r="D314" s="8" t="s">
        <v>66</v>
      </c>
      <c r="E314" s="33"/>
      <c r="F314" s="32"/>
      <c r="G314" s="35"/>
      <c r="O314" t="e">
        <f t="shared" si="79"/>
        <v>#VALUE!</v>
      </c>
      <c r="P314" t="e">
        <f t="shared" si="80"/>
        <v>#VALUE!</v>
      </c>
      <c r="Q314" t="e">
        <f t="shared" si="81"/>
        <v>#VALUE!</v>
      </c>
      <c r="R314" t="e">
        <f t="shared" si="82"/>
        <v>#VALUE!</v>
      </c>
      <c r="S314" t="e">
        <f t="shared" si="83"/>
        <v>#VALUE!</v>
      </c>
      <c r="T314" t="e">
        <f t="shared" si="84"/>
        <v>#VALUE!</v>
      </c>
    </row>
    <row r="315" spans="1:20" ht="24.95" customHeight="1" x14ac:dyDescent="0.3">
      <c r="A315" s="1"/>
      <c r="B315" s="33"/>
      <c r="C315" s="1">
        <v>35</v>
      </c>
      <c r="D315" s="8" t="s">
        <v>113</v>
      </c>
      <c r="E315" s="33"/>
      <c r="F315" s="32"/>
      <c r="G315" s="35"/>
      <c r="O315" t="e">
        <f t="shared" si="79"/>
        <v>#VALUE!</v>
      </c>
      <c r="P315" t="e">
        <f t="shared" si="80"/>
        <v>#VALUE!</v>
      </c>
      <c r="Q315" t="e">
        <f t="shared" si="81"/>
        <v>#VALUE!</v>
      </c>
      <c r="R315" t="e">
        <f t="shared" si="82"/>
        <v>#VALUE!</v>
      </c>
      <c r="S315" t="e">
        <f t="shared" si="83"/>
        <v>#VALUE!</v>
      </c>
      <c r="T315" t="e">
        <f t="shared" si="84"/>
        <v>#VALUE!</v>
      </c>
    </row>
    <row r="316" spans="1:20" ht="24.95" customHeight="1" x14ac:dyDescent="0.3">
      <c r="A316" s="1"/>
      <c r="B316" s="33"/>
      <c r="C316" s="1">
        <v>36</v>
      </c>
      <c r="D316" s="8" t="s">
        <v>114</v>
      </c>
      <c r="E316" s="33"/>
      <c r="F316" s="32"/>
      <c r="G316" s="35"/>
    </row>
    <row r="317" spans="1:20" ht="24.95" customHeight="1" x14ac:dyDescent="0.3">
      <c r="A317" s="1"/>
      <c r="B317" s="33"/>
      <c r="C317" s="1">
        <v>37</v>
      </c>
      <c r="D317" s="8" t="s">
        <v>115</v>
      </c>
      <c r="E317" s="33"/>
      <c r="F317" s="32"/>
      <c r="G317" s="35"/>
    </row>
    <row r="318" spans="1:20" ht="24.95" customHeight="1" x14ac:dyDescent="0.3">
      <c r="A318" s="1"/>
      <c r="B318" s="33"/>
      <c r="C318" s="1">
        <v>38</v>
      </c>
      <c r="D318" s="8" t="s">
        <v>116</v>
      </c>
      <c r="E318" s="33"/>
      <c r="F318" s="32"/>
      <c r="G318" s="35"/>
    </row>
    <row r="319" spans="1:20" ht="24.95" customHeight="1" x14ac:dyDescent="0.3">
      <c r="A319" s="1"/>
      <c r="B319" s="33"/>
      <c r="C319" s="1">
        <v>39</v>
      </c>
      <c r="D319" s="8" t="s">
        <v>117</v>
      </c>
      <c r="E319" s="33"/>
      <c r="F319" s="32"/>
      <c r="G319" s="35"/>
    </row>
    <row r="320" spans="1:20" ht="24.95" customHeight="1" x14ac:dyDescent="0.3">
      <c r="A320" s="1"/>
      <c r="B320" s="33"/>
      <c r="C320" s="1">
        <v>40</v>
      </c>
      <c r="D320" s="8" t="s">
        <v>68</v>
      </c>
      <c r="E320" s="33"/>
      <c r="F320" s="32"/>
      <c r="G320" s="35"/>
    </row>
    <row r="321" spans="1:7" ht="24.95" customHeight="1" x14ac:dyDescent="0.3">
      <c r="A321" s="1"/>
      <c r="B321" s="33"/>
      <c r="C321" s="1">
        <v>41</v>
      </c>
      <c r="D321" s="8" t="s">
        <v>118</v>
      </c>
      <c r="E321" s="33"/>
      <c r="F321" s="32"/>
      <c r="G321" s="35"/>
    </row>
  </sheetData>
  <autoFilter ref="A2:G321">
    <sortState ref="A3:M46">
      <sortCondition ref="A2:A46"/>
    </sortState>
  </autoFilter>
  <phoneticPr fontId="6"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W53"/>
  <sheetViews>
    <sheetView workbookViewId="0">
      <pane ySplit="1" topLeftCell="A2" activePane="bottomLeft" state="frozen"/>
      <selection activeCell="B1" sqref="B1"/>
      <selection pane="bottomLeft" activeCell="S4" sqref="S4"/>
    </sheetView>
  </sheetViews>
  <sheetFormatPr baseColWidth="10" defaultRowHeight="16.5" x14ac:dyDescent="0.3"/>
  <cols>
    <col min="1" max="1" width="5.7109375" customWidth="1"/>
    <col min="2" max="2" width="32.140625" bestFit="1" customWidth="1"/>
    <col min="3" max="18" width="5.7109375" hidden="1" customWidth="1"/>
    <col min="19" max="19" width="5.7109375" customWidth="1"/>
  </cols>
  <sheetData>
    <row r="1" spans="1:19" ht="24.95" customHeight="1" x14ac:dyDescent="0.3">
      <c r="A1" s="9" t="s">
        <v>0</v>
      </c>
      <c r="B1" s="9" t="s">
        <v>70</v>
      </c>
      <c r="C1" s="9" t="s">
        <v>72</v>
      </c>
      <c r="D1" s="9" t="s">
        <v>71</v>
      </c>
      <c r="E1" s="9" t="s">
        <v>32</v>
      </c>
      <c r="F1" s="9" t="s">
        <v>73</v>
      </c>
      <c r="G1" s="9" t="s">
        <v>34</v>
      </c>
      <c r="H1" s="9" t="s">
        <v>75</v>
      </c>
      <c r="I1" s="9" t="s">
        <v>597</v>
      </c>
      <c r="J1" s="9" t="s">
        <v>76</v>
      </c>
      <c r="K1" s="9" t="s">
        <v>35</v>
      </c>
      <c r="L1" s="9" t="s">
        <v>77</v>
      </c>
      <c r="M1" s="9" t="s">
        <v>78</v>
      </c>
      <c r="N1" s="9" t="s">
        <v>79</v>
      </c>
      <c r="O1" s="9" t="s">
        <v>55</v>
      </c>
      <c r="P1" s="9" t="s">
        <v>56</v>
      </c>
      <c r="Q1" s="9" t="s">
        <v>57</v>
      </c>
      <c r="R1" s="9" t="s">
        <v>99</v>
      </c>
      <c r="S1" s="40" t="s">
        <v>96</v>
      </c>
    </row>
    <row r="2" spans="1:19" ht="24.95" customHeight="1" x14ac:dyDescent="0.3">
      <c r="A2" s="1">
        <v>1</v>
      </c>
      <c r="B2" s="3" t="s">
        <v>473</v>
      </c>
      <c r="C2" s="2" t="s">
        <v>477</v>
      </c>
      <c r="D2" s="2" t="s">
        <v>477</v>
      </c>
      <c r="E2" s="2"/>
      <c r="F2" s="2"/>
      <c r="G2" s="2"/>
      <c r="H2" s="2"/>
      <c r="I2" s="2"/>
      <c r="J2" s="2"/>
      <c r="K2" s="2"/>
      <c r="L2" s="2"/>
      <c r="M2" s="2"/>
      <c r="N2" s="2"/>
      <c r="O2" s="2"/>
      <c r="P2" s="2"/>
      <c r="Q2" s="2"/>
      <c r="R2" s="2"/>
      <c r="S2" s="2"/>
    </row>
    <row r="3" spans="1:19" ht="24.95" customHeight="1" x14ac:dyDescent="0.3">
      <c r="A3" s="1">
        <v>2</v>
      </c>
      <c r="B3" s="3" t="s">
        <v>474</v>
      </c>
      <c r="C3" s="2" t="s">
        <v>477</v>
      </c>
      <c r="D3" s="2" t="s">
        <v>477</v>
      </c>
      <c r="E3" s="2"/>
      <c r="F3" s="2"/>
      <c r="G3" s="2"/>
      <c r="H3" s="2"/>
      <c r="I3" s="2"/>
      <c r="J3" s="2"/>
      <c r="K3" s="2"/>
      <c r="L3" s="2"/>
      <c r="M3" s="2"/>
      <c r="N3" s="2"/>
      <c r="O3" s="2"/>
      <c r="P3" s="2"/>
      <c r="Q3" s="2"/>
      <c r="R3" s="2"/>
      <c r="S3" s="2" t="s">
        <v>477</v>
      </c>
    </row>
    <row r="4" spans="1:19" ht="24.95" customHeight="1" x14ac:dyDescent="0.3">
      <c r="A4" s="1">
        <v>3</v>
      </c>
      <c r="B4" s="3" t="s">
        <v>475</v>
      </c>
      <c r="C4" s="2" t="s">
        <v>477</v>
      </c>
      <c r="D4" s="2" t="s">
        <v>477</v>
      </c>
      <c r="E4" s="2"/>
      <c r="F4" s="2"/>
      <c r="G4" s="2"/>
      <c r="H4" s="2"/>
      <c r="I4" s="2"/>
      <c r="J4" s="2"/>
      <c r="K4" s="2"/>
      <c r="L4" s="2"/>
      <c r="M4" s="2"/>
      <c r="N4" s="2"/>
      <c r="O4" s="2"/>
      <c r="P4" s="2"/>
      <c r="Q4" s="2"/>
      <c r="R4" s="2"/>
      <c r="S4" s="2" t="s">
        <v>477</v>
      </c>
    </row>
    <row r="5" spans="1:19" ht="24.95" customHeight="1" x14ac:dyDescent="0.3">
      <c r="A5" s="1">
        <v>4</v>
      </c>
      <c r="B5" s="3" t="s">
        <v>476</v>
      </c>
      <c r="C5" s="2" t="s">
        <v>477</v>
      </c>
      <c r="D5" s="2" t="s">
        <v>477</v>
      </c>
      <c r="E5" s="2"/>
      <c r="F5" s="2"/>
      <c r="G5" s="2"/>
      <c r="H5" s="2"/>
      <c r="I5" s="2"/>
      <c r="J5" s="2"/>
      <c r="K5" s="2"/>
      <c r="L5" s="2"/>
      <c r="M5" s="2"/>
      <c r="N5" s="2"/>
      <c r="O5" s="2"/>
      <c r="P5" s="2"/>
      <c r="Q5" s="2"/>
      <c r="R5" s="2"/>
      <c r="S5" s="2"/>
    </row>
    <row r="6" spans="1:19" ht="24.95" customHeight="1" x14ac:dyDescent="0.3">
      <c r="A6" s="1">
        <v>5</v>
      </c>
      <c r="B6" s="3" t="s">
        <v>548</v>
      </c>
      <c r="C6" s="2"/>
      <c r="D6" s="2"/>
      <c r="E6" s="2" t="s">
        <v>477</v>
      </c>
      <c r="F6" s="2" t="s">
        <v>477</v>
      </c>
      <c r="G6" s="2"/>
      <c r="H6" s="2"/>
      <c r="I6" s="2"/>
      <c r="J6" s="2"/>
      <c r="K6" s="2"/>
      <c r="L6" s="2"/>
      <c r="M6" s="2"/>
      <c r="N6" s="2"/>
      <c r="O6" s="2"/>
      <c r="P6" s="2"/>
      <c r="Q6" s="2"/>
      <c r="R6" s="2"/>
      <c r="S6" s="2"/>
    </row>
    <row r="7" spans="1:19" ht="24.95" customHeight="1" x14ac:dyDescent="0.3">
      <c r="A7" s="1">
        <v>6</v>
      </c>
      <c r="B7" s="3" t="s">
        <v>592</v>
      </c>
      <c r="C7" s="2"/>
      <c r="D7" s="2"/>
      <c r="E7" s="2"/>
      <c r="F7" s="2"/>
      <c r="G7" s="2" t="s">
        <v>477</v>
      </c>
      <c r="H7" s="2"/>
      <c r="I7" s="2"/>
      <c r="J7" s="2"/>
      <c r="K7" s="2" t="s">
        <v>477</v>
      </c>
      <c r="L7" s="2"/>
      <c r="M7" s="2"/>
      <c r="N7" s="2"/>
      <c r="O7" s="2"/>
      <c r="P7" s="2"/>
      <c r="Q7" s="2"/>
      <c r="R7" s="2"/>
      <c r="S7" s="2"/>
    </row>
    <row r="8" spans="1:19" ht="24.95" customHeight="1" x14ac:dyDescent="0.3">
      <c r="A8" s="1">
        <v>7</v>
      </c>
      <c r="B8" s="3" t="s">
        <v>593</v>
      </c>
      <c r="C8" s="2"/>
      <c r="D8" s="2"/>
      <c r="E8" s="2"/>
      <c r="F8" s="2"/>
      <c r="G8" s="2" t="s">
        <v>477</v>
      </c>
      <c r="H8" s="2"/>
      <c r="I8" s="2"/>
      <c r="J8" s="2"/>
      <c r="K8" s="2"/>
      <c r="L8" s="2"/>
      <c r="M8" s="2"/>
      <c r="N8" s="2"/>
      <c r="O8" s="2"/>
      <c r="P8" s="2"/>
      <c r="Q8" s="2"/>
      <c r="R8" s="2"/>
      <c r="S8" s="2"/>
    </row>
    <row r="9" spans="1:19" ht="24.95" customHeight="1" x14ac:dyDescent="0.3">
      <c r="A9" s="1">
        <v>8</v>
      </c>
      <c r="B9" s="3" t="s">
        <v>614</v>
      </c>
      <c r="C9" s="2"/>
      <c r="D9" s="2"/>
      <c r="E9" s="2"/>
      <c r="F9" s="2"/>
      <c r="G9" s="2"/>
      <c r="H9" s="2" t="s">
        <v>477</v>
      </c>
      <c r="I9" s="2"/>
      <c r="J9" s="2"/>
      <c r="K9" s="2"/>
      <c r="L9" s="2"/>
      <c r="M9" s="2"/>
      <c r="N9" s="2"/>
      <c r="O9" s="2"/>
      <c r="P9" s="2"/>
      <c r="Q9" s="2"/>
      <c r="R9" s="2"/>
      <c r="S9" s="2"/>
    </row>
    <row r="10" spans="1:19" ht="24.95" customHeight="1" x14ac:dyDescent="0.3">
      <c r="A10" s="1">
        <v>9</v>
      </c>
      <c r="B10" s="3" t="s">
        <v>615</v>
      </c>
      <c r="C10" s="2"/>
      <c r="D10" s="2"/>
      <c r="E10" s="2"/>
      <c r="F10" s="2"/>
      <c r="G10" s="2"/>
      <c r="H10" s="2" t="s">
        <v>477</v>
      </c>
      <c r="I10" s="2" t="s">
        <v>477</v>
      </c>
      <c r="J10" s="2"/>
      <c r="K10" s="2"/>
      <c r="L10" s="2"/>
      <c r="M10" s="2"/>
      <c r="N10" s="2"/>
      <c r="O10" s="2"/>
      <c r="P10" s="2"/>
      <c r="Q10" s="2"/>
      <c r="R10" s="2"/>
      <c r="S10" s="2"/>
    </row>
    <row r="11" spans="1:19" ht="24.95" customHeight="1" x14ac:dyDescent="0.3">
      <c r="A11" s="1">
        <v>10</v>
      </c>
      <c r="B11" s="3" t="s">
        <v>616</v>
      </c>
      <c r="C11" s="2"/>
      <c r="D11" s="2"/>
      <c r="E11" s="2"/>
      <c r="F11" s="2"/>
      <c r="G11" s="2"/>
      <c r="H11" s="2"/>
      <c r="I11" s="2"/>
      <c r="J11" s="2"/>
      <c r="K11" s="2"/>
      <c r="L11" s="2" t="s">
        <v>477</v>
      </c>
      <c r="M11" s="2"/>
      <c r="N11" s="2"/>
      <c r="O11" s="2"/>
      <c r="P11" s="2"/>
      <c r="Q11" s="2"/>
      <c r="R11" s="2"/>
      <c r="S11" s="2"/>
    </row>
    <row r="12" spans="1:19" ht="24.95" customHeight="1" x14ac:dyDescent="0.3">
      <c r="A12" s="1">
        <v>11</v>
      </c>
      <c r="B12" s="3" t="s">
        <v>617</v>
      </c>
      <c r="C12" s="2"/>
      <c r="D12" s="2"/>
      <c r="E12" s="2"/>
      <c r="F12" s="2"/>
      <c r="G12" s="2"/>
      <c r="H12" s="2"/>
      <c r="I12" s="2"/>
      <c r="J12" s="2"/>
      <c r="K12" s="2"/>
      <c r="L12" s="2" t="s">
        <v>477</v>
      </c>
      <c r="M12" s="2"/>
      <c r="N12" s="2"/>
      <c r="O12" s="2"/>
      <c r="P12" s="2"/>
      <c r="Q12" s="2"/>
      <c r="R12" s="2"/>
      <c r="S12" s="2"/>
    </row>
    <row r="13" spans="1:19" ht="24.95" customHeight="1" x14ac:dyDescent="0.3">
      <c r="A13" s="1">
        <v>12</v>
      </c>
      <c r="B13" s="3" t="s">
        <v>618</v>
      </c>
      <c r="C13" s="2"/>
      <c r="D13" s="2"/>
      <c r="E13" s="2"/>
      <c r="F13" s="2"/>
      <c r="G13" s="2"/>
      <c r="H13" s="2"/>
      <c r="I13" s="2"/>
      <c r="J13" s="2" t="s">
        <v>477</v>
      </c>
      <c r="K13" s="2"/>
      <c r="L13" s="2"/>
      <c r="M13" s="2"/>
      <c r="N13" s="2"/>
      <c r="O13" s="2"/>
      <c r="P13" s="2"/>
      <c r="Q13" s="2"/>
      <c r="R13" s="2"/>
      <c r="S13" s="2"/>
    </row>
    <row r="14" spans="1:19" ht="24.95" customHeight="1" x14ac:dyDescent="0.3">
      <c r="A14" s="1">
        <v>13</v>
      </c>
      <c r="B14" s="3" t="s">
        <v>619</v>
      </c>
      <c r="C14" s="2"/>
      <c r="D14" s="2"/>
      <c r="E14" s="2"/>
      <c r="F14" s="2"/>
      <c r="G14" s="2"/>
      <c r="H14" s="2"/>
      <c r="I14" s="2"/>
      <c r="J14" s="2" t="s">
        <v>477</v>
      </c>
      <c r="K14" s="2"/>
      <c r="L14" s="2"/>
      <c r="M14" s="2"/>
      <c r="N14" s="2"/>
      <c r="O14" s="2"/>
      <c r="P14" s="2"/>
      <c r="Q14" s="2"/>
      <c r="R14" s="2"/>
      <c r="S14" s="2"/>
    </row>
    <row r="15" spans="1:19" ht="24.95" customHeight="1" x14ac:dyDescent="0.3">
      <c r="A15" s="1">
        <v>14</v>
      </c>
      <c r="B15" s="3" t="s">
        <v>806</v>
      </c>
      <c r="C15" s="2"/>
      <c r="D15" s="2"/>
      <c r="E15" s="2"/>
      <c r="F15" s="2"/>
      <c r="G15" s="2"/>
      <c r="H15" s="2"/>
      <c r="I15" s="2"/>
      <c r="J15" s="2"/>
      <c r="K15" s="2" t="s">
        <v>477</v>
      </c>
      <c r="L15" s="2"/>
      <c r="M15" s="2"/>
      <c r="N15" s="2"/>
      <c r="O15" s="2"/>
      <c r="P15" s="2"/>
      <c r="Q15" s="2"/>
      <c r="R15" s="2"/>
      <c r="S15" s="2"/>
    </row>
    <row r="16" spans="1:19" ht="24.95" customHeight="1" x14ac:dyDescent="0.3">
      <c r="A16" s="1">
        <v>15</v>
      </c>
      <c r="B16" s="3" t="s">
        <v>620</v>
      </c>
      <c r="C16" s="2"/>
      <c r="D16" s="2"/>
      <c r="E16" s="2"/>
      <c r="F16" s="2"/>
      <c r="G16" s="2"/>
      <c r="H16" s="2"/>
      <c r="I16" s="2"/>
      <c r="J16" s="2"/>
      <c r="K16" s="2" t="s">
        <v>477</v>
      </c>
      <c r="L16" s="2"/>
      <c r="M16" s="2"/>
      <c r="N16" s="2"/>
      <c r="O16" s="2"/>
      <c r="P16" s="2"/>
      <c r="Q16" s="2"/>
      <c r="R16" s="2"/>
      <c r="S16" s="2"/>
    </row>
    <row r="17" spans="1:19" ht="24.95" customHeight="1" x14ac:dyDescent="0.3">
      <c r="A17" s="1">
        <v>16</v>
      </c>
      <c r="B17" s="3" t="s">
        <v>805</v>
      </c>
      <c r="C17" s="2"/>
      <c r="D17" s="2"/>
      <c r="E17" s="2"/>
      <c r="F17" s="2"/>
      <c r="G17" s="2"/>
      <c r="H17" s="2"/>
      <c r="I17" s="2"/>
      <c r="J17" s="2"/>
      <c r="K17" s="2" t="s">
        <v>477</v>
      </c>
      <c r="L17" s="2"/>
      <c r="M17" s="2"/>
      <c r="N17" s="2"/>
      <c r="O17" s="2"/>
      <c r="P17" s="2"/>
      <c r="Q17" s="2"/>
      <c r="R17" s="2"/>
      <c r="S17" s="2"/>
    </row>
    <row r="18" spans="1:19" ht="24.95" customHeight="1" x14ac:dyDescent="0.3">
      <c r="A18" s="1">
        <v>17</v>
      </c>
      <c r="B18" s="3" t="s">
        <v>621</v>
      </c>
      <c r="C18" s="2"/>
      <c r="D18" s="2"/>
      <c r="E18" s="2"/>
      <c r="F18" s="2"/>
      <c r="G18" s="2"/>
      <c r="H18" s="2"/>
      <c r="I18" s="2"/>
      <c r="J18" s="2"/>
      <c r="K18" s="2" t="s">
        <v>477</v>
      </c>
      <c r="L18" s="2"/>
      <c r="M18" s="2"/>
      <c r="N18" s="2"/>
      <c r="O18" s="2"/>
      <c r="P18" s="2"/>
      <c r="Q18" s="2"/>
      <c r="R18" s="2"/>
      <c r="S18" s="2"/>
    </row>
    <row r="19" spans="1:19" ht="24.95" customHeight="1" x14ac:dyDescent="0.3">
      <c r="A19" s="1">
        <v>18</v>
      </c>
      <c r="B19" s="3" t="s">
        <v>622</v>
      </c>
      <c r="C19" s="2"/>
      <c r="D19" s="2"/>
      <c r="E19" s="2"/>
      <c r="F19" s="2"/>
      <c r="G19" s="2"/>
      <c r="H19" s="2"/>
      <c r="I19" s="2"/>
      <c r="J19" s="2"/>
      <c r="K19" s="2" t="s">
        <v>477</v>
      </c>
      <c r="L19" s="2"/>
      <c r="M19" s="2"/>
      <c r="N19" s="2"/>
      <c r="O19" s="2"/>
      <c r="P19" s="2"/>
      <c r="Q19" s="2"/>
      <c r="R19" s="2"/>
      <c r="S19" s="2"/>
    </row>
    <row r="20" spans="1:19" ht="24.95" customHeight="1" x14ac:dyDescent="0.3">
      <c r="A20" s="1">
        <v>19</v>
      </c>
      <c r="B20" s="3" t="s">
        <v>623</v>
      </c>
      <c r="C20" s="2"/>
      <c r="D20" s="2"/>
      <c r="E20" s="2"/>
      <c r="F20" s="2"/>
      <c r="G20" s="2"/>
      <c r="H20" s="2"/>
      <c r="I20" s="2"/>
      <c r="J20" s="2"/>
      <c r="K20" s="2" t="s">
        <v>477</v>
      </c>
      <c r="L20" s="2"/>
      <c r="M20" s="2"/>
      <c r="N20" s="2"/>
      <c r="O20" s="2"/>
      <c r="P20" s="2"/>
      <c r="Q20" s="2"/>
      <c r="R20" s="2"/>
      <c r="S20" s="2"/>
    </row>
    <row r="21" spans="1:19" ht="24.95" customHeight="1" x14ac:dyDescent="0.3">
      <c r="A21" s="1">
        <v>20</v>
      </c>
      <c r="B21" s="3" t="s">
        <v>624</v>
      </c>
      <c r="C21" s="2"/>
      <c r="D21" s="2"/>
      <c r="E21" s="2"/>
      <c r="F21" s="2"/>
      <c r="G21" s="2"/>
      <c r="H21" s="2"/>
      <c r="I21" s="2"/>
      <c r="J21" s="2"/>
      <c r="K21" s="2" t="s">
        <v>477</v>
      </c>
      <c r="L21" s="2"/>
      <c r="M21" s="2"/>
      <c r="N21" s="2"/>
      <c r="O21" s="2"/>
      <c r="P21" s="2"/>
      <c r="Q21" s="2"/>
      <c r="R21" s="2"/>
      <c r="S21" s="2"/>
    </row>
    <row r="22" spans="1:19" ht="24.95" customHeight="1" x14ac:dyDescent="0.3">
      <c r="A22" s="1">
        <v>21</v>
      </c>
      <c r="B22" s="3" t="s">
        <v>702</v>
      </c>
      <c r="C22" s="2"/>
      <c r="D22" s="2"/>
      <c r="E22" s="2"/>
      <c r="F22" s="2"/>
      <c r="G22" s="2"/>
      <c r="H22" s="2"/>
      <c r="I22" s="2"/>
      <c r="J22" s="2"/>
      <c r="K22" s="2"/>
      <c r="L22" s="2"/>
      <c r="M22" s="2"/>
      <c r="N22" s="2"/>
      <c r="O22" s="2" t="s">
        <v>477</v>
      </c>
      <c r="P22" s="2"/>
      <c r="Q22" s="2"/>
      <c r="R22" s="2"/>
      <c r="S22" s="2"/>
    </row>
    <row r="23" spans="1:19" ht="24.95" customHeight="1" x14ac:dyDescent="0.3">
      <c r="A23" s="1">
        <v>22</v>
      </c>
      <c r="B23" s="3" t="s">
        <v>703</v>
      </c>
      <c r="C23" s="2"/>
      <c r="D23" s="2"/>
      <c r="E23" s="2"/>
      <c r="F23" s="2"/>
      <c r="G23" s="2"/>
      <c r="H23" s="2"/>
      <c r="I23" s="2"/>
      <c r="J23" s="2"/>
      <c r="K23" s="2"/>
      <c r="L23" s="2"/>
      <c r="M23" s="2"/>
      <c r="N23" s="2"/>
      <c r="O23" s="2" t="s">
        <v>477</v>
      </c>
      <c r="P23" s="2"/>
      <c r="Q23" s="2"/>
      <c r="R23" s="2"/>
      <c r="S23" s="2"/>
    </row>
    <row r="24" spans="1:19" ht="24.95" customHeight="1" x14ac:dyDescent="0.3">
      <c r="A24" s="1">
        <v>23</v>
      </c>
      <c r="B24" s="3" t="s">
        <v>704</v>
      </c>
      <c r="C24" s="2"/>
      <c r="D24" s="2"/>
      <c r="E24" s="2"/>
      <c r="F24" s="2"/>
      <c r="G24" s="2"/>
      <c r="H24" s="2"/>
      <c r="I24" s="2"/>
      <c r="J24" s="2"/>
      <c r="K24" s="2"/>
      <c r="L24" s="2"/>
      <c r="M24" s="2"/>
      <c r="N24" s="2"/>
      <c r="O24" s="2" t="s">
        <v>477</v>
      </c>
      <c r="P24" s="2"/>
      <c r="Q24" s="2"/>
      <c r="R24" s="2"/>
      <c r="S24" s="2"/>
    </row>
    <row r="25" spans="1:19" ht="24.95" customHeight="1" x14ac:dyDescent="0.3">
      <c r="A25" s="1">
        <v>24</v>
      </c>
      <c r="B25" s="3" t="s">
        <v>705</v>
      </c>
      <c r="C25" s="2"/>
      <c r="D25" s="2"/>
      <c r="E25" s="2"/>
      <c r="F25" s="2"/>
      <c r="G25" s="2"/>
      <c r="H25" s="2"/>
      <c r="I25" s="2"/>
      <c r="J25" s="2"/>
      <c r="K25" s="2"/>
      <c r="L25" s="2"/>
      <c r="M25" s="2" t="s">
        <v>477</v>
      </c>
      <c r="N25" s="2" t="s">
        <v>477</v>
      </c>
      <c r="O25" s="2"/>
      <c r="P25" s="2"/>
      <c r="Q25" s="2"/>
      <c r="R25" s="2"/>
      <c r="S25" s="2"/>
    </row>
    <row r="26" spans="1:19" ht="24.95" customHeight="1" x14ac:dyDescent="0.3">
      <c r="A26" s="1">
        <v>25</v>
      </c>
      <c r="B26" s="3" t="s">
        <v>706</v>
      </c>
      <c r="C26" s="2"/>
      <c r="D26" s="2"/>
      <c r="E26" s="2"/>
      <c r="F26" s="2"/>
      <c r="G26" s="2"/>
      <c r="H26" s="2"/>
      <c r="I26" s="2"/>
      <c r="J26" s="2"/>
      <c r="K26" s="2"/>
      <c r="L26" s="2"/>
      <c r="M26" s="2" t="s">
        <v>477</v>
      </c>
      <c r="N26" s="2" t="s">
        <v>477</v>
      </c>
      <c r="O26" s="2"/>
      <c r="P26" s="2"/>
      <c r="Q26" s="2"/>
      <c r="R26" s="2"/>
      <c r="S26" s="2"/>
    </row>
    <row r="27" spans="1:19" ht="24.95" customHeight="1" x14ac:dyDescent="0.3">
      <c r="A27" s="1">
        <v>26</v>
      </c>
      <c r="B27" s="3" t="s">
        <v>733</v>
      </c>
      <c r="C27" s="2"/>
      <c r="D27" s="2"/>
      <c r="E27" s="2"/>
      <c r="F27" s="2"/>
      <c r="G27" s="2"/>
      <c r="H27" s="2"/>
      <c r="I27" s="2"/>
      <c r="J27" s="2"/>
      <c r="K27" s="2"/>
      <c r="L27" s="2"/>
      <c r="M27" s="2"/>
      <c r="N27" s="2"/>
      <c r="O27" s="2"/>
      <c r="P27" s="2" t="s">
        <v>477</v>
      </c>
      <c r="Q27" s="2"/>
      <c r="R27" s="2"/>
      <c r="S27" s="2"/>
    </row>
    <row r="28" spans="1:19" ht="24.95" customHeight="1" x14ac:dyDescent="0.3">
      <c r="A28" s="1">
        <v>27</v>
      </c>
      <c r="B28" s="3" t="s">
        <v>104</v>
      </c>
      <c r="C28" s="2"/>
      <c r="D28" s="2"/>
      <c r="E28" s="2"/>
      <c r="F28" s="2"/>
      <c r="G28" s="2"/>
      <c r="H28" s="2"/>
      <c r="I28" s="2"/>
      <c r="J28" s="2"/>
      <c r="K28" s="2"/>
      <c r="L28" s="2"/>
      <c r="M28" s="2"/>
      <c r="N28" s="2"/>
      <c r="O28" s="2"/>
      <c r="P28" s="2"/>
      <c r="Q28" s="2" t="s">
        <v>477</v>
      </c>
      <c r="R28" s="2"/>
      <c r="S28" s="2" t="s">
        <v>477</v>
      </c>
    </row>
    <row r="29" spans="1:19" ht="24.95" customHeight="1" x14ac:dyDescent="0.3">
      <c r="A29" s="1">
        <v>28</v>
      </c>
      <c r="B29" s="3" t="s">
        <v>807</v>
      </c>
      <c r="C29" s="2"/>
      <c r="D29" s="2"/>
      <c r="E29" s="2"/>
      <c r="F29" s="2"/>
      <c r="G29" s="2"/>
      <c r="H29" s="2"/>
      <c r="I29" s="2"/>
      <c r="J29" s="2"/>
      <c r="K29" s="2"/>
      <c r="L29" s="2"/>
      <c r="M29" s="2"/>
      <c r="N29" s="2"/>
      <c r="O29" s="2"/>
      <c r="P29" s="2"/>
      <c r="Q29" s="2" t="s">
        <v>477</v>
      </c>
      <c r="R29" s="2"/>
      <c r="S29" s="2"/>
    </row>
    <row r="30" spans="1:19" ht="24.95" customHeight="1" x14ac:dyDescent="0.3">
      <c r="A30" s="1">
        <v>29</v>
      </c>
      <c r="B30" s="3" t="s">
        <v>808</v>
      </c>
      <c r="C30" s="2"/>
      <c r="D30" s="2"/>
      <c r="E30" s="2"/>
      <c r="F30" s="2"/>
      <c r="G30" s="2"/>
      <c r="H30" s="2"/>
      <c r="I30" s="2"/>
      <c r="J30" s="2"/>
      <c r="K30" s="2"/>
      <c r="L30" s="2"/>
      <c r="M30" s="2"/>
      <c r="N30" s="2"/>
      <c r="O30" s="2"/>
      <c r="P30" s="2"/>
      <c r="Q30" s="2" t="s">
        <v>477</v>
      </c>
      <c r="R30" s="2"/>
      <c r="S30" s="2" t="s">
        <v>477</v>
      </c>
    </row>
    <row r="31" spans="1:19" ht="24.95" customHeight="1" x14ac:dyDescent="0.3">
      <c r="A31" s="1">
        <v>30</v>
      </c>
      <c r="B31" s="3" t="s">
        <v>809</v>
      </c>
      <c r="C31" s="2"/>
      <c r="D31" s="2"/>
      <c r="E31" s="2"/>
      <c r="F31" s="2"/>
      <c r="G31" s="2"/>
      <c r="H31" s="2"/>
      <c r="I31" s="2"/>
      <c r="J31" s="2"/>
      <c r="K31" s="2"/>
      <c r="L31" s="2"/>
      <c r="M31" s="2"/>
      <c r="N31" s="2"/>
      <c r="O31" s="2"/>
      <c r="P31" s="2"/>
      <c r="Q31" s="2" t="s">
        <v>477</v>
      </c>
      <c r="R31" s="2"/>
      <c r="S31" s="2"/>
    </row>
    <row r="32" spans="1:19" ht="24.95" customHeight="1" x14ac:dyDescent="0.3">
      <c r="A32" s="1">
        <v>31</v>
      </c>
      <c r="B32" s="3" t="s">
        <v>807</v>
      </c>
      <c r="C32" s="2"/>
      <c r="D32" s="2"/>
      <c r="E32" s="2"/>
      <c r="F32" s="2"/>
      <c r="G32" s="2"/>
      <c r="H32" s="2"/>
      <c r="I32" s="2"/>
      <c r="J32" s="2"/>
      <c r="K32" s="2"/>
      <c r="L32" s="2"/>
      <c r="M32" s="2"/>
      <c r="N32" s="2"/>
      <c r="O32" s="2"/>
      <c r="P32" s="2"/>
      <c r="Q32" s="2" t="s">
        <v>477</v>
      </c>
      <c r="R32" s="2"/>
      <c r="S32" s="2"/>
    </row>
    <row r="33" spans="1:23" ht="24.95" customHeight="1" x14ac:dyDescent="0.3">
      <c r="A33" s="1">
        <v>32</v>
      </c>
      <c r="B33" s="3" t="s">
        <v>810</v>
      </c>
      <c r="C33" s="2"/>
      <c r="D33" s="2"/>
      <c r="E33" s="2"/>
      <c r="F33" s="2"/>
      <c r="G33" s="2"/>
      <c r="H33" s="2"/>
      <c r="I33" s="2"/>
      <c r="J33" s="2"/>
      <c r="K33" s="2"/>
      <c r="L33" s="2"/>
      <c r="M33" s="2"/>
      <c r="N33" s="2"/>
      <c r="O33" s="2"/>
      <c r="P33" s="2"/>
      <c r="Q33" s="2" t="s">
        <v>477</v>
      </c>
      <c r="R33" s="2"/>
      <c r="S33" s="2"/>
    </row>
    <row r="34" spans="1:23" ht="24.95" customHeight="1" x14ac:dyDescent="0.3">
      <c r="A34" s="1">
        <v>33</v>
      </c>
      <c r="B34" s="3" t="s">
        <v>811</v>
      </c>
      <c r="C34" s="2"/>
      <c r="D34" s="2"/>
      <c r="E34" s="2"/>
      <c r="F34" s="2"/>
      <c r="G34" s="2"/>
      <c r="H34" s="2"/>
      <c r="I34" s="2"/>
      <c r="J34" s="2"/>
      <c r="K34" s="2"/>
      <c r="L34" s="2"/>
      <c r="M34" s="2"/>
      <c r="N34" s="2"/>
      <c r="O34" s="2"/>
      <c r="P34" s="2"/>
      <c r="Q34" s="2" t="s">
        <v>477</v>
      </c>
      <c r="R34" s="2"/>
      <c r="S34" s="2"/>
    </row>
    <row r="35" spans="1:23" ht="24.95" customHeight="1" x14ac:dyDescent="0.3">
      <c r="A35" s="1">
        <v>34</v>
      </c>
      <c r="B35" s="3" t="s">
        <v>286</v>
      </c>
      <c r="C35" s="2"/>
      <c r="D35" s="2"/>
      <c r="E35" s="2"/>
      <c r="F35" s="2"/>
      <c r="G35" s="2"/>
      <c r="H35" s="2"/>
      <c r="I35" s="2"/>
      <c r="J35" s="2"/>
      <c r="K35" s="2"/>
      <c r="L35" s="2"/>
      <c r="M35" s="2"/>
      <c r="N35" s="2"/>
      <c r="O35" s="2"/>
      <c r="P35" s="2"/>
      <c r="Q35" s="2" t="s">
        <v>477</v>
      </c>
      <c r="R35" s="2"/>
      <c r="S35" s="2" t="s">
        <v>477</v>
      </c>
    </row>
    <row r="36" spans="1:23" ht="24.95" customHeight="1" x14ac:dyDescent="0.3">
      <c r="A36" s="1">
        <v>35</v>
      </c>
      <c r="B36" s="3" t="s">
        <v>961</v>
      </c>
      <c r="C36" s="2"/>
      <c r="D36" s="2"/>
      <c r="E36" s="2"/>
      <c r="F36" s="2"/>
      <c r="G36" s="2"/>
      <c r="H36" s="2"/>
      <c r="I36" s="2"/>
      <c r="J36" s="2"/>
      <c r="K36" s="2"/>
      <c r="L36" s="2"/>
      <c r="M36" s="2"/>
      <c r="N36" s="2"/>
      <c r="O36" s="2"/>
      <c r="P36" s="2"/>
      <c r="Q36" s="2" t="s">
        <v>477</v>
      </c>
      <c r="R36" s="2"/>
      <c r="S36" s="2" t="s">
        <v>477</v>
      </c>
    </row>
    <row r="37" spans="1:23" ht="24.95" customHeight="1" x14ac:dyDescent="0.3">
      <c r="A37" s="1">
        <v>36</v>
      </c>
      <c r="B37" s="3" t="s">
        <v>812</v>
      </c>
      <c r="C37" s="2"/>
      <c r="D37" s="2"/>
      <c r="E37" s="2"/>
      <c r="F37" s="2"/>
      <c r="G37" s="2"/>
      <c r="H37" s="2"/>
      <c r="I37" s="2"/>
      <c r="J37" s="2"/>
      <c r="K37" s="2"/>
      <c r="L37" s="2"/>
      <c r="M37" s="2"/>
      <c r="N37" s="2"/>
      <c r="O37" s="2"/>
      <c r="P37" s="2"/>
      <c r="Q37" s="2" t="s">
        <v>477</v>
      </c>
      <c r="R37" s="2"/>
      <c r="S37" s="2"/>
    </row>
    <row r="38" spans="1:23" ht="24.95" customHeight="1" x14ac:dyDescent="0.3">
      <c r="A38" s="1">
        <v>37</v>
      </c>
      <c r="B38" s="3" t="s">
        <v>813</v>
      </c>
      <c r="C38" s="2"/>
      <c r="D38" s="2"/>
      <c r="E38" s="2"/>
      <c r="F38" s="2"/>
      <c r="G38" s="2"/>
      <c r="H38" s="2"/>
      <c r="I38" s="2"/>
      <c r="J38" s="2"/>
      <c r="K38" s="2"/>
      <c r="L38" s="2"/>
      <c r="M38" s="2"/>
      <c r="N38" s="2"/>
      <c r="O38" s="2"/>
      <c r="P38" s="2"/>
      <c r="Q38" s="2" t="s">
        <v>477</v>
      </c>
      <c r="R38" s="2"/>
      <c r="S38" s="2" t="s">
        <v>477</v>
      </c>
    </row>
    <row r="39" spans="1:23" ht="24.95" customHeight="1" x14ac:dyDescent="0.3">
      <c r="A39" s="1">
        <v>38</v>
      </c>
      <c r="B39" s="3" t="s">
        <v>101</v>
      </c>
      <c r="C39" s="2"/>
      <c r="D39" s="2"/>
      <c r="E39" s="2"/>
      <c r="F39" s="2"/>
      <c r="G39" s="2"/>
      <c r="H39" s="2"/>
      <c r="I39" s="2"/>
      <c r="J39" s="2"/>
      <c r="K39" s="2"/>
      <c r="L39" s="2"/>
      <c r="M39" s="2"/>
      <c r="N39" s="2"/>
      <c r="O39" s="2"/>
      <c r="P39" s="2"/>
      <c r="Q39" s="2" t="s">
        <v>477</v>
      </c>
      <c r="R39" s="2"/>
      <c r="S39" s="2" t="s">
        <v>477</v>
      </c>
    </row>
    <row r="40" spans="1:23" ht="24.95" customHeight="1" x14ac:dyDescent="0.3">
      <c r="A40" s="1">
        <v>39</v>
      </c>
      <c r="B40" s="3" t="s">
        <v>702</v>
      </c>
      <c r="C40" s="2"/>
      <c r="D40" s="2"/>
      <c r="E40" s="2"/>
      <c r="F40" s="2"/>
      <c r="G40" s="2"/>
      <c r="H40" s="2"/>
      <c r="I40" s="2"/>
      <c r="J40" s="2"/>
      <c r="K40" s="2"/>
      <c r="L40" s="2"/>
      <c r="M40" s="2"/>
      <c r="N40" s="2"/>
      <c r="O40" s="2"/>
      <c r="P40" s="2"/>
      <c r="Q40" s="2"/>
      <c r="R40" s="2" t="s">
        <v>477</v>
      </c>
      <c r="S40" s="2"/>
    </row>
    <row r="41" spans="1:23" ht="24.95" customHeight="1" x14ac:dyDescent="0.3">
      <c r="A41" s="1">
        <v>40</v>
      </c>
      <c r="B41" s="39" t="s">
        <v>958</v>
      </c>
      <c r="C41" s="2"/>
      <c r="D41" s="2"/>
      <c r="E41" s="2"/>
      <c r="F41" s="2"/>
      <c r="G41" s="2"/>
      <c r="H41" s="2"/>
      <c r="I41" s="2"/>
      <c r="J41" s="2"/>
      <c r="K41" s="2"/>
      <c r="L41" s="2"/>
      <c r="M41" s="2"/>
      <c r="N41" s="2"/>
      <c r="O41" s="2"/>
      <c r="P41" s="2"/>
      <c r="Q41" s="2"/>
      <c r="R41" s="2"/>
      <c r="S41" s="2" t="s">
        <v>477</v>
      </c>
      <c r="W41" t="s">
        <v>958</v>
      </c>
    </row>
    <row r="42" spans="1:23" ht="24.95" customHeight="1" x14ac:dyDescent="0.3">
      <c r="A42" s="1">
        <v>41</v>
      </c>
      <c r="B42" s="39" t="s">
        <v>959</v>
      </c>
      <c r="C42" s="2"/>
      <c r="D42" s="2"/>
      <c r="E42" s="2"/>
      <c r="F42" s="2"/>
      <c r="G42" s="2"/>
      <c r="H42" s="2"/>
      <c r="I42" s="2"/>
      <c r="J42" s="2"/>
      <c r="K42" s="2"/>
      <c r="L42" s="2"/>
      <c r="M42" s="2"/>
      <c r="N42" s="2"/>
      <c r="O42" s="2"/>
      <c r="P42" s="2"/>
      <c r="Q42" s="2"/>
      <c r="R42" s="2"/>
      <c r="S42" s="2" t="s">
        <v>477</v>
      </c>
      <c r="W42" t="s">
        <v>959</v>
      </c>
    </row>
    <row r="43" spans="1:23" ht="24.95" customHeight="1" x14ac:dyDescent="0.3">
      <c r="A43" s="1">
        <v>42</v>
      </c>
      <c r="B43" s="39" t="s">
        <v>960</v>
      </c>
      <c r="C43" s="2"/>
      <c r="D43" s="2"/>
      <c r="E43" s="2"/>
      <c r="F43" s="2"/>
      <c r="G43" s="2"/>
      <c r="H43" s="2"/>
      <c r="I43" s="2"/>
      <c r="J43" s="2"/>
      <c r="K43" s="2"/>
      <c r="L43" s="2"/>
      <c r="M43" s="2"/>
      <c r="N43" s="2"/>
      <c r="O43" s="2"/>
      <c r="P43" s="2"/>
      <c r="Q43" s="2"/>
      <c r="R43" s="2"/>
      <c r="S43" s="2" t="s">
        <v>477</v>
      </c>
      <c r="W43" t="s">
        <v>960</v>
      </c>
    </row>
    <row r="44" spans="1:23" ht="24.95" customHeight="1" x14ac:dyDescent="0.3">
      <c r="A44" s="1">
        <v>43</v>
      </c>
      <c r="B44" s="39" t="s">
        <v>962</v>
      </c>
      <c r="C44" s="2"/>
      <c r="D44" s="2"/>
      <c r="E44" s="2"/>
      <c r="F44" s="2"/>
      <c r="G44" s="2"/>
      <c r="H44" s="2"/>
      <c r="I44" s="2"/>
      <c r="J44" s="2"/>
      <c r="K44" s="2"/>
      <c r="L44" s="2"/>
      <c r="M44" s="2"/>
      <c r="N44" s="2"/>
      <c r="O44" s="2"/>
      <c r="P44" s="2"/>
      <c r="Q44" s="2"/>
      <c r="R44" s="2"/>
      <c r="S44" s="2" t="s">
        <v>477</v>
      </c>
      <c r="W44" t="s">
        <v>962</v>
      </c>
    </row>
    <row r="45" spans="1:23" ht="24.95" customHeight="1" x14ac:dyDescent="0.3">
      <c r="A45" s="1">
        <v>44</v>
      </c>
      <c r="B45" s="39" t="s">
        <v>963</v>
      </c>
      <c r="C45" s="2"/>
      <c r="D45" s="2"/>
      <c r="E45" s="2"/>
      <c r="F45" s="2"/>
      <c r="G45" s="2"/>
      <c r="H45" s="2"/>
      <c r="I45" s="2"/>
      <c r="J45" s="2"/>
      <c r="K45" s="2"/>
      <c r="L45" s="2"/>
      <c r="M45" s="2"/>
      <c r="N45" s="2"/>
      <c r="O45" s="2"/>
      <c r="P45" s="2"/>
      <c r="Q45" s="2"/>
      <c r="R45" s="2"/>
      <c r="S45" s="2" t="s">
        <v>477</v>
      </c>
      <c r="W45" t="s">
        <v>963</v>
      </c>
    </row>
    <row r="46" spans="1:23" ht="24.95" customHeight="1" x14ac:dyDescent="0.3">
      <c r="A46" s="1">
        <v>45</v>
      </c>
      <c r="B46" s="39" t="s">
        <v>964</v>
      </c>
      <c r="C46" s="2"/>
      <c r="D46" s="2"/>
      <c r="E46" s="2"/>
      <c r="F46" s="2"/>
      <c r="G46" s="2"/>
      <c r="H46" s="2"/>
      <c r="I46" s="2"/>
      <c r="J46" s="2"/>
      <c r="K46" s="2"/>
      <c r="L46" s="2"/>
      <c r="M46" s="2"/>
      <c r="N46" s="2"/>
      <c r="O46" s="2"/>
      <c r="P46" s="2"/>
      <c r="Q46" s="2"/>
      <c r="R46" s="2"/>
      <c r="S46" s="2" t="s">
        <v>477</v>
      </c>
      <c r="W46" t="s">
        <v>964</v>
      </c>
    </row>
    <row r="47" spans="1:23" ht="24.95" customHeight="1" x14ac:dyDescent="0.3">
      <c r="A47" s="1">
        <v>46</v>
      </c>
      <c r="B47" s="39" t="s">
        <v>965</v>
      </c>
      <c r="C47" s="2"/>
      <c r="D47" s="2"/>
      <c r="E47" s="2"/>
      <c r="F47" s="2"/>
      <c r="G47" s="2"/>
      <c r="H47" s="2"/>
      <c r="I47" s="2"/>
      <c r="J47" s="2"/>
      <c r="K47" s="2"/>
      <c r="L47" s="2"/>
      <c r="M47" s="2"/>
      <c r="N47" s="2"/>
      <c r="O47" s="2"/>
      <c r="P47" s="2"/>
      <c r="Q47" s="2"/>
      <c r="R47" s="2"/>
      <c r="S47" s="2" t="s">
        <v>477</v>
      </c>
      <c r="W47" t="s">
        <v>965</v>
      </c>
    </row>
    <row r="48" spans="1:23" ht="24.95" customHeight="1" x14ac:dyDescent="0.3">
      <c r="A48" s="1">
        <v>47</v>
      </c>
      <c r="B48" s="39" t="s">
        <v>966</v>
      </c>
      <c r="C48" s="2"/>
      <c r="D48" s="2"/>
      <c r="E48" s="2"/>
      <c r="F48" s="2"/>
      <c r="G48" s="2"/>
      <c r="H48" s="2"/>
      <c r="I48" s="2"/>
      <c r="J48" s="2"/>
      <c r="K48" s="2"/>
      <c r="L48" s="2"/>
      <c r="M48" s="2"/>
      <c r="N48" s="2"/>
      <c r="O48" s="2"/>
      <c r="P48" s="2"/>
      <c r="Q48" s="2"/>
      <c r="R48" s="2"/>
      <c r="S48" s="2" t="s">
        <v>477</v>
      </c>
      <c r="W48" t="s">
        <v>966</v>
      </c>
    </row>
    <row r="49" spans="1:23" ht="24.95" customHeight="1" x14ac:dyDescent="0.3">
      <c r="A49" s="1">
        <v>48</v>
      </c>
      <c r="B49" s="39" t="s">
        <v>967</v>
      </c>
      <c r="C49" s="2"/>
      <c r="D49" s="2"/>
      <c r="E49" s="2"/>
      <c r="F49" s="2"/>
      <c r="G49" s="2"/>
      <c r="H49" s="2"/>
      <c r="I49" s="2"/>
      <c r="J49" s="2"/>
      <c r="K49" s="2"/>
      <c r="L49" s="2"/>
      <c r="M49" s="2"/>
      <c r="N49" s="2"/>
      <c r="O49" s="2"/>
      <c r="P49" s="2"/>
      <c r="Q49" s="2"/>
      <c r="R49" s="2"/>
      <c r="S49" s="2" t="s">
        <v>477</v>
      </c>
      <c r="W49" t="s">
        <v>967</v>
      </c>
    </row>
    <row r="50" spans="1:23" ht="24.95" customHeight="1" x14ac:dyDescent="0.3">
      <c r="A50" s="1">
        <v>49</v>
      </c>
      <c r="B50" s="2"/>
      <c r="C50" s="2"/>
      <c r="D50" s="2"/>
      <c r="E50" s="2"/>
      <c r="F50" s="2"/>
      <c r="G50" s="2"/>
      <c r="H50" s="2"/>
      <c r="I50" s="2"/>
      <c r="J50" s="2"/>
      <c r="K50" s="2"/>
      <c r="L50" s="2"/>
      <c r="M50" s="2"/>
      <c r="N50" s="2"/>
      <c r="O50" s="2"/>
      <c r="P50" s="2"/>
      <c r="Q50" s="2"/>
      <c r="R50" s="2"/>
      <c r="S50" s="2"/>
    </row>
    <row r="51" spans="1:23" ht="24.95" customHeight="1" x14ac:dyDescent="0.3">
      <c r="A51" s="1">
        <v>50</v>
      </c>
      <c r="B51" s="2"/>
      <c r="C51" s="2"/>
      <c r="D51" s="2"/>
      <c r="E51" s="2"/>
      <c r="F51" s="2"/>
      <c r="G51" s="2"/>
      <c r="H51" s="2"/>
      <c r="I51" s="2"/>
      <c r="J51" s="2"/>
      <c r="K51" s="2"/>
      <c r="L51" s="2"/>
      <c r="M51" s="2"/>
      <c r="N51" s="2"/>
      <c r="O51" s="2"/>
      <c r="P51" s="2"/>
      <c r="Q51" s="2"/>
      <c r="R51" s="2"/>
      <c r="S51" s="2"/>
    </row>
    <row r="52" spans="1:23" ht="24.95" customHeight="1" x14ac:dyDescent="0.3">
      <c r="A52" s="1">
        <v>51</v>
      </c>
      <c r="B52" s="2"/>
      <c r="C52" s="2"/>
      <c r="D52" s="2"/>
      <c r="E52" s="2"/>
      <c r="F52" s="2"/>
      <c r="G52" s="2"/>
      <c r="H52" s="2"/>
      <c r="I52" s="2"/>
      <c r="J52" s="2"/>
      <c r="K52" s="2"/>
      <c r="L52" s="2"/>
      <c r="M52" s="2"/>
      <c r="N52" s="2"/>
      <c r="O52" s="2"/>
      <c r="P52" s="2"/>
      <c r="Q52" s="2"/>
      <c r="R52" s="2"/>
      <c r="S52" s="2"/>
    </row>
    <row r="53" spans="1:23" ht="24.95" customHeight="1" x14ac:dyDescent="0.3">
      <c r="A53" s="1">
        <v>52</v>
      </c>
      <c r="B53" s="2"/>
      <c r="C53" s="2"/>
      <c r="D53" s="2"/>
      <c r="E53" s="2"/>
      <c r="F53" s="2"/>
      <c r="G53" s="2"/>
      <c r="H53" s="2"/>
      <c r="I53" s="2"/>
      <c r="J53" s="2"/>
      <c r="K53" s="2"/>
      <c r="L53" s="2"/>
      <c r="M53" s="2"/>
      <c r="N53" s="2"/>
      <c r="O53" s="2"/>
      <c r="P53" s="2"/>
      <c r="Q53" s="2"/>
      <c r="R53" s="2"/>
      <c r="S53" s="2"/>
    </row>
  </sheetData>
  <autoFilter ref="A1:S62"/>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70"/>
  <sheetViews>
    <sheetView workbookViewId="0">
      <selection activeCell="C3" sqref="C3"/>
    </sheetView>
  </sheetViews>
  <sheetFormatPr baseColWidth="10" defaultRowHeight="16.5" x14ac:dyDescent="0.3"/>
  <cols>
    <col min="1" max="1" width="5.7109375" customWidth="1"/>
    <col min="2" max="2" width="40.7109375" customWidth="1"/>
    <col min="3" max="3" width="34.42578125" bestFit="1" customWidth="1"/>
    <col min="4" max="6" width="15.7109375" customWidth="1"/>
  </cols>
  <sheetData>
    <row r="1" spans="1:9" ht="24.95" customHeight="1" x14ac:dyDescent="0.3">
      <c r="A1" s="9" t="s">
        <v>0</v>
      </c>
      <c r="B1" s="9" t="s">
        <v>203</v>
      </c>
      <c r="C1" s="9" t="s">
        <v>206</v>
      </c>
      <c r="D1" s="9" t="s">
        <v>215</v>
      </c>
      <c r="E1" s="9" t="s">
        <v>216</v>
      </c>
      <c r="F1" s="9" t="s">
        <v>217</v>
      </c>
    </row>
    <row r="2" spans="1:9" ht="24.95" customHeight="1" x14ac:dyDescent="0.3">
      <c r="A2" s="9" t="s">
        <v>204</v>
      </c>
      <c r="B2" s="9" t="s">
        <v>205</v>
      </c>
      <c r="C2" s="9" t="s">
        <v>207</v>
      </c>
      <c r="D2" s="9" t="s">
        <v>208</v>
      </c>
      <c r="E2" s="9" t="s">
        <v>213</v>
      </c>
      <c r="F2" s="9" t="s">
        <v>210</v>
      </c>
      <c r="H2" t="s">
        <v>352</v>
      </c>
      <c r="I2" t="str">
        <f>CONCATENATE(H2,A2,",",B2,",",C2,",",D2,",",E2,",",F2,") values")</f>
        <v>Insert into T_20_03 (F_00,F_01,F_02,F_03,F_04,F_05) values</v>
      </c>
    </row>
    <row r="3" spans="1:9" ht="24.95" customHeight="1" x14ac:dyDescent="0.3">
      <c r="A3" s="1">
        <v>1</v>
      </c>
      <c r="B3" s="3" t="s">
        <v>319</v>
      </c>
      <c r="C3" s="2" t="s">
        <v>319</v>
      </c>
      <c r="D3" s="2">
        <v>1</v>
      </c>
      <c r="E3" s="2">
        <v>1</v>
      </c>
      <c r="F3" s="2">
        <v>11</v>
      </c>
      <c r="I3" t="str">
        <f>CONCATENATE("(",A3,",'",B3,"','",C3,"',",D3,",",E3,",",F3,") values")</f>
        <v>(1,'Raffinerie d'Alger','Raffinerie d'Alger',1,1,11) values</v>
      </c>
    </row>
    <row r="4" spans="1:9" ht="24.95" customHeight="1" x14ac:dyDescent="0.3">
      <c r="A4" s="1">
        <v>2</v>
      </c>
      <c r="B4" s="3" t="s">
        <v>330</v>
      </c>
      <c r="C4" s="2" t="s">
        <v>330</v>
      </c>
      <c r="D4" s="2">
        <v>1</v>
      </c>
      <c r="E4" s="2">
        <v>2</v>
      </c>
      <c r="F4" s="2">
        <v>2</v>
      </c>
      <c r="I4" t="str">
        <f t="shared" ref="I4:I36" si="0">CONCATENATE("(",A4,",'",B4,"','",C4,"',",D4,",",E4,",",F4,") values")</f>
        <v>(2,'Puit gaz de Alrar','Puit gaz de Alrar',1,2,2) values</v>
      </c>
    </row>
    <row r="5" spans="1:9" ht="24.95" customHeight="1" x14ac:dyDescent="0.3">
      <c r="A5" s="1">
        <v>3</v>
      </c>
      <c r="B5" s="3" t="s">
        <v>327</v>
      </c>
      <c r="C5" s="2" t="s">
        <v>327</v>
      </c>
      <c r="D5" s="2">
        <v>1</v>
      </c>
      <c r="E5" s="2">
        <v>2</v>
      </c>
      <c r="F5" s="2">
        <v>4</v>
      </c>
      <c r="I5" t="str">
        <f t="shared" si="0"/>
        <v>(3,'Unité GPL d'Alrar','Unité GPL d'Alrar',1,2,4) values</v>
      </c>
    </row>
    <row r="6" spans="1:9" ht="24.95" customHeight="1" x14ac:dyDescent="0.3">
      <c r="A6" s="1">
        <v>4</v>
      </c>
      <c r="B6" s="3" t="s">
        <v>344</v>
      </c>
      <c r="C6" s="2" t="s">
        <v>344</v>
      </c>
      <c r="D6" s="2">
        <v>1</v>
      </c>
      <c r="E6" s="2">
        <v>3</v>
      </c>
      <c r="F6" s="2">
        <v>6</v>
      </c>
      <c r="I6" t="str">
        <f t="shared" si="0"/>
        <v>(4,'Terminal d'exportation d'Arzew','Terminal d'exportation d'Arzew',1,3,6) values</v>
      </c>
    </row>
    <row r="7" spans="1:9" ht="24.95" customHeight="1" x14ac:dyDescent="0.3">
      <c r="A7" s="1">
        <v>5</v>
      </c>
      <c r="B7" s="3" t="s">
        <v>335</v>
      </c>
      <c r="C7" s="2" t="s">
        <v>335</v>
      </c>
      <c r="D7" s="2">
        <v>1</v>
      </c>
      <c r="E7" s="2">
        <v>3</v>
      </c>
      <c r="F7" s="2">
        <v>5</v>
      </c>
      <c r="I7" t="str">
        <f t="shared" si="0"/>
        <v>(5,'Terminal GNL d'Arzew','Terminal GNL d'Arzew',1,3,5) values</v>
      </c>
    </row>
    <row r="8" spans="1:9" ht="24.95" customHeight="1" x14ac:dyDescent="0.3">
      <c r="A8" s="1">
        <v>6</v>
      </c>
      <c r="B8" s="3" t="s">
        <v>334</v>
      </c>
      <c r="C8" s="2" t="s">
        <v>334</v>
      </c>
      <c r="D8" s="2">
        <v>1</v>
      </c>
      <c r="E8" s="2">
        <v>4</v>
      </c>
      <c r="F8" s="2">
        <v>5</v>
      </c>
      <c r="I8" t="str">
        <f t="shared" si="0"/>
        <v>(6,'Terminal GNL d'Arzew/Beni Saf','Terminal GNL d'Arzew/Beni Saf',1,4,5) values</v>
      </c>
    </row>
    <row r="9" spans="1:9" ht="24.95" customHeight="1" x14ac:dyDescent="0.3">
      <c r="A9" s="1">
        <v>7</v>
      </c>
      <c r="B9" s="3" t="s">
        <v>345</v>
      </c>
      <c r="C9" s="2" t="s">
        <v>345</v>
      </c>
      <c r="D9" s="2">
        <v>1</v>
      </c>
      <c r="E9" s="2">
        <v>5</v>
      </c>
      <c r="F9" s="2">
        <v>6</v>
      </c>
      <c r="I9" t="str">
        <f t="shared" si="0"/>
        <v>(7,'Terminal d'exportation de Béjaia','Terminal d'exportation de Béjaia',1,5,6) values</v>
      </c>
    </row>
    <row r="10" spans="1:9" ht="24.95" customHeight="1" x14ac:dyDescent="0.3">
      <c r="A10" s="1">
        <v>8</v>
      </c>
      <c r="B10" s="3" t="s">
        <v>320</v>
      </c>
      <c r="C10" s="2" t="s">
        <v>320</v>
      </c>
      <c r="D10" s="2">
        <v>1</v>
      </c>
      <c r="E10" s="2">
        <v>6</v>
      </c>
      <c r="F10" s="2">
        <v>1</v>
      </c>
      <c r="I10" t="str">
        <f t="shared" si="0"/>
        <v>(8,'Puit pétrolier de Beni Mensour','Puit pétrolier de Beni Mensour',1,6,1) values</v>
      </c>
    </row>
    <row r="11" spans="1:9" ht="24.95" customHeight="1" x14ac:dyDescent="0.3">
      <c r="A11" s="1">
        <v>9</v>
      </c>
      <c r="B11" s="3" t="s">
        <v>337</v>
      </c>
      <c r="C11" s="2" t="s">
        <v>337</v>
      </c>
      <c r="D11" s="2">
        <v>1</v>
      </c>
      <c r="E11" s="2">
        <v>7</v>
      </c>
      <c r="F11" s="2">
        <v>5</v>
      </c>
      <c r="I11" t="str">
        <f t="shared" si="0"/>
        <v>(9,'Terminal GNL de Beni Saf','Terminal GNL de Beni Saf',1,7,5) values</v>
      </c>
    </row>
    <row r="12" spans="1:9" ht="24.95" customHeight="1" x14ac:dyDescent="0.3">
      <c r="A12" s="1">
        <v>10</v>
      </c>
      <c r="B12" s="3" t="s">
        <v>341</v>
      </c>
      <c r="C12" s="2" t="s">
        <v>341</v>
      </c>
      <c r="D12" s="2">
        <v>1</v>
      </c>
      <c r="E12" s="2">
        <v>8</v>
      </c>
      <c r="F12" s="2">
        <v>6</v>
      </c>
      <c r="I12" t="str">
        <f t="shared" si="0"/>
        <v>(10,'Terminal d'exportation de Bordj Menail','Terminal d'exportation de Bordj Menail',1,8,6) values</v>
      </c>
    </row>
    <row r="13" spans="1:9" ht="24.95" customHeight="1" x14ac:dyDescent="0.3">
      <c r="A13" s="1">
        <v>11</v>
      </c>
      <c r="B13" s="3" t="s">
        <v>338</v>
      </c>
      <c r="C13" s="2" t="s">
        <v>338</v>
      </c>
      <c r="D13" s="2">
        <v>1</v>
      </c>
      <c r="E13" s="2">
        <v>9</v>
      </c>
      <c r="F13" s="2">
        <v>6</v>
      </c>
      <c r="I13" t="str">
        <f t="shared" si="0"/>
        <v>(11,'Terminal d'exportation d'El Aricha','Terminal d'exportation d'El Aricha',1,9,6) values</v>
      </c>
    </row>
    <row r="14" spans="1:9" ht="24.95" customHeight="1" x14ac:dyDescent="0.3">
      <c r="A14" s="1">
        <v>12</v>
      </c>
      <c r="B14" s="3" t="s">
        <v>322</v>
      </c>
      <c r="C14" s="2" t="s">
        <v>322</v>
      </c>
      <c r="D14" s="2">
        <v>1</v>
      </c>
      <c r="E14" s="2">
        <v>8</v>
      </c>
      <c r="F14" s="2">
        <v>1</v>
      </c>
      <c r="I14" t="str">
        <f t="shared" si="0"/>
        <v>(12,'Puit pétrolier d'El Borma','Puit pétrolier d'El Borma',1,8,1) values</v>
      </c>
    </row>
    <row r="15" spans="1:9" ht="24.95" customHeight="1" x14ac:dyDescent="0.3">
      <c r="A15" s="1">
        <v>13</v>
      </c>
      <c r="B15" s="3" t="s">
        <v>339</v>
      </c>
      <c r="C15" s="2" t="s">
        <v>339</v>
      </c>
      <c r="D15" s="2">
        <v>1</v>
      </c>
      <c r="E15" s="2">
        <v>9</v>
      </c>
      <c r="F15" s="2">
        <v>5</v>
      </c>
      <c r="I15" t="str">
        <f t="shared" si="0"/>
        <v>(13,'Terminal GNL d'El Kala','Terminal GNL d'El Kala',1,9,5) values</v>
      </c>
    </row>
    <row r="16" spans="1:9" ht="24.95" customHeight="1" x14ac:dyDescent="0.3">
      <c r="A16" s="1">
        <v>14</v>
      </c>
      <c r="B16" s="3" t="s">
        <v>347</v>
      </c>
      <c r="C16" s="2" t="s">
        <v>347</v>
      </c>
      <c r="D16" s="2">
        <v>1</v>
      </c>
      <c r="E16" s="2">
        <v>10</v>
      </c>
      <c r="F16" s="2">
        <v>6</v>
      </c>
      <c r="I16" t="str">
        <f t="shared" si="0"/>
        <v>(14,'Terminal d'exportation d'El Skhira','Terminal d'exportation d'El Skhira',1,10,6) values</v>
      </c>
    </row>
    <row r="17" spans="1:9" ht="24.95" customHeight="1" x14ac:dyDescent="0.3">
      <c r="A17" s="1">
        <v>15</v>
      </c>
      <c r="B17" s="3" t="s">
        <v>342</v>
      </c>
      <c r="C17" s="2" t="s">
        <v>342</v>
      </c>
      <c r="D17" s="2">
        <v>1</v>
      </c>
      <c r="E17" s="2">
        <v>11</v>
      </c>
      <c r="F17" s="2">
        <v>8</v>
      </c>
      <c r="I17" t="str">
        <f t="shared" si="0"/>
        <v>(15,'Station de pompage Gassi Touil','Station de pompage Gassi Touil',1,11,8) values</v>
      </c>
    </row>
    <row r="18" spans="1:9" ht="24.95" customHeight="1" x14ac:dyDescent="0.3">
      <c r="A18" s="1">
        <v>16</v>
      </c>
      <c r="B18" s="3" t="s">
        <v>10</v>
      </c>
      <c r="C18" s="2" t="s">
        <v>10</v>
      </c>
      <c r="D18" s="2">
        <v>1</v>
      </c>
      <c r="E18" s="2">
        <v>12</v>
      </c>
      <c r="F18" s="2">
        <v>14</v>
      </c>
      <c r="I18" t="str">
        <f t="shared" si="0"/>
        <v>(16,'CDHL','CDHL',1,12,14) values</v>
      </c>
    </row>
    <row r="19" spans="1:9" ht="24.95" customHeight="1" x14ac:dyDescent="0.3">
      <c r="A19" s="1">
        <v>17</v>
      </c>
      <c r="B19" s="3" t="s">
        <v>325</v>
      </c>
      <c r="C19" s="2" t="s">
        <v>325</v>
      </c>
      <c r="D19" s="2">
        <v>1</v>
      </c>
      <c r="E19" s="2">
        <v>13</v>
      </c>
      <c r="F19" s="2">
        <v>1</v>
      </c>
      <c r="I19" t="str">
        <f t="shared" si="0"/>
        <v>(17,'Puit pétrolier de Hassi Berkine','Puit pétrolier de Hassi Berkine',1,13,1) values</v>
      </c>
    </row>
    <row r="20" spans="1:9" ht="24.95" customHeight="1" x14ac:dyDescent="0.3">
      <c r="A20" s="1">
        <v>18</v>
      </c>
      <c r="B20" s="3" t="s">
        <v>11</v>
      </c>
      <c r="C20" s="2" t="s">
        <v>11</v>
      </c>
      <c r="D20" s="2">
        <v>1</v>
      </c>
      <c r="E20" s="2">
        <v>14</v>
      </c>
      <c r="F20" s="2">
        <v>13</v>
      </c>
      <c r="I20" t="str">
        <f t="shared" si="0"/>
        <v>(18,'CNDG','CNDG',1,14,13) values</v>
      </c>
    </row>
    <row r="21" spans="1:9" ht="24.95" customHeight="1" x14ac:dyDescent="0.3">
      <c r="A21" s="1">
        <v>19</v>
      </c>
      <c r="B21" s="3" t="s">
        <v>321</v>
      </c>
      <c r="C21" s="2" t="s">
        <v>321</v>
      </c>
      <c r="D21" s="2">
        <v>1</v>
      </c>
      <c r="E21" s="2">
        <v>15</v>
      </c>
      <c r="F21" s="2">
        <v>1</v>
      </c>
      <c r="I21" t="str">
        <f t="shared" si="0"/>
        <v>(19,'Puit pétrolier d'In Amenas','Puit pétrolier d'In Amenas',1,15,1) values</v>
      </c>
    </row>
    <row r="22" spans="1:9" ht="24.95" customHeight="1" x14ac:dyDescent="0.3">
      <c r="A22" s="1">
        <v>20</v>
      </c>
      <c r="B22" s="3" t="s">
        <v>349</v>
      </c>
      <c r="C22" s="2" t="s">
        <v>349</v>
      </c>
      <c r="D22" s="2">
        <v>1</v>
      </c>
      <c r="E22" s="2">
        <v>16</v>
      </c>
      <c r="F22" s="2">
        <v>7</v>
      </c>
      <c r="I22" t="str">
        <f t="shared" si="0"/>
        <v>(20,'Station de compression Mechtatine','Station de compression Mechtatine',1,16,7) values</v>
      </c>
    </row>
    <row r="23" spans="1:9" ht="24.95" customHeight="1" x14ac:dyDescent="0.3">
      <c r="A23" s="1">
        <v>21</v>
      </c>
      <c r="B23" s="3" t="s">
        <v>350</v>
      </c>
      <c r="C23" s="2" t="s">
        <v>350</v>
      </c>
      <c r="D23" s="2">
        <v>1</v>
      </c>
      <c r="E23" s="2">
        <v>17</v>
      </c>
      <c r="F23" s="2">
        <v>7</v>
      </c>
      <c r="I23" t="str">
        <f t="shared" si="0"/>
        <v>(21,'Station de compression Medjedel','Station de compression Medjedel',1,17,7) values</v>
      </c>
    </row>
    <row r="24" spans="1:9" ht="24.95" customHeight="1" x14ac:dyDescent="0.3">
      <c r="A24" s="1">
        <v>22</v>
      </c>
      <c r="B24" s="3" t="s">
        <v>324</v>
      </c>
      <c r="C24" s="2" t="s">
        <v>324</v>
      </c>
      <c r="D24" s="2">
        <v>1</v>
      </c>
      <c r="E24" s="2">
        <v>18</v>
      </c>
      <c r="F24" s="2">
        <v>1</v>
      </c>
      <c r="I24" t="str">
        <f t="shared" si="0"/>
        <v>(22,'Puit pétrolier de Mesdar','Puit pétrolier de Mesdar',1,18,1) values</v>
      </c>
    </row>
    <row r="25" spans="1:9" ht="24.95" customHeight="1" x14ac:dyDescent="0.3">
      <c r="A25" s="1">
        <v>23</v>
      </c>
      <c r="B25" s="3" t="s">
        <v>348</v>
      </c>
      <c r="C25" s="2" t="s">
        <v>348</v>
      </c>
      <c r="D25" s="2">
        <v>1</v>
      </c>
      <c r="E25" s="2">
        <v>18</v>
      </c>
      <c r="F25" s="2">
        <v>8</v>
      </c>
      <c r="I25" t="str">
        <f t="shared" si="0"/>
        <v>(23,'Station de pompage Mesdar','Station de pompage Mesdar',1,18,8) values</v>
      </c>
    </row>
    <row r="26" spans="1:9" ht="24.95" customHeight="1" x14ac:dyDescent="0.3">
      <c r="A26" s="1">
        <v>24</v>
      </c>
      <c r="B26" s="3" t="s">
        <v>329</v>
      </c>
      <c r="C26" s="2" t="s">
        <v>329</v>
      </c>
      <c r="D26" s="2">
        <v>1</v>
      </c>
      <c r="E26" s="2">
        <v>19</v>
      </c>
      <c r="F26" s="2">
        <v>2</v>
      </c>
      <c r="I26" t="str">
        <f t="shared" si="0"/>
        <v>(24,'Puit gaz de Mouctaa Douze','Puit gaz de Mouctaa Douze',1,19,2) values</v>
      </c>
    </row>
    <row r="27" spans="1:9" ht="24.95" customHeight="1" x14ac:dyDescent="0.3">
      <c r="A27" s="1">
        <v>25</v>
      </c>
      <c r="B27" s="3" t="s">
        <v>328</v>
      </c>
      <c r="C27" s="2" t="s">
        <v>328</v>
      </c>
      <c r="D27" s="2">
        <v>1</v>
      </c>
      <c r="E27" s="2">
        <v>20</v>
      </c>
      <c r="F27" s="2">
        <v>4</v>
      </c>
      <c r="I27" t="str">
        <f t="shared" si="0"/>
        <v>(25,'Unité GPL d'Ohanet','Unité GPL d'Ohanet',1,20,4) values</v>
      </c>
    </row>
    <row r="28" spans="1:9" ht="24.95" customHeight="1" x14ac:dyDescent="0.3">
      <c r="A28" s="1">
        <v>26</v>
      </c>
      <c r="B28" s="3" t="s">
        <v>340</v>
      </c>
      <c r="C28" s="2" t="s">
        <v>340</v>
      </c>
      <c r="D28" s="2">
        <v>1</v>
      </c>
      <c r="E28" s="2">
        <v>21</v>
      </c>
      <c r="F28" s="2">
        <v>6</v>
      </c>
      <c r="I28" t="str">
        <f t="shared" si="0"/>
        <v>(26,'Terminal d'exportation d'Oued Saf Saf','Terminal d'exportation d'Oued Saf Saf',1,21,6) values</v>
      </c>
    </row>
    <row r="29" spans="1:9" ht="24.95" customHeight="1" x14ac:dyDescent="0.3">
      <c r="A29" s="1">
        <v>27</v>
      </c>
      <c r="B29" s="3" t="s">
        <v>333</v>
      </c>
      <c r="C29" s="2" t="s">
        <v>333</v>
      </c>
      <c r="D29" s="2">
        <v>1</v>
      </c>
      <c r="E29" s="2">
        <v>22</v>
      </c>
      <c r="F29" s="2">
        <v>2</v>
      </c>
      <c r="I29" t="str">
        <f t="shared" si="0"/>
        <v>(27,'Puit gaz de PC4-GR5','Puit gaz de PC4-GR5',1,22,2) values</v>
      </c>
    </row>
    <row r="30" spans="1:9" ht="24.95" customHeight="1" x14ac:dyDescent="0.3">
      <c r="A30" s="1">
        <v>28</v>
      </c>
      <c r="B30" s="3" t="s">
        <v>326</v>
      </c>
      <c r="C30" s="2" t="s">
        <v>326</v>
      </c>
      <c r="D30" s="2">
        <v>1</v>
      </c>
      <c r="E30" s="2">
        <v>23</v>
      </c>
      <c r="F30" s="2">
        <v>3</v>
      </c>
      <c r="I30" t="str">
        <f t="shared" si="0"/>
        <v>(28,'Puit Condensat du PK66 - Ohanet','Puit Condensat du PK66 - Ohanet',1,23,3) values</v>
      </c>
    </row>
    <row r="31" spans="1:9" ht="24.95" customHeight="1" x14ac:dyDescent="0.3">
      <c r="A31" s="1">
        <v>29</v>
      </c>
      <c r="B31" s="3" t="s">
        <v>332</v>
      </c>
      <c r="C31" s="2" t="s">
        <v>332</v>
      </c>
      <c r="D31" s="2">
        <v>1</v>
      </c>
      <c r="E31" s="2">
        <v>24</v>
      </c>
      <c r="F31" s="2">
        <v>2</v>
      </c>
      <c r="I31" t="str">
        <f t="shared" si="0"/>
        <v>(29,'Puit gaz de Reggane','Puit gaz de Reggane',1,24,2) values</v>
      </c>
    </row>
    <row r="32" spans="1:9" ht="24.95" customHeight="1" x14ac:dyDescent="0.3">
      <c r="A32" s="1">
        <v>30</v>
      </c>
      <c r="B32" s="3" t="s">
        <v>331</v>
      </c>
      <c r="C32" s="2" t="s">
        <v>331</v>
      </c>
      <c r="D32" s="2">
        <v>1</v>
      </c>
      <c r="E32" s="2">
        <v>25</v>
      </c>
      <c r="F32" s="2">
        <v>2</v>
      </c>
      <c r="I32" t="str">
        <f t="shared" si="0"/>
        <v>(30,'Puit gaz de Rhoud Nouss','Puit gaz de Rhoud Nouss',1,25,2) values</v>
      </c>
    </row>
    <row r="33" spans="1:9" ht="24.95" customHeight="1" x14ac:dyDescent="0.3">
      <c r="A33" s="1">
        <v>31</v>
      </c>
      <c r="B33" s="3" t="s">
        <v>323</v>
      </c>
      <c r="C33" s="2" t="s">
        <v>323</v>
      </c>
      <c r="D33" s="2">
        <v>1</v>
      </c>
      <c r="E33" s="2">
        <v>26</v>
      </c>
      <c r="F33" s="2">
        <v>1</v>
      </c>
      <c r="I33" t="str">
        <f t="shared" si="0"/>
        <v>(31,'Puit pétrolier de Rhourd El Baguel','Puit pétrolier de Rhourd El Baguel',1,26,1) values</v>
      </c>
    </row>
    <row r="34" spans="1:9" ht="24.95" customHeight="1" x14ac:dyDescent="0.3">
      <c r="A34" s="1">
        <v>32</v>
      </c>
      <c r="B34" s="3" t="s">
        <v>346</v>
      </c>
      <c r="C34" s="2" t="s">
        <v>346</v>
      </c>
      <c r="D34" s="2">
        <v>1</v>
      </c>
      <c r="E34" s="2">
        <v>27</v>
      </c>
      <c r="F34" s="2">
        <v>6</v>
      </c>
      <c r="I34" t="str">
        <f t="shared" si="0"/>
        <v>(32,'Terminal d'exportation de Skikda','Terminal d'exportation de Skikda',1,27,6) values</v>
      </c>
    </row>
    <row r="35" spans="1:9" ht="24.95" customHeight="1" x14ac:dyDescent="0.3">
      <c r="A35" s="1">
        <v>33</v>
      </c>
      <c r="B35" s="3" t="s">
        <v>336</v>
      </c>
      <c r="C35" s="2" t="s">
        <v>336</v>
      </c>
      <c r="D35" s="2">
        <v>1</v>
      </c>
      <c r="E35" s="2">
        <v>27</v>
      </c>
      <c r="F35" s="2">
        <v>5</v>
      </c>
      <c r="I35" t="str">
        <f t="shared" si="0"/>
        <v>(33,'Terminal GNL de Skikda','Terminal GNL de Skikda',1,27,5) values</v>
      </c>
    </row>
    <row r="36" spans="1:9" ht="24.95" customHeight="1" x14ac:dyDescent="0.3">
      <c r="A36" s="1">
        <v>34</v>
      </c>
      <c r="B36" s="3" t="s">
        <v>351</v>
      </c>
      <c r="C36" s="2" t="s">
        <v>351</v>
      </c>
      <c r="D36" s="2">
        <v>1</v>
      </c>
      <c r="E36" s="2">
        <v>28</v>
      </c>
      <c r="F36" s="2">
        <v>7</v>
      </c>
      <c r="I36" t="str">
        <f t="shared" si="0"/>
        <v>(34,'Station de compression Tamlouka','Station de compression Tamlouka',1,28,7) values</v>
      </c>
    </row>
    <row r="37" spans="1:9" ht="24.95" customHeight="1" x14ac:dyDescent="0.3">
      <c r="A37" s="1">
        <v>35</v>
      </c>
      <c r="B37" s="3"/>
      <c r="C37" s="2"/>
      <c r="D37" s="2"/>
      <c r="E37" s="2"/>
      <c r="F37" s="2"/>
    </row>
    <row r="38" spans="1:9" ht="24.95" customHeight="1" x14ac:dyDescent="0.3">
      <c r="A38" s="1">
        <v>36</v>
      </c>
      <c r="B38" s="3"/>
      <c r="C38" s="2"/>
      <c r="D38" s="2"/>
      <c r="E38" s="2"/>
      <c r="F38" s="2"/>
    </row>
    <row r="39" spans="1:9" ht="24.95" customHeight="1" x14ac:dyDescent="0.3">
      <c r="A39" s="1">
        <v>37</v>
      </c>
      <c r="B39" s="3"/>
      <c r="C39" s="2"/>
      <c r="D39" s="2"/>
      <c r="E39" s="2"/>
      <c r="F39" s="2"/>
    </row>
    <row r="40" spans="1:9" ht="24.95" customHeight="1" x14ac:dyDescent="0.3">
      <c r="A40" s="1">
        <v>38</v>
      </c>
      <c r="B40" s="3"/>
      <c r="C40" s="2"/>
      <c r="D40" s="2"/>
      <c r="E40" s="2"/>
      <c r="F40" s="2"/>
    </row>
    <row r="41" spans="1:9" ht="24.95" customHeight="1" x14ac:dyDescent="0.3">
      <c r="A41" s="1">
        <v>39</v>
      </c>
      <c r="B41" s="3"/>
      <c r="C41" s="2"/>
      <c r="D41" s="2"/>
      <c r="E41" s="2"/>
      <c r="F41" s="2"/>
    </row>
    <row r="42" spans="1:9" ht="24.95" customHeight="1" x14ac:dyDescent="0.3">
      <c r="A42" s="1">
        <v>40</v>
      </c>
      <c r="B42" s="3"/>
      <c r="C42" s="2"/>
      <c r="D42" s="2"/>
      <c r="E42" s="2"/>
      <c r="F42" s="2"/>
    </row>
    <row r="43" spans="1:9" ht="24.95" customHeight="1" x14ac:dyDescent="0.3">
      <c r="A43" s="1">
        <v>41</v>
      </c>
      <c r="B43" s="3"/>
      <c r="C43" s="2"/>
      <c r="D43" s="2"/>
      <c r="E43" s="2"/>
      <c r="F43" s="2"/>
    </row>
    <row r="44" spans="1:9" ht="24.95" customHeight="1" x14ac:dyDescent="0.3">
      <c r="A44" s="1">
        <v>42</v>
      </c>
      <c r="B44" s="3"/>
      <c r="C44" s="2"/>
      <c r="D44" s="2"/>
      <c r="E44" s="2"/>
      <c r="F44" s="2"/>
    </row>
    <row r="45" spans="1:9" ht="24.95" customHeight="1" x14ac:dyDescent="0.3">
      <c r="A45" s="1">
        <v>43</v>
      </c>
      <c r="B45" s="3"/>
      <c r="C45" s="2"/>
      <c r="D45" s="2"/>
      <c r="E45" s="2"/>
      <c r="F45" s="2"/>
    </row>
    <row r="46" spans="1:9" ht="24.95" customHeight="1" x14ac:dyDescent="0.3">
      <c r="A46" s="1">
        <v>44</v>
      </c>
      <c r="B46" s="3"/>
      <c r="C46" s="2"/>
      <c r="D46" s="2"/>
      <c r="E46" s="2"/>
      <c r="F46" s="2"/>
    </row>
    <row r="47" spans="1:9" ht="24.95" customHeight="1" x14ac:dyDescent="0.3">
      <c r="A47" s="1">
        <v>45</v>
      </c>
      <c r="B47" s="3"/>
      <c r="C47" s="2"/>
      <c r="D47" s="2"/>
      <c r="E47" s="2"/>
      <c r="F47" s="2"/>
    </row>
    <row r="48" spans="1:9" ht="24.95" customHeight="1" x14ac:dyDescent="0.3">
      <c r="A48" s="1">
        <v>46</v>
      </c>
      <c r="B48" s="3"/>
      <c r="C48" s="2"/>
      <c r="D48" s="2"/>
      <c r="E48" s="2"/>
      <c r="F48" s="2"/>
    </row>
    <row r="49" spans="1:6" ht="24.95" customHeight="1" x14ac:dyDescent="0.3">
      <c r="A49" s="1">
        <v>47</v>
      </c>
      <c r="B49" s="3"/>
      <c r="C49" s="2"/>
      <c r="D49" s="2"/>
      <c r="E49" s="2"/>
      <c r="F49" s="2"/>
    </row>
    <row r="50" spans="1:6" ht="24.95" customHeight="1" x14ac:dyDescent="0.3">
      <c r="A50" s="1">
        <v>48</v>
      </c>
      <c r="B50" s="3"/>
      <c r="C50" s="2"/>
      <c r="D50" s="2"/>
      <c r="E50" s="2"/>
      <c r="F50" s="2"/>
    </row>
    <row r="51" spans="1:6" ht="24.95" customHeight="1" x14ac:dyDescent="0.3">
      <c r="A51" s="1">
        <v>49</v>
      </c>
      <c r="B51" s="3"/>
      <c r="C51" s="2"/>
      <c r="D51" s="2"/>
      <c r="E51" s="2"/>
      <c r="F51" s="2"/>
    </row>
    <row r="52" spans="1:6" ht="24.95" customHeight="1" x14ac:dyDescent="0.3">
      <c r="A52" s="1">
        <v>50</v>
      </c>
      <c r="B52" s="3"/>
      <c r="C52" s="2"/>
      <c r="D52" s="2"/>
      <c r="E52" s="2"/>
      <c r="F52" s="2"/>
    </row>
    <row r="53" spans="1:6" ht="24.95" customHeight="1" x14ac:dyDescent="0.3">
      <c r="A53" s="1">
        <v>51</v>
      </c>
      <c r="B53" s="3"/>
      <c r="C53" s="2"/>
      <c r="D53" s="2"/>
      <c r="E53" s="2"/>
      <c r="F53" s="2"/>
    </row>
    <row r="54" spans="1:6" ht="24.95" customHeight="1" x14ac:dyDescent="0.3">
      <c r="A54" s="1">
        <v>52</v>
      </c>
      <c r="B54" s="3"/>
      <c r="C54" s="2"/>
      <c r="D54" s="2"/>
      <c r="E54" s="2"/>
      <c r="F54" s="2"/>
    </row>
    <row r="55" spans="1:6" ht="24.95" customHeight="1" x14ac:dyDescent="0.3">
      <c r="A55" s="1">
        <v>53</v>
      </c>
      <c r="B55" s="3"/>
      <c r="C55" s="2"/>
      <c r="D55" s="2"/>
      <c r="E55" s="2"/>
      <c r="F55" s="2"/>
    </row>
    <row r="56" spans="1:6" ht="24.95" customHeight="1" x14ac:dyDescent="0.3">
      <c r="A56" s="1">
        <v>54</v>
      </c>
      <c r="B56" s="3"/>
      <c r="C56" s="2"/>
      <c r="D56" s="2"/>
      <c r="E56" s="2"/>
      <c r="F56" s="2"/>
    </row>
    <row r="57" spans="1:6" ht="24.95" customHeight="1" x14ac:dyDescent="0.3">
      <c r="A57" s="1">
        <v>55</v>
      </c>
      <c r="B57" s="3"/>
      <c r="C57" s="2"/>
      <c r="D57" s="2"/>
      <c r="E57" s="2"/>
      <c r="F57" s="2"/>
    </row>
    <row r="58" spans="1:6" ht="24.95" customHeight="1" x14ac:dyDescent="0.3">
      <c r="A58" s="1">
        <v>56</v>
      </c>
      <c r="B58" s="3"/>
      <c r="C58" s="2"/>
      <c r="D58" s="2"/>
      <c r="E58" s="2"/>
      <c r="F58" s="2"/>
    </row>
    <row r="59" spans="1:6" ht="24.95" customHeight="1" x14ac:dyDescent="0.3">
      <c r="A59" s="1">
        <v>57</v>
      </c>
      <c r="B59" s="3"/>
      <c r="C59" s="2"/>
      <c r="D59" s="2"/>
      <c r="E59" s="2"/>
      <c r="F59" s="2"/>
    </row>
    <row r="60" spans="1:6" ht="24.95" customHeight="1" x14ac:dyDescent="0.3">
      <c r="A60" s="1">
        <v>58</v>
      </c>
      <c r="B60" s="3"/>
      <c r="C60" s="2"/>
      <c r="D60" s="2"/>
      <c r="E60" s="2"/>
      <c r="F60" s="2"/>
    </row>
    <row r="61" spans="1:6" ht="24.95" customHeight="1" x14ac:dyDescent="0.3">
      <c r="A61" s="1">
        <v>59</v>
      </c>
      <c r="B61" s="3"/>
      <c r="C61" s="2"/>
      <c r="D61" s="2"/>
      <c r="E61" s="2"/>
      <c r="F61" s="2"/>
    </row>
    <row r="62" spans="1:6" ht="24.95" customHeight="1" x14ac:dyDescent="0.3">
      <c r="A62" s="1">
        <v>60</v>
      </c>
      <c r="B62" s="3"/>
      <c r="C62" s="2"/>
      <c r="D62" s="2"/>
      <c r="E62" s="2"/>
      <c r="F62" s="2"/>
    </row>
    <row r="63" spans="1:6" ht="24.95" customHeight="1" x14ac:dyDescent="0.3">
      <c r="A63" s="1">
        <v>61</v>
      </c>
      <c r="B63" s="3"/>
      <c r="C63" s="2"/>
      <c r="D63" s="2"/>
      <c r="E63" s="2"/>
      <c r="F63" s="2"/>
    </row>
    <row r="64" spans="1:6" ht="24.95" customHeight="1" x14ac:dyDescent="0.3">
      <c r="A64" s="1">
        <v>62</v>
      </c>
      <c r="B64" s="3"/>
      <c r="C64" s="2"/>
      <c r="D64" s="2"/>
      <c r="E64" s="2"/>
      <c r="F64" s="2"/>
    </row>
    <row r="65" spans="1:6" ht="24.95" customHeight="1" x14ac:dyDescent="0.3">
      <c r="A65" s="1">
        <v>63</v>
      </c>
      <c r="B65" s="3"/>
      <c r="C65" s="2"/>
      <c r="D65" s="2"/>
      <c r="E65" s="2"/>
      <c r="F65" s="2"/>
    </row>
    <row r="66" spans="1:6" ht="24.95" customHeight="1" x14ac:dyDescent="0.3">
      <c r="A66" s="1">
        <v>64</v>
      </c>
      <c r="B66" s="3"/>
      <c r="C66" s="2"/>
      <c r="D66" s="2"/>
      <c r="E66" s="2"/>
      <c r="F66" s="2"/>
    </row>
    <row r="67" spans="1:6" ht="24.95" customHeight="1" x14ac:dyDescent="0.3">
      <c r="A67" s="1">
        <v>65</v>
      </c>
      <c r="B67" s="3"/>
      <c r="C67" s="2"/>
      <c r="D67" s="2"/>
      <c r="E67" s="2"/>
      <c r="F67" s="2"/>
    </row>
    <row r="68" spans="1:6" ht="24.95" customHeight="1" x14ac:dyDescent="0.3">
      <c r="A68" s="1">
        <v>66</v>
      </c>
      <c r="B68" s="3"/>
      <c r="C68" s="2"/>
      <c r="D68" s="2"/>
      <c r="E68" s="2"/>
      <c r="F68" s="2"/>
    </row>
    <row r="69" spans="1:6" ht="24.95" customHeight="1" x14ac:dyDescent="0.3">
      <c r="A69" s="1">
        <v>67</v>
      </c>
      <c r="B69" s="3"/>
      <c r="C69" s="2"/>
      <c r="D69" s="2"/>
      <c r="E69" s="2"/>
      <c r="F69" s="2"/>
    </row>
    <row r="70" spans="1:6" ht="24.95" customHeight="1" x14ac:dyDescent="0.3">
      <c r="A70" s="1">
        <v>68</v>
      </c>
      <c r="B70" s="3"/>
      <c r="C70" s="2"/>
      <c r="D70" s="2"/>
      <c r="E70" s="2"/>
      <c r="F70" s="2">
        <v>1</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6"/>
  <sheetViews>
    <sheetView workbookViewId="0">
      <selection activeCell="J30" sqref="J30"/>
    </sheetView>
  </sheetViews>
  <sheetFormatPr baseColWidth="10" defaultRowHeight="16.5" x14ac:dyDescent="0.3"/>
  <cols>
    <col min="9" max="9" width="32.140625" bestFit="1" customWidth="1"/>
    <col min="14" max="14" width="32.140625" bestFit="1" customWidth="1"/>
  </cols>
  <sheetData>
    <row r="1" spans="1:10" ht="14.1" x14ac:dyDescent="0.3">
      <c r="A1" t="s">
        <v>252</v>
      </c>
      <c r="I1" t="s">
        <v>224</v>
      </c>
      <c r="J1" t="s">
        <v>284</v>
      </c>
    </row>
    <row r="2" spans="1:10" ht="15.6" x14ac:dyDescent="0.3">
      <c r="A2" s="2" t="s">
        <v>82</v>
      </c>
      <c r="I2" t="s">
        <v>254</v>
      </c>
      <c r="J2">
        <v>1</v>
      </c>
    </row>
    <row r="3" spans="1:10" ht="15.6" x14ac:dyDescent="0.3">
      <c r="A3" s="2" t="s">
        <v>93</v>
      </c>
      <c r="I3" t="s">
        <v>255</v>
      </c>
      <c r="J3">
        <v>1</v>
      </c>
    </row>
    <row r="4" spans="1:10" ht="15.6" x14ac:dyDescent="0.3">
      <c r="A4" s="2" t="s">
        <v>92</v>
      </c>
      <c r="I4" t="s">
        <v>256</v>
      </c>
      <c r="J4">
        <v>1</v>
      </c>
    </row>
    <row r="5" spans="1:10" ht="15.6" x14ac:dyDescent="0.3">
      <c r="A5" s="2" t="s">
        <v>91</v>
      </c>
      <c r="I5" t="s">
        <v>257</v>
      </c>
      <c r="J5">
        <v>1</v>
      </c>
    </row>
    <row r="6" spans="1:10" ht="15.6" x14ac:dyDescent="0.3">
      <c r="A6" s="2" t="s">
        <v>90</v>
      </c>
      <c r="I6" t="s">
        <v>258</v>
      </c>
      <c r="J6">
        <v>1</v>
      </c>
    </row>
    <row r="7" spans="1:10" ht="15.6" x14ac:dyDescent="0.3">
      <c r="A7" s="2" t="s">
        <v>88</v>
      </c>
      <c r="I7" t="s">
        <v>259</v>
      </c>
      <c r="J7">
        <v>1</v>
      </c>
    </row>
    <row r="8" spans="1:10" ht="15.6" x14ac:dyDescent="0.3">
      <c r="A8" s="2" t="s">
        <v>89</v>
      </c>
      <c r="I8" t="s">
        <v>260</v>
      </c>
      <c r="J8">
        <v>1</v>
      </c>
    </row>
    <row r="9" spans="1:10" ht="15.6" x14ac:dyDescent="0.3">
      <c r="A9" s="2" t="s">
        <v>94</v>
      </c>
      <c r="I9" t="s">
        <v>261</v>
      </c>
      <c r="J9">
        <v>1</v>
      </c>
    </row>
    <row r="10" spans="1:10" ht="15.6" x14ac:dyDescent="0.3">
      <c r="A10" s="2" t="s">
        <v>95</v>
      </c>
      <c r="I10" t="s">
        <v>262</v>
      </c>
      <c r="J10">
        <v>1</v>
      </c>
    </row>
    <row r="11" spans="1:10" ht="15.6" x14ac:dyDescent="0.3">
      <c r="A11" s="2" t="s">
        <v>104</v>
      </c>
      <c r="I11" t="s">
        <v>263</v>
      </c>
      <c r="J11">
        <v>1</v>
      </c>
    </row>
    <row r="12" spans="1:10" ht="15.6" x14ac:dyDescent="0.3">
      <c r="A12" s="2" t="s">
        <v>103</v>
      </c>
      <c r="I12" t="s">
        <v>264</v>
      </c>
      <c r="J12">
        <v>1</v>
      </c>
    </row>
    <row r="13" spans="1:10" ht="15.6" x14ac:dyDescent="0.3">
      <c r="A13" s="2" t="s">
        <v>102</v>
      </c>
      <c r="I13" t="s">
        <v>265</v>
      </c>
      <c r="J13">
        <v>1</v>
      </c>
    </row>
    <row r="14" spans="1:10" ht="15.6" x14ac:dyDescent="0.3">
      <c r="A14" s="2" t="s">
        <v>120</v>
      </c>
      <c r="I14" t="s">
        <v>266</v>
      </c>
      <c r="J14">
        <v>1</v>
      </c>
    </row>
    <row r="15" spans="1:10" ht="15.6" x14ac:dyDescent="0.3">
      <c r="A15" s="2" t="s">
        <v>122</v>
      </c>
      <c r="I15" t="s">
        <v>267</v>
      </c>
      <c r="J15">
        <v>1</v>
      </c>
    </row>
    <row r="16" spans="1:10" x14ac:dyDescent="0.3">
      <c r="A16" s="2" t="s">
        <v>123</v>
      </c>
      <c r="I16" t="s">
        <v>268</v>
      </c>
      <c r="J16">
        <v>1</v>
      </c>
    </row>
    <row r="17" spans="1:10" ht="15.6" x14ac:dyDescent="0.3">
      <c r="A17" s="2" t="s">
        <v>125</v>
      </c>
      <c r="I17" t="s">
        <v>269</v>
      </c>
      <c r="J17">
        <v>1</v>
      </c>
    </row>
    <row r="18" spans="1:10" ht="15.6" x14ac:dyDescent="0.3">
      <c r="A18" s="2" t="s">
        <v>128</v>
      </c>
      <c r="I18" t="s">
        <v>270</v>
      </c>
      <c r="J18">
        <v>1</v>
      </c>
    </row>
    <row r="19" spans="1:10" ht="15.6" x14ac:dyDescent="0.3">
      <c r="A19" s="2" t="s">
        <v>129</v>
      </c>
      <c r="I19" t="s">
        <v>271</v>
      </c>
      <c r="J19">
        <v>1</v>
      </c>
    </row>
    <row r="20" spans="1:10" ht="15.6" x14ac:dyDescent="0.3">
      <c r="A20" s="2" t="s">
        <v>13</v>
      </c>
      <c r="I20" t="s">
        <v>272</v>
      </c>
      <c r="J20">
        <v>1</v>
      </c>
    </row>
    <row r="21" spans="1:10" ht="15.6" x14ac:dyDescent="0.3">
      <c r="A21" s="2" t="s">
        <v>130</v>
      </c>
      <c r="I21" t="s">
        <v>273</v>
      </c>
      <c r="J21">
        <v>1</v>
      </c>
    </row>
    <row r="22" spans="1:10" ht="15.6" x14ac:dyDescent="0.3">
      <c r="A22" s="2" t="s">
        <v>83</v>
      </c>
      <c r="I22" t="s">
        <v>274</v>
      </c>
      <c r="J22">
        <v>1</v>
      </c>
    </row>
    <row r="23" spans="1:10" ht="15.6" x14ac:dyDescent="0.3">
      <c r="A23" s="2" t="s">
        <v>84</v>
      </c>
      <c r="I23" t="s">
        <v>275</v>
      </c>
      <c r="J23">
        <v>1</v>
      </c>
    </row>
    <row r="24" spans="1:10" x14ac:dyDescent="0.3">
      <c r="A24" s="2" t="s">
        <v>85</v>
      </c>
      <c r="I24" t="s">
        <v>276</v>
      </c>
      <c r="J24">
        <v>1</v>
      </c>
    </row>
    <row r="25" spans="1:10" ht="15.6" x14ac:dyDescent="0.3">
      <c r="A25" s="2" t="s">
        <v>86</v>
      </c>
      <c r="I25" t="s">
        <v>277</v>
      </c>
      <c r="J25">
        <v>1</v>
      </c>
    </row>
    <row r="26" spans="1:10" x14ac:dyDescent="0.3">
      <c r="A26" s="2" t="s">
        <v>87</v>
      </c>
      <c r="I26" t="s">
        <v>278</v>
      </c>
      <c r="J26">
        <v>1</v>
      </c>
    </row>
    <row r="27" spans="1:10" ht="15.6" x14ac:dyDescent="0.3">
      <c r="A27" s="2" t="s">
        <v>101</v>
      </c>
      <c r="I27" t="s">
        <v>92</v>
      </c>
      <c r="J27">
        <v>1</v>
      </c>
    </row>
    <row r="28" spans="1:10" ht="15.6" x14ac:dyDescent="0.3">
      <c r="A28" s="2" t="s">
        <v>119</v>
      </c>
      <c r="I28" t="s">
        <v>279</v>
      </c>
      <c r="J28">
        <v>1</v>
      </c>
    </row>
    <row r="29" spans="1:10" ht="15.6" x14ac:dyDescent="0.3">
      <c r="A29" s="2" t="s">
        <v>121</v>
      </c>
      <c r="I29" t="s">
        <v>280</v>
      </c>
      <c r="J29">
        <v>1</v>
      </c>
    </row>
    <row r="30" spans="1:10" ht="15.6" x14ac:dyDescent="0.3">
      <c r="A30" s="2" t="s">
        <v>124</v>
      </c>
      <c r="I30" t="s">
        <v>281</v>
      </c>
      <c r="J30">
        <v>1</v>
      </c>
    </row>
    <row r="31" spans="1:10" ht="15.6" x14ac:dyDescent="0.3">
      <c r="A31" s="2" t="s">
        <v>126</v>
      </c>
      <c r="I31" t="s">
        <v>282</v>
      </c>
      <c r="J31">
        <v>1</v>
      </c>
    </row>
    <row r="32" spans="1:10" ht="15.6" x14ac:dyDescent="0.3">
      <c r="A32" s="2" t="s">
        <v>127</v>
      </c>
      <c r="I32" t="s">
        <v>283</v>
      </c>
      <c r="J32">
        <v>1</v>
      </c>
    </row>
    <row r="33" spans="14:15" ht="14.1" x14ac:dyDescent="0.3">
      <c r="N33" t="s">
        <v>224</v>
      </c>
      <c r="O33" t="s">
        <v>284</v>
      </c>
    </row>
    <row r="34" spans="14:15" ht="14.1" x14ac:dyDescent="0.3">
      <c r="N34" t="s">
        <v>201</v>
      </c>
      <c r="O34">
        <v>2</v>
      </c>
    </row>
    <row r="35" spans="14:15" ht="14.1" x14ac:dyDescent="0.3">
      <c r="N35" t="s">
        <v>282</v>
      </c>
      <c r="O35">
        <v>2</v>
      </c>
    </row>
    <row r="36" spans="14:15" ht="14.1" x14ac:dyDescent="0.3">
      <c r="N36" t="s">
        <v>285</v>
      </c>
      <c r="O36">
        <v>2</v>
      </c>
    </row>
    <row r="37" spans="14:15" ht="14.1" x14ac:dyDescent="0.3">
      <c r="N37" t="s">
        <v>286</v>
      </c>
      <c r="O37">
        <v>2</v>
      </c>
    </row>
    <row r="38" spans="14:15" ht="14.1" x14ac:dyDescent="0.3">
      <c r="N38" t="s">
        <v>104</v>
      </c>
      <c r="O38">
        <v>2</v>
      </c>
    </row>
    <row r="39" spans="14:15" ht="14.1" x14ac:dyDescent="0.3">
      <c r="N39" t="s">
        <v>103</v>
      </c>
      <c r="O39">
        <v>2</v>
      </c>
    </row>
    <row r="40" spans="14:15" ht="14.1" x14ac:dyDescent="0.3">
      <c r="N40" t="s">
        <v>280</v>
      </c>
      <c r="O40">
        <v>2</v>
      </c>
    </row>
    <row r="41" spans="14:15" x14ac:dyDescent="0.3">
      <c r="N41" t="s">
        <v>287</v>
      </c>
      <c r="O41">
        <v>2</v>
      </c>
    </row>
    <row r="42" spans="14:15" x14ac:dyDescent="0.3">
      <c r="N42" t="s">
        <v>288</v>
      </c>
      <c r="O42">
        <v>2</v>
      </c>
    </row>
    <row r="43" spans="14:15" x14ac:dyDescent="0.3">
      <c r="N43" t="s">
        <v>289</v>
      </c>
      <c r="O43">
        <v>2</v>
      </c>
    </row>
    <row r="44" spans="14:15" x14ac:dyDescent="0.3">
      <c r="N44" t="s">
        <v>290</v>
      </c>
      <c r="O44">
        <v>2</v>
      </c>
    </row>
    <row r="45" spans="14:15" x14ac:dyDescent="0.3">
      <c r="N45" t="s">
        <v>291</v>
      </c>
      <c r="O45">
        <v>2</v>
      </c>
    </row>
    <row r="46" spans="14:15" x14ac:dyDescent="0.3">
      <c r="N46" t="s">
        <v>292</v>
      </c>
      <c r="O46">
        <v>2</v>
      </c>
    </row>
    <row r="47" spans="14:15" x14ac:dyDescent="0.3">
      <c r="N47" t="s">
        <v>293</v>
      </c>
      <c r="O47">
        <v>2</v>
      </c>
    </row>
    <row r="48" spans="14:15" x14ac:dyDescent="0.3">
      <c r="N48" t="s">
        <v>294</v>
      </c>
      <c r="O48">
        <v>2</v>
      </c>
    </row>
    <row r="49" spans="14:15" x14ac:dyDescent="0.3">
      <c r="N49" t="s">
        <v>279</v>
      </c>
      <c r="O49">
        <v>2</v>
      </c>
    </row>
    <row r="50" spans="14:15" x14ac:dyDescent="0.3">
      <c r="N50" t="s">
        <v>92</v>
      </c>
      <c r="O50">
        <v>2</v>
      </c>
    </row>
    <row r="51" spans="14:15" x14ac:dyDescent="0.3">
      <c r="N51" t="s">
        <v>295</v>
      </c>
      <c r="O51">
        <v>2</v>
      </c>
    </row>
    <row r="52" spans="14:15" x14ac:dyDescent="0.3">
      <c r="N52" t="s">
        <v>296</v>
      </c>
      <c r="O52">
        <v>2</v>
      </c>
    </row>
    <row r="53" spans="14:15" x14ac:dyDescent="0.3">
      <c r="N53" t="s">
        <v>297</v>
      </c>
      <c r="O53">
        <v>2</v>
      </c>
    </row>
    <row r="54" spans="14:15" x14ac:dyDescent="0.3">
      <c r="N54" t="s">
        <v>298</v>
      </c>
      <c r="O54">
        <v>2</v>
      </c>
    </row>
    <row r="55" spans="14:15" x14ac:dyDescent="0.3">
      <c r="N55" t="s">
        <v>299</v>
      </c>
      <c r="O55">
        <v>2</v>
      </c>
    </row>
    <row r="56" spans="14:15" x14ac:dyDescent="0.3">
      <c r="N56" t="s">
        <v>300</v>
      </c>
      <c r="O56">
        <v>2</v>
      </c>
    </row>
    <row r="57" spans="14:15" x14ac:dyDescent="0.3">
      <c r="N57" t="s">
        <v>301</v>
      </c>
      <c r="O57">
        <v>2</v>
      </c>
    </row>
    <row r="58" spans="14:15" x14ac:dyDescent="0.3">
      <c r="N58" t="s">
        <v>302</v>
      </c>
      <c r="O58">
        <v>2</v>
      </c>
    </row>
    <row r="59" spans="14:15" x14ac:dyDescent="0.3">
      <c r="N59" t="s">
        <v>303</v>
      </c>
      <c r="O59">
        <v>2</v>
      </c>
    </row>
    <row r="60" spans="14:15" x14ac:dyDescent="0.3">
      <c r="N60" t="s">
        <v>304</v>
      </c>
      <c r="O60">
        <v>2</v>
      </c>
    </row>
    <row r="61" spans="14:15" x14ac:dyDescent="0.3">
      <c r="N61" t="s">
        <v>305</v>
      </c>
      <c r="O61">
        <v>2</v>
      </c>
    </row>
    <row r="62" spans="14:15" x14ac:dyDescent="0.3">
      <c r="N62" t="s">
        <v>306</v>
      </c>
      <c r="O62">
        <v>2</v>
      </c>
    </row>
    <row r="63" spans="14:15" x14ac:dyDescent="0.3">
      <c r="N63" t="s">
        <v>307</v>
      </c>
      <c r="O63">
        <v>2</v>
      </c>
    </row>
    <row r="64" spans="14:15" x14ac:dyDescent="0.3">
      <c r="N64" t="s">
        <v>308</v>
      </c>
      <c r="O64">
        <v>2</v>
      </c>
    </row>
    <row r="65" spans="14:15" x14ac:dyDescent="0.3">
      <c r="N65" t="s">
        <v>309</v>
      </c>
      <c r="O65">
        <v>2</v>
      </c>
    </row>
    <row r="66" spans="14:15" x14ac:dyDescent="0.3">
      <c r="N66" t="s">
        <v>310</v>
      </c>
      <c r="O66">
        <v>2</v>
      </c>
    </row>
    <row r="67" spans="14:15" x14ac:dyDescent="0.3">
      <c r="N67" t="s">
        <v>311</v>
      </c>
      <c r="O67">
        <v>2</v>
      </c>
    </row>
    <row r="68" spans="14:15" x14ac:dyDescent="0.3">
      <c r="N68" t="s">
        <v>312</v>
      </c>
      <c r="O68">
        <v>2</v>
      </c>
    </row>
    <row r="69" spans="14:15" x14ac:dyDescent="0.3">
      <c r="N69" t="s">
        <v>313</v>
      </c>
      <c r="O69">
        <v>2</v>
      </c>
    </row>
    <row r="70" spans="14:15" x14ac:dyDescent="0.3">
      <c r="N70" t="s">
        <v>314</v>
      </c>
      <c r="O70">
        <v>2</v>
      </c>
    </row>
    <row r="71" spans="14:15" x14ac:dyDescent="0.3">
      <c r="N71" t="s">
        <v>265</v>
      </c>
      <c r="O71">
        <v>2</v>
      </c>
    </row>
    <row r="72" spans="14:15" x14ac:dyDescent="0.3">
      <c r="N72" t="s">
        <v>315</v>
      </c>
      <c r="O72">
        <v>2</v>
      </c>
    </row>
    <row r="73" spans="14:15" x14ac:dyDescent="0.3">
      <c r="N73" t="s">
        <v>316</v>
      </c>
      <c r="O73">
        <v>2</v>
      </c>
    </row>
    <row r="74" spans="14:15" x14ac:dyDescent="0.3">
      <c r="N74" t="s">
        <v>314</v>
      </c>
      <c r="O74">
        <v>2</v>
      </c>
    </row>
    <row r="75" spans="14:15" x14ac:dyDescent="0.3">
      <c r="N75" t="s">
        <v>317</v>
      </c>
      <c r="O75">
        <v>2</v>
      </c>
    </row>
    <row r="76" spans="14:15" x14ac:dyDescent="0.3">
      <c r="N76" t="s">
        <v>318</v>
      </c>
      <c r="O76">
        <v>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opLeftCell="A4" workbookViewId="0">
      <selection activeCell="C2" sqref="C2:C35"/>
    </sheetView>
  </sheetViews>
  <sheetFormatPr baseColWidth="10" defaultRowHeight="16.5" x14ac:dyDescent="0.3"/>
  <cols>
    <col min="1" max="1" width="31.140625" bestFit="1" customWidth="1"/>
    <col min="3" max="3" width="38.85546875" customWidth="1"/>
    <col min="4" max="4" width="13.5703125" customWidth="1"/>
    <col min="7" max="7" width="16.140625" bestFit="1" customWidth="1"/>
  </cols>
  <sheetData>
    <row r="1" spans="1:7" ht="14.1" x14ac:dyDescent="0.3">
      <c r="A1" s="25" t="s">
        <v>224</v>
      </c>
      <c r="B1" s="25" t="s">
        <v>284</v>
      </c>
      <c r="C1" s="25" t="s">
        <v>216</v>
      </c>
      <c r="D1" s="25" t="s">
        <v>23</v>
      </c>
    </row>
    <row r="2" spans="1:7" ht="15.6" x14ac:dyDescent="0.3">
      <c r="A2" s="19" t="s">
        <v>319</v>
      </c>
      <c r="B2" s="19">
        <v>11</v>
      </c>
      <c r="C2" s="22">
        <v>1</v>
      </c>
      <c r="D2" s="27" t="s">
        <v>74</v>
      </c>
      <c r="F2" s="1">
        <v>1</v>
      </c>
      <c r="G2" s="3" t="s">
        <v>86</v>
      </c>
    </row>
    <row r="3" spans="1:7" ht="15.6" x14ac:dyDescent="0.3">
      <c r="A3" s="21" t="s">
        <v>330</v>
      </c>
      <c r="B3" s="19">
        <v>2</v>
      </c>
      <c r="C3" s="30">
        <v>2</v>
      </c>
      <c r="D3" s="20" t="s">
        <v>114</v>
      </c>
      <c r="F3" s="1">
        <v>2</v>
      </c>
      <c r="G3" s="3" t="s">
        <v>104</v>
      </c>
    </row>
    <row r="4" spans="1:7" x14ac:dyDescent="0.3">
      <c r="A4" s="19" t="s">
        <v>327</v>
      </c>
      <c r="B4" s="19">
        <v>4</v>
      </c>
      <c r="C4" s="30">
        <v>2</v>
      </c>
      <c r="D4" s="20" t="s">
        <v>96</v>
      </c>
      <c r="F4" s="1">
        <v>2</v>
      </c>
    </row>
    <row r="5" spans="1:7" ht="15.6" x14ac:dyDescent="0.3">
      <c r="A5" s="19" t="s">
        <v>344</v>
      </c>
      <c r="B5" s="19">
        <v>6</v>
      </c>
      <c r="C5" s="24">
        <v>3</v>
      </c>
      <c r="D5" s="26" t="s">
        <v>72</v>
      </c>
      <c r="F5" s="1">
        <v>3</v>
      </c>
      <c r="G5" s="3" t="s">
        <v>83</v>
      </c>
    </row>
    <row r="6" spans="1:7" ht="15.6" x14ac:dyDescent="0.3">
      <c r="A6" s="19" t="s">
        <v>335</v>
      </c>
      <c r="B6" s="19">
        <v>5</v>
      </c>
      <c r="C6" s="30">
        <v>3</v>
      </c>
      <c r="D6" s="28" t="s">
        <v>60</v>
      </c>
      <c r="F6" s="1">
        <v>3</v>
      </c>
    </row>
    <row r="7" spans="1:7" ht="15.6" x14ac:dyDescent="0.3">
      <c r="A7" s="19" t="s">
        <v>334</v>
      </c>
      <c r="B7" s="19">
        <v>5</v>
      </c>
      <c r="C7" s="30">
        <v>4</v>
      </c>
      <c r="D7" s="28" t="s">
        <v>111</v>
      </c>
      <c r="F7" s="1">
        <v>4</v>
      </c>
      <c r="G7" s="3" t="s">
        <v>119</v>
      </c>
    </row>
    <row r="8" spans="1:7" x14ac:dyDescent="0.3">
      <c r="A8" s="19" t="s">
        <v>345</v>
      </c>
      <c r="B8" s="19">
        <v>6</v>
      </c>
      <c r="C8" s="24">
        <v>5</v>
      </c>
      <c r="D8" s="26" t="s">
        <v>73</v>
      </c>
      <c r="F8" s="1">
        <v>5</v>
      </c>
      <c r="G8" s="3" t="s">
        <v>85</v>
      </c>
    </row>
    <row r="9" spans="1:7" x14ac:dyDescent="0.3">
      <c r="A9" s="19" t="s">
        <v>320</v>
      </c>
      <c r="B9" s="19">
        <v>1</v>
      </c>
      <c r="C9" s="30">
        <v>6</v>
      </c>
      <c r="D9" s="20" t="s">
        <v>74</v>
      </c>
      <c r="F9" s="1">
        <v>6</v>
      </c>
      <c r="G9" s="3" t="s">
        <v>93</v>
      </c>
    </row>
    <row r="10" spans="1:7" ht="15.6" x14ac:dyDescent="0.3">
      <c r="A10" s="19" t="s">
        <v>337</v>
      </c>
      <c r="B10" s="19">
        <v>5</v>
      </c>
      <c r="C10" s="30">
        <v>7</v>
      </c>
      <c r="D10" s="28" t="s">
        <v>62</v>
      </c>
      <c r="F10" s="1">
        <v>7</v>
      </c>
      <c r="G10" s="3" t="s">
        <v>121</v>
      </c>
    </row>
    <row r="11" spans="1:7" ht="15.6" x14ac:dyDescent="0.3">
      <c r="A11" s="19" t="s">
        <v>341</v>
      </c>
      <c r="B11" s="19">
        <v>6</v>
      </c>
      <c r="C11" s="30">
        <v>8</v>
      </c>
      <c r="D11" s="28" t="s">
        <v>66</v>
      </c>
      <c r="F11" s="1">
        <v>8</v>
      </c>
      <c r="G11" s="3" t="s">
        <v>127</v>
      </c>
    </row>
    <row r="12" spans="1:7" ht="15.6" x14ac:dyDescent="0.3">
      <c r="A12" s="19" t="s">
        <v>338</v>
      </c>
      <c r="B12" s="19">
        <v>6</v>
      </c>
      <c r="C12" s="30">
        <v>9</v>
      </c>
      <c r="D12" s="28" t="s">
        <v>8</v>
      </c>
      <c r="F12" s="1">
        <v>9</v>
      </c>
      <c r="G12" s="3" t="s">
        <v>122</v>
      </c>
    </row>
    <row r="13" spans="1:7" x14ac:dyDescent="0.3">
      <c r="A13" s="19" t="s">
        <v>322</v>
      </c>
      <c r="B13" s="19">
        <v>1</v>
      </c>
      <c r="C13" s="30">
        <v>8</v>
      </c>
      <c r="D13" s="20" t="s">
        <v>75</v>
      </c>
      <c r="F13" s="1">
        <v>8</v>
      </c>
      <c r="G13" s="3" t="s">
        <v>91</v>
      </c>
    </row>
    <row r="14" spans="1:7" ht="15.6" x14ac:dyDescent="0.3">
      <c r="A14" s="19" t="s">
        <v>339</v>
      </c>
      <c r="B14" s="19">
        <v>5</v>
      </c>
      <c r="C14" s="30">
        <v>9</v>
      </c>
      <c r="D14" s="28" t="s">
        <v>64</v>
      </c>
      <c r="F14" s="1">
        <v>9</v>
      </c>
      <c r="G14" s="3" t="s">
        <v>124</v>
      </c>
    </row>
    <row r="15" spans="1:7" ht="15.6" x14ac:dyDescent="0.3">
      <c r="A15" s="19" t="s">
        <v>347</v>
      </c>
      <c r="B15" s="19">
        <v>6</v>
      </c>
      <c r="C15" s="30">
        <v>10</v>
      </c>
      <c r="D15" s="28" t="s">
        <v>34</v>
      </c>
      <c r="F15" s="1">
        <v>10</v>
      </c>
      <c r="G15" s="3" t="s">
        <v>343</v>
      </c>
    </row>
    <row r="16" spans="1:7" ht="15.6" x14ac:dyDescent="0.3">
      <c r="A16" s="19" t="s">
        <v>342</v>
      </c>
      <c r="B16" s="19">
        <v>8</v>
      </c>
      <c r="C16" s="30">
        <v>11</v>
      </c>
      <c r="D16" s="28" t="s">
        <v>97</v>
      </c>
      <c r="F16" s="1">
        <v>11</v>
      </c>
      <c r="G16" s="3" t="s">
        <v>101</v>
      </c>
    </row>
    <row r="17" spans="1:7" ht="15.6" x14ac:dyDescent="0.3">
      <c r="A17" s="19" t="s">
        <v>10</v>
      </c>
      <c r="B17" s="19">
        <v>14</v>
      </c>
      <c r="C17" s="30">
        <v>12</v>
      </c>
      <c r="D17" s="20" t="s">
        <v>72</v>
      </c>
      <c r="F17" s="1">
        <v>12</v>
      </c>
      <c r="G17" s="3" t="s">
        <v>82</v>
      </c>
    </row>
    <row r="18" spans="1:7" x14ac:dyDescent="0.3">
      <c r="A18" s="19" t="s">
        <v>325</v>
      </c>
      <c r="B18" s="19">
        <v>1</v>
      </c>
      <c r="C18" s="30">
        <v>13</v>
      </c>
      <c r="D18" s="20" t="s">
        <v>78</v>
      </c>
      <c r="F18" s="1">
        <v>13</v>
      </c>
      <c r="G18" s="3" t="s">
        <v>89</v>
      </c>
    </row>
    <row r="19" spans="1:7" ht="15.6" x14ac:dyDescent="0.3">
      <c r="A19" s="19" t="s">
        <v>11</v>
      </c>
      <c r="B19" s="19">
        <v>13</v>
      </c>
      <c r="C19" s="30">
        <v>14</v>
      </c>
      <c r="D19" s="20" t="s">
        <v>55</v>
      </c>
      <c r="F19" s="1">
        <v>14</v>
      </c>
      <c r="G19" s="3" t="s">
        <v>94</v>
      </c>
    </row>
    <row r="20" spans="1:7" x14ac:dyDescent="0.3">
      <c r="A20" s="19" t="s">
        <v>321</v>
      </c>
      <c r="B20" s="19">
        <v>1</v>
      </c>
      <c r="C20" s="30">
        <v>15</v>
      </c>
      <c r="D20" s="20" t="s">
        <v>34</v>
      </c>
      <c r="F20" s="1">
        <v>15</v>
      </c>
      <c r="G20" s="3" t="s">
        <v>92</v>
      </c>
    </row>
    <row r="21" spans="1:7" ht="15.6" x14ac:dyDescent="0.3">
      <c r="A21" s="21" t="s">
        <v>349</v>
      </c>
      <c r="B21" s="19">
        <v>7</v>
      </c>
      <c r="C21" s="30">
        <v>16</v>
      </c>
      <c r="D21" s="20" t="s">
        <v>64</v>
      </c>
      <c r="F21" s="1">
        <v>16</v>
      </c>
      <c r="G21" s="3" t="s">
        <v>123</v>
      </c>
    </row>
    <row r="22" spans="1:7" ht="15.6" x14ac:dyDescent="0.3">
      <c r="A22" s="21" t="s">
        <v>350</v>
      </c>
      <c r="B22" s="19">
        <v>7</v>
      </c>
      <c r="C22" s="30">
        <v>17</v>
      </c>
      <c r="D22" s="20" t="s">
        <v>113</v>
      </c>
      <c r="F22" s="1">
        <v>17</v>
      </c>
      <c r="G22" s="3" t="s">
        <v>128</v>
      </c>
    </row>
    <row r="23" spans="1:7" x14ac:dyDescent="0.3">
      <c r="A23" s="19" t="s">
        <v>324</v>
      </c>
      <c r="B23" s="19">
        <v>1</v>
      </c>
      <c r="C23" s="30">
        <v>18</v>
      </c>
      <c r="D23" s="20" t="s">
        <v>77</v>
      </c>
      <c r="F23" s="1">
        <v>18</v>
      </c>
      <c r="G23" s="3" t="s">
        <v>88</v>
      </c>
    </row>
    <row r="24" spans="1:7" ht="15.6" x14ac:dyDescent="0.3">
      <c r="A24" s="19" t="s">
        <v>348</v>
      </c>
      <c r="B24" s="19">
        <v>8</v>
      </c>
      <c r="C24" s="24">
        <v>18</v>
      </c>
      <c r="D24" s="26" t="s">
        <v>75</v>
      </c>
      <c r="F24" s="1">
        <v>18</v>
      </c>
    </row>
    <row r="25" spans="1:7" ht="15.6" x14ac:dyDescent="0.3">
      <c r="A25" s="19" t="s">
        <v>329</v>
      </c>
      <c r="B25" s="19">
        <v>2</v>
      </c>
      <c r="C25" s="30">
        <v>19</v>
      </c>
      <c r="D25" s="20" t="s">
        <v>62</v>
      </c>
      <c r="F25" s="1">
        <v>19</v>
      </c>
      <c r="G25" s="3" t="s">
        <v>120</v>
      </c>
    </row>
    <row r="26" spans="1:7" x14ac:dyDescent="0.3">
      <c r="A26" s="19" t="s">
        <v>328</v>
      </c>
      <c r="B26" s="19">
        <v>4</v>
      </c>
      <c r="C26" s="30">
        <v>20</v>
      </c>
      <c r="D26" s="20" t="s">
        <v>97</v>
      </c>
      <c r="F26" s="1">
        <v>20</v>
      </c>
      <c r="G26" s="3" t="s">
        <v>103</v>
      </c>
    </row>
    <row r="27" spans="1:7" ht="15.6" x14ac:dyDescent="0.3">
      <c r="A27" s="19" t="s">
        <v>340</v>
      </c>
      <c r="B27" s="19">
        <v>6</v>
      </c>
      <c r="C27" s="30">
        <v>21</v>
      </c>
      <c r="D27" s="28" t="s">
        <v>105</v>
      </c>
      <c r="F27" s="1">
        <v>21</v>
      </c>
      <c r="G27" s="3" t="s">
        <v>126</v>
      </c>
    </row>
    <row r="28" spans="1:7" ht="15.6" x14ac:dyDescent="0.3">
      <c r="A28" s="21" t="s">
        <v>333</v>
      </c>
      <c r="B28" s="19">
        <v>2</v>
      </c>
      <c r="C28" s="30">
        <v>22</v>
      </c>
      <c r="D28" s="20" t="s">
        <v>118</v>
      </c>
      <c r="F28" s="1">
        <v>22</v>
      </c>
      <c r="G28" s="3" t="s">
        <v>130</v>
      </c>
    </row>
    <row r="29" spans="1:7" ht="15.6" x14ac:dyDescent="0.3">
      <c r="A29" s="19" t="s">
        <v>326</v>
      </c>
      <c r="B29" s="19">
        <v>3</v>
      </c>
      <c r="C29" s="30">
        <v>23</v>
      </c>
      <c r="D29" s="20" t="s">
        <v>57</v>
      </c>
      <c r="F29" s="1">
        <v>23</v>
      </c>
      <c r="G29" s="3" t="s">
        <v>95</v>
      </c>
    </row>
    <row r="30" spans="1:7" ht="15.6" x14ac:dyDescent="0.3">
      <c r="A30" s="21" t="s">
        <v>332</v>
      </c>
      <c r="B30" s="19">
        <v>2</v>
      </c>
      <c r="C30" s="30">
        <v>24</v>
      </c>
      <c r="D30" s="20" t="s">
        <v>68</v>
      </c>
      <c r="F30" s="1">
        <v>24</v>
      </c>
      <c r="G30" s="3" t="s">
        <v>13</v>
      </c>
    </row>
    <row r="31" spans="1:7" ht="15.6" x14ac:dyDescent="0.3">
      <c r="A31" s="21" t="s">
        <v>331</v>
      </c>
      <c r="B31" s="19">
        <v>2</v>
      </c>
      <c r="C31" s="30">
        <v>25</v>
      </c>
      <c r="D31" s="20" t="s">
        <v>116</v>
      </c>
      <c r="F31" s="1">
        <v>25</v>
      </c>
      <c r="G31" s="3" t="s">
        <v>129</v>
      </c>
    </row>
    <row r="32" spans="1:7" x14ac:dyDescent="0.3">
      <c r="A32" s="19" t="s">
        <v>323</v>
      </c>
      <c r="B32" s="19">
        <v>1</v>
      </c>
      <c r="C32" s="30">
        <v>26</v>
      </c>
      <c r="D32" s="20" t="s">
        <v>76</v>
      </c>
      <c r="F32" s="1">
        <v>26</v>
      </c>
      <c r="G32" s="3" t="s">
        <v>90</v>
      </c>
    </row>
    <row r="33" spans="1:7" ht="15.6" x14ac:dyDescent="0.3">
      <c r="A33" s="19" t="s">
        <v>346</v>
      </c>
      <c r="B33" s="19">
        <v>6</v>
      </c>
      <c r="C33" s="24">
        <v>27</v>
      </c>
      <c r="D33" s="26" t="s">
        <v>32</v>
      </c>
      <c r="F33" s="1">
        <v>27</v>
      </c>
      <c r="G33" s="3" t="s">
        <v>84</v>
      </c>
    </row>
    <row r="34" spans="1:7" ht="15.6" x14ac:dyDescent="0.3">
      <c r="A34" s="19" t="s">
        <v>336</v>
      </c>
      <c r="B34" s="19">
        <v>5</v>
      </c>
      <c r="C34" s="30">
        <v>27</v>
      </c>
      <c r="D34" s="28" t="s">
        <v>109</v>
      </c>
      <c r="F34" s="1">
        <v>27</v>
      </c>
    </row>
    <row r="35" spans="1:7" ht="15.6" x14ac:dyDescent="0.3">
      <c r="A35" s="21" t="s">
        <v>351</v>
      </c>
      <c r="B35" s="19">
        <v>7</v>
      </c>
      <c r="C35" s="30">
        <v>28</v>
      </c>
      <c r="D35" s="20" t="s">
        <v>64</v>
      </c>
      <c r="F35" s="1">
        <v>28</v>
      </c>
      <c r="G35" s="3" t="s">
        <v>125</v>
      </c>
    </row>
    <row r="36" spans="1:7" ht="14.1" x14ac:dyDescent="0.3">
      <c r="A36" s="25" t="s">
        <v>205</v>
      </c>
      <c r="B36" s="25"/>
      <c r="C36" s="29"/>
      <c r="D36" s="25"/>
    </row>
    <row r="37" spans="1:7" ht="14.1" x14ac:dyDescent="0.3">
      <c r="A37" s="19"/>
      <c r="B37" s="19"/>
      <c r="C37" s="23"/>
      <c r="D37" s="20"/>
    </row>
  </sheetData>
  <autoFilter ref="A1:D37">
    <sortState ref="A2:D38">
      <sortCondition ref="C1:C38"/>
    </sortState>
  </autoFilter>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74"/>
  <sheetViews>
    <sheetView topLeftCell="A46" workbookViewId="0">
      <selection activeCell="I12" sqref="I12"/>
    </sheetView>
  </sheetViews>
  <sheetFormatPr baseColWidth="10" defaultColWidth="11.42578125" defaultRowHeight="16.5" x14ac:dyDescent="0.3"/>
  <cols>
    <col min="1" max="1" width="23.140625" style="10" bestFit="1" customWidth="1"/>
    <col min="2" max="30" width="15.140625" style="10" bestFit="1" customWidth="1"/>
    <col min="31" max="56" width="11.42578125" style="10"/>
    <col min="57" max="85" width="11" customWidth="1"/>
    <col min="86" max="16384" width="11.42578125" style="10"/>
  </cols>
  <sheetData>
    <row r="1" spans="1:56" s="10" customFormat="1" ht="15" x14ac:dyDescent="0.25">
      <c r="B1" s="12">
        <v>45806</v>
      </c>
      <c r="C1" s="12">
        <v>45805</v>
      </c>
      <c r="D1" s="12">
        <v>45804</v>
      </c>
      <c r="E1" s="12">
        <v>45803</v>
      </c>
      <c r="F1" s="12">
        <v>45802</v>
      </c>
      <c r="G1" s="12">
        <v>45801</v>
      </c>
      <c r="H1" s="12">
        <v>45800</v>
      </c>
      <c r="I1" s="12">
        <v>45799</v>
      </c>
      <c r="J1" s="12">
        <v>45798</v>
      </c>
      <c r="K1" s="12">
        <v>45797</v>
      </c>
      <c r="L1" s="12">
        <v>45796</v>
      </c>
      <c r="M1" s="12">
        <v>45795</v>
      </c>
      <c r="N1" s="12">
        <v>45794</v>
      </c>
      <c r="O1" s="12">
        <v>45793</v>
      </c>
      <c r="P1" s="12">
        <v>45792</v>
      </c>
      <c r="Q1" s="12">
        <v>45791</v>
      </c>
      <c r="R1" s="12">
        <v>45790</v>
      </c>
      <c r="S1" s="12">
        <v>45789</v>
      </c>
      <c r="T1" s="12">
        <v>45788</v>
      </c>
      <c r="U1" s="12">
        <v>45787</v>
      </c>
      <c r="V1" s="12">
        <v>45786</v>
      </c>
      <c r="W1" s="12">
        <v>45785</v>
      </c>
      <c r="X1" s="12">
        <v>45784</v>
      </c>
      <c r="Y1" s="12">
        <v>45783</v>
      </c>
      <c r="Z1" s="12">
        <v>45782</v>
      </c>
      <c r="AA1" s="12">
        <v>45781</v>
      </c>
      <c r="AB1" s="12">
        <v>45780</v>
      </c>
      <c r="AC1" s="12">
        <v>45779</v>
      </c>
      <c r="AD1" s="12">
        <v>45778</v>
      </c>
      <c r="AE1" s="12"/>
      <c r="AF1" s="12"/>
      <c r="AG1" s="12"/>
      <c r="AH1" s="12"/>
      <c r="AI1" s="12"/>
      <c r="AJ1" s="12"/>
      <c r="AK1" s="12"/>
      <c r="AL1" s="12"/>
      <c r="AM1" s="12"/>
      <c r="AN1" s="12"/>
      <c r="AO1" s="12"/>
      <c r="AP1" s="12"/>
      <c r="AQ1" s="12"/>
      <c r="AR1" s="12"/>
      <c r="AS1" s="12"/>
      <c r="AT1" s="12"/>
      <c r="AU1" s="12"/>
      <c r="AV1" s="12"/>
    </row>
    <row r="2" spans="1:56" s="10" customFormat="1" ht="15" x14ac:dyDescent="0.25">
      <c r="B2" s="13">
        <v>0</v>
      </c>
      <c r="C2" s="13">
        <v>11</v>
      </c>
      <c r="D2" s="13">
        <v>22</v>
      </c>
      <c r="E2" s="13">
        <v>33</v>
      </c>
      <c r="F2" s="13">
        <v>44</v>
      </c>
      <c r="G2" s="13">
        <v>55</v>
      </c>
      <c r="H2" s="13">
        <v>66</v>
      </c>
      <c r="I2" s="13">
        <v>77</v>
      </c>
      <c r="J2" s="13">
        <v>88</v>
      </c>
      <c r="K2" s="13">
        <v>99</v>
      </c>
      <c r="L2" s="13">
        <v>110</v>
      </c>
      <c r="M2" s="13">
        <v>121</v>
      </c>
      <c r="N2" s="13">
        <v>132</v>
      </c>
      <c r="O2" s="13">
        <v>143</v>
      </c>
      <c r="P2" s="13">
        <v>154</v>
      </c>
      <c r="Q2" s="13">
        <v>165</v>
      </c>
      <c r="R2" s="13">
        <v>176</v>
      </c>
      <c r="S2" s="13">
        <v>187</v>
      </c>
      <c r="T2" s="13">
        <v>198</v>
      </c>
      <c r="U2" s="13">
        <v>209</v>
      </c>
      <c r="V2" s="13">
        <v>220</v>
      </c>
      <c r="W2" s="13">
        <v>231</v>
      </c>
      <c r="X2" s="13">
        <v>242</v>
      </c>
      <c r="Y2" s="13">
        <v>253</v>
      </c>
      <c r="Z2" s="13">
        <v>264</v>
      </c>
      <c r="AA2" s="13">
        <v>275</v>
      </c>
      <c r="AB2" s="13">
        <v>286</v>
      </c>
      <c r="AC2" s="13">
        <v>297</v>
      </c>
      <c r="AD2" s="13">
        <v>308</v>
      </c>
      <c r="AE2" s="12"/>
      <c r="AF2" s="12"/>
      <c r="AG2" s="12"/>
      <c r="AH2" s="12"/>
      <c r="AI2" s="12"/>
      <c r="AJ2" s="12"/>
      <c r="AK2" s="12"/>
      <c r="AL2" s="12"/>
      <c r="AM2" s="12"/>
      <c r="AN2" s="12"/>
      <c r="AO2" s="12"/>
      <c r="AP2" s="12"/>
      <c r="AQ2" s="12"/>
      <c r="AR2" s="12"/>
      <c r="AS2" s="12"/>
      <c r="AT2" s="12"/>
      <c r="AU2" s="12"/>
      <c r="AV2" s="12"/>
    </row>
    <row r="3" spans="1:56" s="10" customFormat="1" x14ac:dyDescent="0.3">
      <c r="A3" s="10" t="s">
        <v>200</v>
      </c>
      <c r="B3" s="11">
        <v>12613139.999999998</v>
      </c>
      <c r="C3" s="11">
        <v>12613139.999999998</v>
      </c>
      <c r="D3" s="11">
        <v>12613139.999999998</v>
      </c>
      <c r="E3" s="11">
        <v>12613139.999999998</v>
      </c>
      <c r="F3" s="11">
        <v>12613139.999999998</v>
      </c>
      <c r="G3" s="11">
        <v>12613139.999999998</v>
      </c>
      <c r="H3" s="11">
        <v>12613139.999999998</v>
      </c>
      <c r="I3" s="11">
        <v>12613139.999999998</v>
      </c>
      <c r="J3" s="11">
        <v>12613139.999999998</v>
      </c>
      <c r="K3" s="11">
        <v>12613139.999999998</v>
      </c>
      <c r="L3" s="11">
        <v>12613139.999999998</v>
      </c>
      <c r="M3" s="11">
        <v>12613139.999999998</v>
      </c>
      <c r="N3" s="11">
        <v>12613139.999999998</v>
      </c>
      <c r="O3" s="11">
        <v>12613139.999999998</v>
      </c>
      <c r="P3" s="11">
        <v>12613139.999999998</v>
      </c>
      <c r="Q3" s="11">
        <v>12613139.999999998</v>
      </c>
      <c r="R3" s="11">
        <v>12613139.999999998</v>
      </c>
      <c r="S3" s="11">
        <v>12613139.999999998</v>
      </c>
      <c r="T3" s="11">
        <v>12613139.999999998</v>
      </c>
      <c r="U3" s="11">
        <v>12613139.999999998</v>
      </c>
      <c r="V3" s="11">
        <v>12613139.999999998</v>
      </c>
      <c r="W3" s="11">
        <v>12613139.999999998</v>
      </c>
      <c r="X3" s="11">
        <v>12613139.999999998</v>
      </c>
      <c r="Y3" s="11">
        <v>12613139.999999998</v>
      </c>
      <c r="Z3" s="11">
        <v>12613139.999999998</v>
      </c>
      <c r="AA3" s="11">
        <v>12613139.999999998</v>
      </c>
      <c r="AB3" s="11">
        <v>12613139.999999998</v>
      </c>
      <c r="AC3" s="11">
        <v>12613139.999999998</v>
      </c>
      <c r="AD3" s="11">
        <v>12613139.999999998</v>
      </c>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row>
    <row r="4" spans="1:56" s="10" customFormat="1" x14ac:dyDescent="0.3">
      <c r="A4" s="10" t="s">
        <v>199</v>
      </c>
      <c r="B4" s="11">
        <v>5912186</v>
      </c>
      <c r="C4" s="11">
        <v>5964186</v>
      </c>
      <c r="D4" s="11">
        <v>6080577</v>
      </c>
      <c r="E4" s="11">
        <v>7190638</v>
      </c>
      <c r="F4" s="11">
        <v>6965734</v>
      </c>
      <c r="G4" s="11">
        <v>6542558</v>
      </c>
      <c r="H4" s="11">
        <v>6834841</v>
      </c>
      <c r="I4" s="11">
        <v>7205785.0000000009</v>
      </c>
      <c r="J4" s="11">
        <v>6150093</v>
      </c>
      <c r="K4" s="11">
        <v>6085721</v>
      </c>
      <c r="L4" s="11">
        <v>5813556</v>
      </c>
      <c r="M4" s="11">
        <v>5996369</v>
      </c>
      <c r="N4" s="11">
        <v>5970121.0000000009</v>
      </c>
      <c r="O4" s="11">
        <v>6512115.0000000009</v>
      </c>
      <c r="P4" s="11">
        <v>6847017</v>
      </c>
      <c r="Q4" s="11">
        <v>6755343</v>
      </c>
      <c r="R4" s="11">
        <v>6136343.0000000009</v>
      </c>
      <c r="S4" s="11">
        <v>6359763</v>
      </c>
      <c r="T4" s="11">
        <v>6058270</v>
      </c>
      <c r="U4" s="11">
        <v>6050554.0000000009</v>
      </c>
      <c r="V4" s="11">
        <v>6316105.0000000009</v>
      </c>
      <c r="W4" s="11">
        <v>6120427</v>
      </c>
      <c r="X4" s="11">
        <v>6609949</v>
      </c>
      <c r="Y4" s="11">
        <v>6424683.9999999991</v>
      </c>
      <c r="Z4" s="11">
        <v>6301848</v>
      </c>
      <c r="AA4" s="11">
        <v>5719782</v>
      </c>
      <c r="AB4" s="11">
        <v>5505442</v>
      </c>
      <c r="AC4" s="11">
        <v>4870408</v>
      </c>
      <c r="AD4" s="11">
        <v>4981270</v>
      </c>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row>
    <row r="5" spans="1:56" s="10" customFormat="1" x14ac:dyDescent="0.3">
      <c r="A5" s="10" t="s">
        <v>198</v>
      </c>
      <c r="B5" s="11">
        <v>0</v>
      </c>
      <c r="C5" s="11">
        <v>0</v>
      </c>
      <c r="D5" s="11">
        <v>0</v>
      </c>
      <c r="E5" s="11">
        <v>0</v>
      </c>
      <c r="F5" s="11">
        <v>0</v>
      </c>
      <c r="G5" s="11">
        <v>0</v>
      </c>
      <c r="H5" s="11">
        <v>0</v>
      </c>
      <c r="I5" s="11">
        <v>0</v>
      </c>
      <c r="J5" s="11">
        <v>0</v>
      </c>
      <c r="K5" s="11">
        <v>0</v>
      </c>
      <c r="L5" s="11">
        <v>0</v>
      </c>
      <c r="M5" s="11">
        <v>0</v>
      </c>
      <c r="N5" s="11">
        <v>0</v>
      </c>
      <c r="O5" s="11">
        <v>0</v>
      </c>
      <c r="P5" s="11">
        <v>0</v>
      </c>
      <c r="Q5" s="11">
        <v>0</v>
      </c>
      <c r="R5" s="11">
        <v>0</v>
      </c>
      <c r="S5" s="11">
        <v>0</v>
      </c>
      <c r="T5" s="11">
        <v>0</v>
      </c>
      <c r="U5" s="11">
        <v>0</v>
      </c>
      <c r="V5" s="11">
        <v>0</v>
      </c>
      <c r="W5" s="11">
        <v>0</v>
      </c>
      <c r="X5" s="11">
        <v>0</v>
      </c>
      <c r="Y5" s="11">
        <v>0</v>
      </c>
      <c r="Z5" s="11">
        <v>0</v>
      </c>
      <c r="AA5" s="11">
        <v>0</v>
      </c>
      <c r="AB5" s="11">
        <v>0</v>
      </c>
      <c r="AC5" s="11">
        <v>0</v>
      </c>
      <c r="AD5" s="11">
        <v>0</v>
      </c>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row>
    <row r="6" spans="1:56" s="10" customFormat="1" x14ac:dyDescent="0.3">
      <c r="A6" s="10" t="s">
        <v>197</v>
      </c>
      <c r="B6" s="11">
        <v>10673433.25</v>
      </c>
      <c r="C6" s="11">
        <v>10673433.25</v>
      </c>
      <c r="D6" s="11">
        <v>10673433.25</v>
      </c>
      <c r="E6" s="11">
        <v>10673433.25</v>
      </c>
      <c r="F6" s="11">
        <v>10673433.25</v>
      </c>
      <c r="G6" s="11">
        <v>10673433.25</v>
      </c>
      <c r="H6" s="11">
        <v>10673433.25</v>
      </c>
      <c r="I6" s="11">
        <v>10673433.25</v>
      </c>
      <c r="J6" s="11">
        <v>10673433.25</v>
      </c>
      <c r="K6" s="11">
        <v>10673433.25</v>
      </c>
      <c r="L6" s="11">
        <v>10673433.25</v>
      </c>
      <c r="M6" s="11">
        <v>10673433.25</v>
      </c>
      <c r="N6" s="11">
        <v>10673433.25</v>
      </c>
      <c r="O6" s="11">
        <v>10673433.25</v>
      </c>
      <c r="P6" s="11">
        <v>10673433.25</v>
      </c>
      <c r="Q6" s="11">
        <v>10673433.25</v>
      </c>
      <c r="R6" s="11">
        <v>10673433.25</v>
      </c>
      <c r="S6" s="11">
        <v>10673433.25</v>
      </c>
      <c r="T6" s="11">
        <v>10673433.25</v>
      </c>
      <c r="U6" s="11">
        <v>10673433.25</v>
      </c>
      <c r="V6" s="11">
        <v>10673433.25</v>
      </c>
      <c r="W6" s="11">
        <v>10673433.25</v>
      </c>
      <c r="X6" s="11">
        <v>10673433.25</v>
      </c>
      <c r="Y6" s="11">
        <v>10673433.25</v>
      </c>
      <c r="Z6" s="11">
        <v>10673433.25</v>
      </c>
      <c r="AA6" s="11">
        <v>10673433.25</v>
      </c>
      <c r="AB6" s="11">
        <v>10673433.25</v>
      </c>
      <c r="AC6" s="11">
        <v>10673433.25</v>
      </c>
      <c r="AD6" s="11">
        <v>10673433.25</v>
      </c>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row>
    <row r="7" spans="1:56" s="10" customFormat="1" x14ac:dyDescent="0.3">
      <c r="A7" s="10" t="s">
        <v>196</v>
      </c>
      <c r="B7" s="11">
        <v>13562223</v>
      </c>
      <c r="C7" s="11">
        <v>13511514</v>
      </c>
      <c r="D7" s="11">
        <v>13497464</v>
      </c>
      <c r="E7" s="11">
        <v>13415738</v>
      </c>
      <c r="F7" s="11">
        <v>13492224</v>
      </c>
      <c r="G7" s="11">
        <v>13469287</v>
      </c>
      <c r="H7" s="11">
        <v>13505954</v>
      </c>
      <c r="I7" s="11">
        <v>13571436</v>
      </c>
      <c r="J7" s="11">
        <v>13443880</v>
      </c>
      <c r="K7" s="11">
        <v>13653778</v>
      </c>
      <c r="L7" s="11">
        <v>12577724</v>
      </c>
      <c r="M7" s="11">
        <v>13695414</v>
      </c>
      <c r="N7" s="11">
        <v>13223359</v>
      </c>
      <c r="O7" s="11">
        <v>12777516</v>
      </c>
      <c r="P7" s="11">
        <v>13495058</v>
      </c>
      <c r="Q7" s="11">
        <v>13851992</v>
      </c>
      <c r="R7" s="11">
        <v>13976688</v>
      </c>
      <c r="S7" s="11">
        <v>13929486</v>
      </c>
      <c r="T7" s="11">
        <v>13867287</v>
      </c>
      <c r="U7" s="11">
        <v>14058767</v>
      </c>
      <c r="V7" s="11">
        <v>13965643</v>
      </c>
      <c r="W7" s="11">
        <v>11226257</v>
      </c>
      <c r="X7" s="11">
        <v>13072182</v>
      </c>
      <c r="Y7" s="11">
        <v>10369694</v>
      </c>
      <c r="Z7" s="11">
        <v>8941213</v>
      </c>
      <c r="AA7" s="11">
        <v>7172645</v>
      </c>
      <c r="AB7" s="11">
        <v>5989167</v>
      </c>
      <c r="AC7" s="11">
        <v>6138167</v>
      </c>
      <c r="AD7" s="11">
        <v>6239967</v>
      </c>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row>
    <row r="8" spans="1:56" s="10" customFormat="1" x14ac:dyDescent="0.3">
      <c r="A8" s="10" t="s">
        <v>195</v>
      </c>
      <c r="B8" s="11">
        <v>0</v>
      </c>
      <c r="C8" s="11">
        <v>0</v>
      </c>
      <c r="D8" s="11">
        <v>0</v>
      </c>
      <c r="E8" s="11">
        <v>0</v>
      </c>
      <c r="F8" s="11">
        <v>0</v>
      </c>
      <c r="G8" s="11">
        <v>0</v>
      </c>
      <c r="H8" s="11">
        <v>0</v>
      </c>
      <c r="I8" s="11">
        <v>0</v>
      </c>
      <c r="J8" s="11">
        <v>0</v>
      </c>
      <c r="K8" s="11">
        <v>0</v>
      </c>
      <c r="L8" s="11">
        <v>0</v>
      </c>
      <c r="M8" s="11">
        <v>0</v>
      </c>
      <c r="N8" s="11">
        <v>0</v>
      </c>
      <c r="O8" s="11">
        <v>0</v>
      </c>
      <c r="P8" s="11">
        <v>0</v>
      </c>
      <c r="Q8" s="11">
        <v>0</v>
      </c>
      <c r="R8" s="11">
        <v>0</v>
      </c>
      <c r="S8" s="11">
        <v>0</v>
      </c>
      <c r="T8" s="11">
        <v>0</v>
      </c>
      <c r="U8" s="11">
        <v>0</v>
      </c>
      <c r="V8" s="11">
        <v>0</v>
      </c>
      <c r="W8" s="11">
        <v>0</v>
      </c>
      <c r="X8" s="11">
        <v>0</v>
      </c>
      <c r="Y8" s="11">
        <v>0</v>
      </c>
      <c r="Z8" s="11">
        <v>0</v>
      </c>
      <c r="AA8" s="11">
        <v>0</v>
      </c>
      <c r="AB8" s="11">
        <v>0</v>
      </c>
      <c r="AC8" s="11">
        <v>0</v>
      </c>
      <c r="AD8" s="11">
        <v>0</v>
      </c>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row>
    <row r="9" spans="1:56" s="10" customFormat="1" x14ac:dyDescent="0.3">
      <c r="A9" s="10" t="s">
        <v>194</v>
      </c>
      <c r="B9" s="11">
        <v>13408128</v>
      </c>
      <c r="C9" s="11">
        <v>13408128</v>
      </c>
      <c r="D9" s="11">
        <v>13408128</v>
      </c>
      <c r="E9" s="11">
        <v>13408128</v>
      </c>
      <c r="F9" s="11">
        <v>13408128</v>
      </c>
      <c r="G9" s="11">
        <v>13408128</v>
      </c>
      <c r="H9" s="11">
        <v>13408128</v>
      </c>
      <c r="I9" s="11">
        <v>13408128</v>
      </c>
      <c r="J9" s="11">
        <v>13408128</v>
      </c>
      <c r="K9" s="11">
        <v>13408128</v>
      </c>
      <c r="L9" s="11">
        <v>13408128</v>
      </c>
      <c r="M9" s="11">
        <v>13408128</v>
      </c>
      <c r="N9" s="11">
        <v>13408128</v>
      </c>
      <c r="O9" s="11">
        <v>13408128</v>
      </c>
      <c r="P9" s="11">
        <v>13408128</v>
      </c>
      <c r="Q9" s="11">
        <v>13408128</v>
      </c>
      <c r="R9" s="11">
        <v>13408128</v>
      </c>
      <c r="S9" s="11">
        <v>13408128</v>
      </c>
      <c r="T9" s="11">
        <v>13408128</v>
      </c>
      <c r="U9" s="11">
        <v>13408128</v>
      </c>
      <c r="V9" s="11">
        <v>13408128</v>
      </c>
      <c r="W9" s="11">
        <v>13408128</v>
      </c>
      <c r="X9" s="11">
        <v>13408128</v>
      </c>
      <c r="Y9" s="11">
        <v>13408128</v>
      </c>
      <c r="Z9" s="11">
        <v>13408128</v>
      </c>
      <c r="AA9" s="11">
        <v>13408128</v>
      </c>
      <c r="AB9" s="11">
        <v>13408128</v>
      </c>
      <c r="AC9" s="11">
        <v>13408128</v>
      </c>
      <c r="AD9" s="11">
        <v>13408128</v>
      </c>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row>
    <row r="10" spans="1:56" s="10" customFormat="1" x14ac:dyDescent="0.3">
      <c r="A10" s="10" t="s">
        <v>193</v>
      </c>
      <c r="B10" s="11">
        <v>20505551</v>
      </c>
      <c r="C10" s="11">
        <v>20499343</v>
      </c>
      <c r="D10" s="11">
        <v>21602054</v>
      </c>
      <c r="E10" s="11">
        <v>21091342</v>
      </c>
      <c r="F10" s="11">
        <v>20497159</v>
      </c>
      <c r="G10" s="11">
        <v>20517630</v>
      </c>
      <c r="H10" s="11">
        <v>22257964</v>
      </c>
      <c r="I10" s="11">
        <v>24049086</v>
      </c>
      <c r="J10" s="11">
        <v>22211927</v>
      </c>
      <c r="K10" s="11">
        <v>19083158</v>
      </c>
      <c r="L10" s="11">
        <v>14605237</v>
      </c>
      <c r="M10" s="11">
        <v>15154990</v>
      </c>
      <c r="N10" s="11">
        <v>14505139</v>
      </c>
      <c r="O10" s="11">
        <v>15311950</v>
      </c>
      <c r="P10" s="11">
        <v>17469392</v>
      </c>
      <c r="Q10" s="11">
        <v>20147229</v>
      </c>
      <c r="R10" s="11">
        <v>20427840</v>
      </c>
      <c r="S10" s="11">
        <v>20708334</v>
      </c>
      <c r="T10" s="11">
        <v>20203367</v>
      </c>
      <c r="U10" s="11">
        <v>19643596</v>
      </c>
      <c r="V10" s="11">
        <v>19906480</v>
      </c>
      <c r="W10" s="11">
        <v>20095471</v>
      </c>
      <c r="X10" s="11">
        <v>20214799</v>
      </c>
      <c r="Y10" s="11">
        <v>21350519</v>
      </c>
      <c r="Z10" s="11">
        <v>23805819</v>
      </c>
      <c r="AA10" s="11">
        <v>23510685</v>
      </c>
      <c r="AB10" s="11">
        <v>23068605</v>
      </c>
      <c r="AC10" s="11">
        <v>21815164</v>
      </c>
      <c r="AD10" s="11">
        <v>22795878</v>
      </c>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row>
    <row r="11" spans="1:56" s="10" customFormat="1" x14ac:dyDescent="0.3">
      <c r="A11" s="10" t="s">
        <v>192</v>
      </c>
      <c r="B11" s="11">
        <v>0</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row>
    <row r="12" spans="1:56" s="10" customFormat="1" x14ac:dyDescent="0.3">
      <c r="A12" s="10" t="s">
        <v>191</v>
      </c>
      <c r="B12" s="11">
        <v>36694701.25</v>
      </c>
      <c r="C12" s="11">
        <v>36694701.25</v>
      </c>
      <c r="D12" s="11">
        <v>36694701.25</v>
      </c>
      <c r="E12" s="11">
        <v>36694701.25</v>
      </c>
      <c r="F12" s="11">
        <v>36694701.25</v>
      </c>
      <c r="G12" s="11">
        <v>36694701.25</v>
      </c>
      <c r="H12" s="11">
        <v>36694701.25</v>
      </c>
      <c r="I12" s="11">
        <v>36694701.25</v>
      </c>
      <c r="J12" s="11">
        <v>36694701.25</v>
      </c>
      <c r="K12" s="11">
        <v>36694701.25</v>
      </c>
      <c r="L12" s="11">
        <v>36694701.25</v>
      </c>
      <c r="M12" s="11">
        <v>36694701.25</v>
      </c>
      <c r="N12" s="11">
        <v>36694701.25</v>
      </c>
      <c r="O12" s="11">
        <v>36694701.25</v>
      </c>
      <c r="P12" s="11">
        <v>36694701.25</v>
      </c>
      <c r="Q12" s="11">
        <v>36694701.25</v>
      </c>
      <c r="R12" s="11">
        <v>36694701.25</v>
      </c>
      <c r="S12" s="11">
        <v>36694701.25</v>
      </c>
      <c r="T12" s="11">
        <v>36694701.25</v>
      </c>
      <c r="U12" s="11">
        <v>36694701.25</v>
      </c>
      <c r="V12" s="11">
        <v>36694701.25</v>
      </c>
      <c r="W12" s="11">
        <v>36694701.25</v>
      </c>
      <c r="X12" s="11">
        <v>36694701.25</v>
      </c>
      <c r="Y12" s="11">
        <v>36694701.25</v>
      </c>
      <c r="Z12" s="11">
        <v>36694701.25</v>
      </c>
      <c r="AA12" s="11">
        <v>36694701.25</v>
      </c>
      <c r="AB12" s="11">
        <v>36694701.25</v>
      </c>
      <c r="AC12" s="11">
        <v>36694701.25</v>
      </c>
      <c r="AD12" s="11">
        <v>36694701.25</v>
      </c>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row>
    <row r="13" spans="1:56" s="10" customFormat="1" x14ac:dyDescent="0.3">
      <c r="A13" s="10" t="s">
        <v>190</v>
      </c>
      <c r="B13" s="11">
        <v>39979960</v>
      </c>
      <c r="C13" s="11">
        <v>39975043</v>
      </c>
      <c r="D13" s="11">
        <v>41180095</v>
      </c>
      <c r="E13" s="11">
        <v>41697718</v>
      </c>
      <c r="F13" s="11">
        <v>40955117</v>
      </c>
      <c r="G13" s="11">
        <v>40529475</v>
      </c>
      <c r="H13" s="11">
        <v>42598759</v>
      </c>
      <c r="I13" s="11">
        <v>44826307</v>
      </c>
      <c r="J13" s="11">
        <v>41805900</v>
      </c>
      <c r="K13" s="11">
        <v>38822657</v>
      </c>
      <c r="L13" s="11">
        <v>32996517</v>
      </c>
      <c r="M13" s="11">
        <v>34846773</v>
      </c>
      <c r="N13" s="11">
        <v>33698619</v>
      </c>
      <c r="O13" s="11">
        <v>34601581</v>
      </c>
      <c r="P13" s="11">
        <v>37811467</v>
      </c>
      <c r="Q13" s="11">
        <v>40754564</v>
      </c>
      <c r="R13" s="11">
        <v>40540871</v>
      </c>
      <c r="S13" s="11">
        <v>40997583</v>
      </c>
      <c r="T13" s="11">
        <v>40128924</v>
      </c>
      <c r="U13" s="11">
        <v>39752917</v>
      </c>
      <c r="V13" s="11">
        <v>40188228</v>
      </c>
      <c r="W13" s="11">
        <v>37442155</v>
      </c>
      <c r="X13" s="11">
        <v>39896930</v>
      </c>
      <c r="Y13" s="11">
        <v>38144897</v>
      </c>
      <c r="Z13" s="11">
        <v>39048880</v>
      </c>
      <c r="AA13" s="11">
        <v>36403112</v>
      </c>
      <c r="AB13" s="11">
        <v>34563214</v>
      </c>
      <c r="AC13" s="11">
        <v>32823739</v>
      </c>
      <c r="AD13" s="11">
        <v>34017115</v>
      </c>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row>
    <row r="14" spans="1:56" s="10" customFormat="1" x14ac:dyDescent="0.3">
      <c r="A14" s="10" t="s">
        <v>189</v>
      </c>
      <c r="B14" s="11">
        <v>0</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row>
    <row r="15" spans="1:56" s="10" customFormat="1" x14ac:dyDescent="0.3">
      <c r="A15" s="10" t="s">
        <v>188</v>
      </c>
      <c r="B15" s="11">
        <v>70714688</v>
      </c>
      <c r="C15" s="11">
        <v>70799976</v>
      </c>
      <c r="D15" s="11">
        <v>68063520</v>
      </c>
      <c r="E15" s="11">
        <v>67981800</v>
      </c>
      <c r="F15" s="11">
        <v>61989328</v>
      </c>
      <c r="G15" s="11">
        <v>62489328</v>
      </c>
      <c r="H15" s="11">
        <v>71533632</v>
      </c>
      <c r="I15" s="11">
        <v>71533632</v>
      </c>
      <c r="J15" s="11">
        <v>71270784</v>
      </c>
      <c r="K15" s="11">
        <v>71533632</v>
      </c>
      <c r="L15" s="11">
        <v>71415552</v>
      </c>
      <c r="M15" s="11">
        <v>66711120</v>
      </c>
      <c r="N15" s="11">
        <v>66843552</v>
      </c>
      <c r="O15" s="11">
        <v>71415552</v>
      </c>
      <c r="P15" s="11">
        <v>71415552</v>
      </c>
      <c r="Q15" s="11">
        <v>71415552</v>
      </c>
      <c r="R15" s="11">
        <v>71415552</v>
      </c>
      <c r="S15" s="11">
        <v>71415552</v>
      </c>
      <c r="T15" s="11">
        <v>68491176</v>
      </c>
      <c r="U15" s="11">
        <v>68491176</v>
      </c>
      <c r="V15" s="11">
        <v>71415552</v>
      </c>
      <c r="W15" s="11">
        <v>71415552</v>
      </c>
      <c r="X15" s="11">
        <v>71415552</v>
      </c>
      <c r="Y15" s="11">
        <v>71415552</v>
      </c>
      <c r="Z15" s="11">
        <v>71415552</v>
      </c>
      <c r="AA15" s="11">
        <v>66711120</v>
      </c>
      <c r="AB15" s="11">
        <v>66843552</v>
      </c>
      <c r="AC15" s="11">
        <v>66725520</v>
      </c>
      <c r="AD15" s="11">
        <v>65711120</v>
      </c>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row>
    <row r="16" spans="1:56" s="10" customFormat="1" x14ac:dyDescent="0.3">
      <c r="A16" s="10" t="s">
        <v>140</v>
      </c>
      <c r="B16" s="11">
        <v>70732142</v>
      </c>
      <c r="C16" s="11">
        <v>70896341</v>
      </c>
      <c r="D16" s="11">
        <v>68098735</v>
      </c>
      <c r="E16" s="11">
        <v>68040956</v>
      </c>
      <c r="F16" s="11">
        <v>62011678</v>
      </c>
      <c r="G16" s="11">
        <v>62515650</v>
      </c>
      <c r="H16" s="11">
        <v>71565279</v>
      </c>
      <c r="I16" s="11">
        <v>71557554</v>
      </c>
      <c r="J16" s="11">
        <v>71293551</v>
      </c>
      <c r="K16" s="11">
        <v>71560489</v>
      </c>
      <c r="L16" s="11">
        <v>71452251</v>
      </c>
      <c r="M16" s="11">
        <v>66734626</v>
      </c>
      <c r="N16" s="11">
        <v>66882404</v>
      </c>
      <c r="O16" s="11">
        <v>71433511</v>
      </c>
      <c r="P16" s="11">
        <v>71459524</v>
      </c>
      <c r="Q16" s="11">
        <v>71475707</v>
      </c>
      <c r="R16" s="11">
        <v>71461797</v>
      </c>
      <c r="S16" s="11">
        <v>71450493</v>
      </c>
      <c r="T16" s="11">
        <v>68539692</v>
      </c>
      <c r="U16" s="11">
        <v>68539613</v>
      </c>
      <c r="V16" s="11">
        <v>71479414</v>
      </c>
      <c r="W16" s="11">
        <v>71466480</v>
      </c>
      <c r="X16" s="11">
        <v>71467082</v>
      </c>
      <c r="Y16" s="11">
        <v>71482197</v>
      </c>
      <c r="Z16" s="11">
        <v>71456994</v>
      </c>
      <c r="AA16" s="11">
        <v>66768029</v>
      </c>
      <c r="AB16" s="11">
        <v>66892663</v>
      </c>
      <c r="AC16" s="11">
        <v>66787996</v>
      </c>
      <c r="AD16" s="11">
        <v>65763645</v>
      </c>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row>
    <row r="17" spans="1:56" s="10" customFormat="1" x14ac:dyDescent="0.3">
      <c r="A17" s="10" t="s">
        <v>187</v>
      </c>
      <c r="B17" s="11">
        <v>50.66</v>
      </c>
      <c r="C17" s="11">
        <v>50.56</v>
      </c>
      <c r="D17" s="11">
        <v>50.63</v>
      </c>
      <c r="E17" s="11">
        <v>50.67</v>
      </c>
      <c r="F17" s="11">
        <v>50.61</v>
      </c>
      <c r="G17" s="11">
        <v>50.72</v>
      </c>
      <c r="H17" s="11">
        <v>50.5</v>
      </c>
      <c r="I17" s="11">
        <v>50.48</v>
      </c>
      <c r="J17" s="11">
        <v>50.5</v>
      </c>
      <c r="K17" s="11">
        <v>50.51</v>
      </c>
      <c r="L17" s="11">
        <v>50.5</v>
      </c>
      <c r="M17" s="11">
        <v>50.5</v>
      </c>
      <c r="N17" s="11">
        <v>50.74</v>
      </c>
      <c r="O17" s="11">
        <v>50.49</v>
      </c>
      <c r="P17" s="11">
        <v>50.52</v>
      </c>
      <c r="Q17" s="11">
        <v>50.58</v>
      </c>
      <c r="R17" s="11">
        <v>50.59</v>
      </c>
      <c r="S17" s="11">
        <v>50.52</v>
      </c>
      <c r="T17" s="11">
        <v>50.6</v>
      </c>
      <c r="U17" s="11">
        <v>50.5</v>
      </c>
      <c r="V17" s="11">
        <v>50.5</v>
      </c>
      <c r="W17" s="11">
        <v>50.52</v>
      </c>
      <c r="X17" s="11">
        <v>50.5</v>
      </c>
      <c r="Y17" s="11">
        <v>50.52</v>
      </c>
      <c r="Z17" s="11">
        <v>50.51</v>
      </c>
      <c r="AA17" s="11">
        <v>50.62</v>
      </c>
      <c r="AB17" s="11">
        <v>50.67</v>
      </c>
      <c r="AC17" s="11">
        <v>50.63</v>
      </c>
      <c r="AD17" s="11">
        <v>50.62</v>
      </c>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row>
    <row r="18" spans="1:56" s="10" customFormat="1" x14ac:dyDescent="0.3">
      <c r="A18" s="10" t="s">
        <v>186</v>
      </c>
      <c r="B18" s="11">
        <v>24275017</v>
      </c>
      <c r="C18" s="11">
        <v>24191012</v>
      </c>
      <c r="D18" s="11">
        <v>24263017</v>
      </c>
      <c r="E18" s="11">
        <v>24758733</v>
      </c>
      <c r="F18" s="11">
        <v>24125483</v>
      </c>
      <c r="G18" s="11">
        <v>24025147</v>
      </c>
      <c r="H18" s="11">
        <v>24727499</v>
      </c>
      <c r="I18" s="11">
        <v>24827835</v>
      </c>
      <c r="J18" s="11">
        <v>24827835</v>
      </c>
      <c r="K18" s="11">
        <v>24827835</v>
      </c>
      <c r="L18" s="11">
        <v>24827835</v>
      </c>
      <c r="M18" s="11">
        <v>24125483</v>
      </c>
      <c r="N18" s="11">
        <v>24025147</v>
      </c>
      <c r="O18" s="11">
        <v>24727499</v>
      </c>
      <c r="P18" s="11">
        <v>24827835</v>
      </c>
      <c r="Q18" s="11">
        <v>24827835</v>
      </c>
      <c r="R18" s="11">
        <v>24827835</v>
      </c>
      <c r="S18" s="11">
        <v>24827835</v>
      </c>
      <c r="T18" s="11">
        <v>24125483</v>
      </c>
      <c r="U18" s="11">
        <v>24025147</v>
      </c>
      <c r="V18" s="11">
        <v>24727499</v>
      </c>
      <c r="W18" s="11">
        <v>24827835</v>
      </c>
      <c r="X18" s="11">
        <v>23567756</v>
      </c>
      <c r="Y18" s="11">
        <v>23387744</v>
      </c>
      <c r="Z18" s="11">
        <v>23387744</v>
      </c>
      <c r="AA18" s="11">
        <v>22685392</v>
      </c>
      <c r="AB18" s="11">
        <v>22585056</v>
      </c>
      <c r="AC18" s="11">
        <v>23287408</v>
      </c>
      <c r="AD18" s="11">
        <v>23387744</v>
      </c>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row>
    <row r="19" spans="1:56" s="10" customFormat="1" x14ac:dyDescent="0.3">
      <c r="A19" s="10" t="s">
        <v>185</v>
      </c>
      <c r="B19" s="11">
        <v>24526446</v>
      </c>
      <c r="C19" s="11">
        <v>24359787</v>
      </c>
      <c r="D19" s="11">
        <v>24453130</v>
      </c>
      <c r="E19" s="11">
        <v>24920948</v>
      </c>
      <c r="F19" s="11">
        <v>24250422</v>
      </c>
      <c r="G19" s="11">
        <v>24141439</v>
      </c>
      <c r="H19" s="11">
        <v>24854844</v>
      </c>
      <c r="I19" s="11">
        <v>24993248</v>
      </c>
      <c r="J19" s="11">
        <v>24910308</v>
      </c>
      <c r="K19" s="11">
        <v>25041744</v>
      </c>
      <c r="L19" s="11">
        <v>25144541</v>
      </c>
      <c r="M19" s="11">
        <v>24442904</v>
      </c>
      <c r="N19" s="11">
        <v>24044087</v>
      </c>
      <c r="O19" s="11">
        <v>24651410</v>
      </c>
      <c r="P19" s="11">
        <v>24957073</v>
      </c>
      <c r="Q19" s="11">
        <v>24982973</v>
      </c>
      <c r="R19" s="11">
        <v>24978629</v>
      </c>
      <c r="S19" s="11">
        <v>25043004</v>
      </c>
      <c r="T19" s="11">
        <v>24285229</v>
      </c>
      <c r="U19" s="11">
        <v>24022413</v>
      </c>
      <c r="V19" s="11">
        <v>24805512</v>
      </c>
      <c r="W19" s="11">
        <v>25104040</v>
      </c>
      <c r="X19" s="11">
        <v>23743480</v>
      </c>
      <c r="Y19" s="11">
        <v>23370020</v>
      </c>
      <c r="Z19" s="11">
        <v>23458803</v>
      </c>
      <c r="AA19" s="11">
        <v>22705231</v>
      </c>
      <c r="AB19" s="11">
        <v>22594297</v>
      </c>
      <c r="AC19" s="11">
        <v>23187987</v>
      </c>
      <c r="AD19" s="11">
        <v>23320140</v>
      </c>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row>
    <row r="20" spans="1:56" s="10" customFormat="1" x14ac:dyDescent="0.3">
      <c r="A20" s="10" t="s">
        <v>184</v>
      </c>
      <c r="B20" s="11">
        <v>0</v>
      </c>
      <c r="C20" s="11">
        <v>0</v>
      </c>
      <c r="D20" s="11">
        <v>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11">
        <v>0</v>
      </c>
      <c r="W20" s="11">
        <v>0</v>
      </c>
      <c r="X20" s="11">
        <v>0</v>
      </c>
      <c r="Y20" s="11">
        <v>0</v>
      </c>
      <c r="Z20" s="11">
        <v>0</v>
      </c>
      <c r="AA20" s="11">
        <v>0</v>
      </c>
      <c r="AB20" s="11">
        <v>0</v>
      </c>
      <c r="AC20" s="11">
        <v>0</v>
      </c>
      <c r="AD20" s="11">
        <v>0</v>
      </c>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row>
    <row r="21" spans="1:56" s="10" customFormat="1" x14ac:dyDescent="0.3">
      <c r="A21" s="10" t="s">
        <v>183</v>
      </c>
      <c r="B21" s="11">
        <v>0</v>
      </c>
      <c r="C21" s="11">
        <v>0</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row>
    <row r="22" spans="1:56" s="10" customFormat="1" x14ac:dyDescent="0.3">
      <c r="A22" s="10" t="s">
        <v>134</v>
      </c>
      <c r="B22" s="11">
        <v>0</v>
      </c>
      <c r="C22" s="11">
        <v>0</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c r="AA22" s="11">
        <v>0</v>
      </c>
      <c r="AB22" s="11">
        <v>0</v>
      </c>
      <c r="AC22" s="11">
        <v>0</v>
      </c>
      <c r="AD22" s="11">
        <v>0</v>
      </c>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row>
    <row r="23" spans="1:56" s="10" customFormat="1" x14ac:dyDescent="0.3">
      <c r="A23" s="10" t="s">
        <v>182</v>
      </c>
      <c r="B23" s="11">
        <v>0</v>
      </c>
      <c r="C23" s="11">
        <v>0</v>
      </c>
      <c r="D23" s="11">
        <v>0</v>
      </c>
      <c r="E23" s="11">
        <v>0</v>
      </c>
      <c r="F23" s="11">
        <v>0</v>
      </c>
      <c r="G23" s="11">
        <v>0</v>
      </c>
      <c r="H23" s="11">
        <v>0</v>
      </c>
      <c r="I23" s="11">
        <v>0</v>
      </c>
      <c r="J23" s="11">
        <v>0</v>
      </c>
      <c r="K23" s="11">
        <v>0</v>
      </c>
      <c r="L23" s="11">
        <v>0</v>
      </c>
      <c r="M23" s="11">
        <v>0</v>
      </c>
      <c r="N23" s="11">
        <v>0</v>
      </c>
      <c r="O23" s="11">
        <v>0</v>
      </c>
      <c r="P23" s="11">
        <v>0</v>
      </c>
      <c r="Q23" s="11">
        <v>0</v>
      </c>
      <c r="R23" s="11">
        <v>0</v>
      </c>
      <c r="S23" s="11">
        <v>0</v>
      </c>
      <c r="T23" s="11">
        <v>0</v>
      </c>
      <c r="U23" s="11">
        <v>0</v>
      </c>
      <c r="V23" s="11">
        <v>0</v>
      </c>
      <c r="W23" s="11">
        <v>0</v>
      </c>
      <c r="X23" s="11">
        <v>0</v>
      </c>
      <c r="Y23" s="11">
        <v>0</v>
      </c>
      <c r="Z23" s="11">
        <v>0</v>
      </c>
      <c r="AA23" s="11">
        <v>0</v>
      </c>
      <c r="AB23" s="11">
        <v>0</v>
      </c>
      <c r="AC23" s="11">
        <v>0</v>
      </c>
      <c r="AD23" s="11">
        <v>0</v>
      </c>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row>
    <row r="24" spans="1:56" s="10" customFormat="1" x14ac:dyDescent="0.3">
      <c r="A24" s="10" t="s">
        <v>181</v>
      </c>
      <c r="B24" s="11">
        <v>253100643.58483392</v>
      </c>
      <c r="C24" s="11">
        <v>253100643.58483392</v>
      </c>
      <c r="D24" s="11">
        <v>253100643.58483392</v>
      </c>
      <c r="E24" s="11">
        <v>253100643.58483392</v>
      </c>
      <c r="F24" s="11">
        <v>253100643.58483392</v>
      </c>
      <c r="G24" s="11">
        <v>253100643.58483392</v>
      </c>
      <c r="H24" s="11">
        <v>253100643.58483392</v>
      </c>
      <c r="I24" s="11">
        <v>253100643.58483392</v>
      </c>
      <c r="J24" s="11">
        <v>253100643.58483392</v>
      </c>
      <c r="K24" s="11">
        <v>253100643.58483392</v>
      </c>
      <c r="L24" s="11">
        <v>253100643.58483392</v>
      </c>
      <c r="M24" s="11">
        <v>253100643.58483392</v>
      </c>
      <c r="N24" s="11">
        <v>253100643.58483392</v>
      </c>
      <c r="O24" s="11">
        <v>253100643.58483392</v>
      </c>
      <c r="P24" s="11">
        <v>253100643.58483392</v>
      </c>
      <c r="Q24" s="11">
        <v>253100643.58483392</v>
      </c>
      <c r="R24" s="11">
        <v>253100643.58483392</v>
      </c>
      <c r="S24" s="11">
        <v>253100643.58483392</v>
      </c>
      <c r="T24" s="11">
        <v>253100643.58483392</v>
      </c>
      <c r="U24" s="11">
        <v>253100643.58483392</v>
      </c>
      <c r="V24" s="11">
        <v>253100643.58483392</v>
      </c>
      <c r="W24" s="11">
        <v>253100643.58483392</v>
      </c>
      <c r="X24" s="11">
        <v>253100643.58483392</v>
      </c>
      <c r="Y24" s="11">
        <v>253100643.58483392</v>
      </c>
      <c r="Z24" s="11">
        <v>253100643.58483392</v>
      </c>
      <c r="AA24" s="11">
        <v>253100643.58483392</v>
      </c>
      <c r="AB24" s="11">
        <v>253100643.58483392</v>
      </c>
      <c r="AC24" s="11">
        <v>253100643.58483392</v>
      </c>
      <c r="AD24" s="11">
        <v>253100643.58483392</v>
      </c>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row>
    <row r="25" spans="1:56" s="10" customFormat="1" x14ac:dyDescent="0.3">
      <c r="A25" s="10" t="s">
        <v>180</v>
      </c>
      <c r="B25" s="11">
        <v>253056984</v>
      </c>
      <c r="C25" s="11">
        <v>253350761</v>
      </c>
      <c r="D25" s="11">
        <v>252979461</v>
      </c>
      <c r="E25" s="11">
        <v>252632979</v>
      </c>
      <c r="F25" s="11">
        <v>252214876</v>
      </c>
      <c r="G25" s="11">
        <v>253540931</v>
      </c>
      <c r="H25" s="11">
        <v>253408077</v>
      </c>
      <c r="I25" s="11">
        <v>254477996</v>
      </c>
      <c r="J25" s="11">
        <v>250835617</v>
      </c>
      <c r="K25" s="11">
        <v>252017825</v>
      </c>
      <c r="L25" s="11">
        <v>251356174</v>
      </c>
      <c r="M25" s="11">
        <v>251512065</v>
      </c>
      <c r="N25" s="11">
        <v>254872142</v>
      </c>
      <c r="O25" s="11">
        <v>264369849</v>
      </c>
      <c r="P25" s="11">
        <v>262576649</v>
      </c>
      <c r="Q25" s="11">
        <v>260005999</v>
      </c>
      <c r="R25" s="11">
        <v>262179514</v>
      </c>
      <c r="S25" s="11">
        <v>255634319</v>
      </c>
      <c r="T25" s="11">
        <v>259425734</v>
      </c>
      <c r="U25" s="11">
        <v>257424030</v>
      </c>
      <c r="V25" s="11">
        <v>256932501</v>
      </c>
      <c r="W25" s="11">
        <v>253608060</v>
      </c>
      <c r="X25" s="11">
        <v>247296277</v>
      </c>
      <c r="Y25" s="11">
        <v>252150233</v>
      </c>
      <c r="Z25" s="11">
        <v>251228839</v>
      </c>
      <c r="AA25" s="11">
        <v>240819730</v>
      </c>
      <c r="AB25" s="11">
        <v>239482916</v>
      </c>
      <c r="AC25" s="11">
        <v>242756963</v>
      </c>
      <c r="AD25" s="11">
        <v>253784367</v>
      </c>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row>
    <row r="26" spans="1:56" s="10" customFormat="1" x14ac:dyDescent="0.3">
      <c r="A26" s="10" t="s">
        <v>179</v>
      </c>
      <c r="B26" s="11">
        <v>0</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v>
      </c>
      <c r="V26" s="11">
        <v>0</v>
      </c>
      <c r="W26" s="11">
        <v>0</v>
      </c>
      <c r="X26" s="11">
        <v>0</v>
      </c>
      <c r="Y26" s="11">
        <v>0</v>
      </c>
      <c r="Z26" s="11">
        <v>0</v>
      </c>
      <c r="AA26" s="11">
        <v>0</v>
      </c>
      <c r="AB26" s="11">
        <v>0</v>
      </c>
      <c r="AC26" s="11">
        <v>0</v>
      </c>
      <c r="AD26" s="11">
        <v>0</v>
      </c>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row>
    <row r="27" spans="1:56" s="10" customFormat="1" x14ac:dyDescent="0.3">
      <c r="A27" s="10" t="s">
        <v>178</v>
      </c>
      <c r="B27" s="11">
        <v>0</v>
      </c>
      <c r="C27" s="11">
        <v>0</v>
      </c>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row>
    <row r="28" spans="1:56" s="10" customFormat="1" x14ac:dyDescent="0.3">
      <c r="A28" s="10" t="s">
        <v>177</v>
      </c>
      <c r="B28" s="11">
        <v>49413837</v>
      </c>
      <c r="C28" s="11">
        <v>50380116</v>
      </c>
      <c r="D28" s="11">
        <v>50313845</v>
      </c>
      <c r="E28" s="11">
        <v>51794261</v>
      </c>
      <c r="F28" s="11">
        <v>52267780</v>
      </c>
      <c r="G28" s="11">
        <v>45977347</v>
      </c>
      <c r="H28" s="11">
        <v>44499069</v>
      </c>
      <c r="I28" s="11">
        <v>45266534</v>
      </c>
      <c r="J28" s="11">
        <v>43240982</v>
      </c>
      <c r="K28" s="11">
        <v>42642402</v>
      </c>
      <c r="L28" s="11">
        <v>44407144</v>
      </c>
      <c r="M28" s="11">
        <v>44531136</v>
      </c>
      <c r="N28" s="11">
        <v>46872010</v>
      </c>
      <c r="O28" s="11">
        <v>49994246</v>
      </c>
      <c r="P28" s="11">
        <v>48185679</v>
      </c>
      <c r="Q28" s="11">
        <v>50883564</v>
      </c>
      <c r="R28" s="11">
        <v>40047131</v>
      </c>
      <c r="S28" s="11">
        <v>36566817</v>
      </c>
      <c r="T28" s="11">
        <v>43795737</v>
      </c>
      <c r="U28" s="11">
        <v>35776905</v>
      </c>
      <c r="V28" s="11">
        <v>49423457</v>
      </c>
      <c r="W28" s="11">
        <v>47598857</v>
      </c>
      <c r="X28" s="11">
        <v>48228435</v>
      </c>
      <c r="Y28" s="11">
        <v>50318120</v>
      </c>
      <c r="Z28" s="11">
        <v>51502453</v>
      </c>
      <c r="AA28" s="11">
        <v>51551622</v>
      </c>
      <c r="AB28" s="11">
        <v>52066829</v>
      </c>
      <c r="AC28" s="11">
        <v>53414702</v>
      </c>
      <c r="AD28" s="11">
        <v>51279055</v>
      </c>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row>
    <row r="29" spans="1:56" s="10" customFormat="1" x14ac:dyDescent="0.3">
      <c r="A29" s="10" t="s">
        <v>176</v>
      </c>
      <c r="B29" s="11">
        <v>65.599999999999994</v>
      </c>
      <c r="C29" s="11">
        <v>65.599999999999994</v>
      </c>
      <c r="D29" s="11">
        <v>65.400000000000006</v>
      </c>
      <c r="E29" s="11">
        <v>65.099999999999994</v>
      </c>
      <c r="F29" s="11">
        <v>65</v>
      </c>
      <c r="G29" s="11">
        <v>64.599999999999994</v>
      </c>
      <c r="H29" s="11">
        <v>64.3</v>
      </c>
      <c r="I29" s="11">
        <v>64.7</v>
      </c>
      <c r="J29" s="11">
        <v>65</v>
      </c>
      <c r="K29" s="11">
        <v>65</v>
      </c>
      <c r="L29" s="11">
        <v>64.599999999999994</v>
      </c>
      <c r="M29" s="11">
        <v>64.400000000000006</v>
      </c>
      <c r="N29" s="11">
        <v>64.3</v>
      </c>
      <c r="O29" s="11">
        <v>64.3</v>
      </c>
      <c r="P29" s="11">
        <v>64.7</v>
      </c>
      <c r="Q29" s="11">
        <v>65.400000000000006</v>
      </c>
      <c r="R29" s="11">
        <v>66.2</v>
      </c>
      <c r="S29" s="11">
        <v>66.099999999999994</v>
      </c>
      <c r="T29" s="11">
        <v>67.5</v>
      </c>
      <c r="U29" s="11">
        <v>66.900000000000006</v>
      </c>
      <c r="V29" s="11">
        <v>67</v>
      </c>
      <c r="W29" s="11">
        <v>66.900000000000006</v>
      </c>
      <c r="X29" s="11">
        <v>66.7</v>
      </c>
      <c r="Y29" s="11">
        <v>66.8</v>
      </c>
      <c r="Z29" s="11">
        <v>67.3</v>
      </c>
      <c r="AA29" s="11">
        <v>68.599999999999994</v>
      </c>
      <c r="AB29" s="11">
        <v>69.099999999999994</v>
      </c>
      <c r="AC29" s="11">
        <v>69.3</v>
      </c>
      <c r="AD29" s="11">
        <v>69.8</v>
      </c>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row>
    <row r="30" spans="1:56" s="10" customFormat="1" x14ac:dyDescent="0.3">
      <c r="A30" s="10" t="s">
        <v>175</v>
      </c>
      <c r="B30" s="11">
        <v>0</v>
      </c>
      <c r="C30" s="11">
        <v>0</v>
      </c>
      <c r="D30" s="11">
        <v>0</v>
      </c>
      <c r="E30" s="11">
        <v>0</v>
      </c>
      <c r="F30" s="11">
        <v>0</v>
      </c>
      <c r="G30" s="11">
        <v>0</v>
      </c>
      <c r="H30" s="11">
        <v>0</v>
      </c>
      <c r="I30" s="11">
        <v>0</v>
      </c>
      <c r="J30" s="11">
        <v>0</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c r="AB30" s="11">
        <v>0</v>
      </c>
      <c r="AC30" s="11">
        <v>0</v>
      </c>
      <c r="AD30" s="11">
        <v>0</v>
      </c>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row>
    <row r="31" spans="1:56" s="10" customFormat="1" x14ac:dyDescent="0.3">
      <c r="A31" s="10" t="s">
        <v>174</v>
      </c>
      <c r="B31" s="11">
        <v>57489021</v>
      </c>
      <c r="C31" s="11">
        <v>57388843</v>
      </c>
      <c r="D31" s="11">
        <v>57032523</v>
      </c>
      <c r="E31" s="11">
        <v>56633862</v>
      </c>
      <c r="F31" s="11">
        <v>55286077</v>
      </c>
      <c r="G31" s="11">
        <v>57551368</v>
      </c>
      <c r="H31" s="11">
        <v>61466132</v>
      </c>
      <c r="I31" s="11">
        <v>61183792</v>
      </c>
      <c r="J31" s="11">
        <v>61559023</v>
      </c>
      <c r="K31" s="11">
        <v>64020252</v>
      </c>
      <c r="L31" s="11">
        <v>63704162</v>
      </c>
      <c r="M31" s="11">
        <v>63690873</v>
      </c>
      <c r="N31" s="11">
        <v>63509959</v>
      </c>
      <c r="O31" s="11">
        <v>65086110</v>
      </c>
      <c r="P31" s="11">
        <v>66274952</v>
      </c>
      <c r="Q31" s="11">
        <v>62418137</v>
      </c>
      <c r="R31" s="11">
        <v>77094140</v>
      </c>
      <c r="S31" s="11">
        <v>73015808</v>
      </c>
      <c r="T31" s="11">
        <v>73968693</v>
      </c>
      <c r="U31" s="11">
        <v>74639837</v>
      </c>
      <c r="V31" s="11">
        <v>57071318</v>
      </c>
      <c r="W31" s="11">
        <v>56581031</v>
      </c>
      <c r="X31" s="11">
        <v>55985994</v>
      </c>
      <c r="Y31" s="11">
        <v>55556777</v>
      </c>
      <c r="Z31" s="11">
        <v>55897059</v>
      </c>
      <c r="AA31" s="11">
        <v>55488962</v>
      </c>
      <c r="AB31" s="11">
        <v>55897217</v>
      </c>
      <c r="AC31" s="11">
        <v>55440448</v>
      </c>
      <c r="AD31" s="11">
        <v>51336834</v>
      </c>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row>
    <row r="32" spans="1:56" s="10" customFormat="1" x14ac:dyDescent="0.3">
      <c r="A32" s="10" t="s">
        <v>173</v>
      </c>
      <c r="B32" s="11">
        <v>66.5</v>
      </c>
      <c r="C32" s="11">
        <v>66.5</v>
      </c>
      <c r="D32" s="11">
        <v>66.2</v>
      </c>
      <c r="E32" s="11">
        <v>65.900000000000006</v>
      </c>
      <c r="F32" s="11">
        <v>65.7</v>
      </c>
      <c r="G32" s="11">
        <v>65.3</v>
      </c>
      <c r="H32" s="11">
        <v>65.099999999999994</v>
      </c>
      <c r="I32" s="11">
        <v>65.5</v>
      </c>
      <c r="J32" s="11">
        <v>65.8</v>
      </c>
      <c r="K32" s="11">
        <v>65.900000000000006</v>
      </c>
      <c r="L32" s="11">
        <v>65.599999999999994</v>
      </c>
      <c r="M32" s="11">
        <v>65.2</v>
      </c>
      <c r="N32" s="11">
        <v>65.099999999999994</v>
      </c>
      <c r="O32" s="11">
        <v>65.099999999999994</v>
      </c>
      <c r="P32" s="11">
        <v>65.5</v>
      </c>
      <c r="Q32" s="11">
        <v>66.099999999999994</v>
      </c>
      <c r="R32" s="11">
        <v>67.099999999999994</v>
      </c>
      <c r="S32" s="11">
        <v>67.2</v>
      </c>
      <c r="T32" s="11">
        <v>68.3</v>
      </c>
      <c r="U32" s="11">
        <v>67.3</v>
      </c>
      <c r="V32" s="11">
        <v>67.5</v>
      </c>
      <c r="W32" s="11">
        <v>67.3</v>
      </c>
      <c r="X32" s="11">
        <v>67</v>
      </c>
      <c r="Y32" s="11">
        <v>67.3</v>
      </c>
      <c r="Z32" s="11">
        <v>67.8</v>
      </c>
      <c r="AA32" s="11">
        <v>69.099999999999994</v>
      </c>
      <c r="AB32" s="11">
        <v>69.599999999999994</v>
      </c>
      <c r="AC32" s="11">
        <v>69.8</v>
      </c>
      <c r="AD32" s="11">
        <v>70.3</v>
      </c>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row>
    <row r="33" spans="1:56" s="10" customFormat="1" x14ac:dyDescent="0.3">
      <c r="A33" s="10" t="s">
        <v>172</v>
      </c>
      <c r="B33" s="11">
        <v>0</v>
      </c>
      <c r="C33" s="11">
        <v>0</v>
      </c>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row>
    <row r="34" spans="1:56" s="10" customFormat="1" x14ac:dyDescent="0.3">
      <c r="A34" s="10" t="s">
        <v>171</v>
      </c>
      <c r="B34" s="11">
        <v>27709706</v>
      </c>
      <c r="C34" s="11">
        <v>27307006</v>
      </c>
      <c r="D34" s="11">
        <v>26803673</v>
      </c>
      <c r="E34" s="11">
        <v>25844511</v>
      </c>
      <c r="F34" s="11">
        <v>24696965</v>
      </c>
      <c r="G34" s="11">
        <v>24257100</v>
      </c>
      <c r="H34" s="11">
        <v>24511174</v>
      </c>
      <c r="I34" s="11">
        <v>24527319</v>
      </c>
      <c r="J34" s="11">
        <v>26999319</v>
      </c>
      <c r="K34" s="11">
        <v>26688835</v>
      </c>
      <c r="L34" s="11">
        <v>26559786</v>
      </c>
      <c r="M34" s="11">
        <v>26469109</v>
      </c>
      <c r="N34" s="11">
        <v>26163522</v>
      </c>
      <c r="O34" s="11">
        <v>25591922</v>
      </c>
      <c r="P34" s="11">
        <v>26305743</v>
      </c>
      <c r="Q34" s="11">
        <v>24839623</v>
      </c>
      <c r="R34" s="11">
        <v>25915464</v>
      </c>
      <c r="S34" s="11">
        <v>27278870</v>
      </c>
      <c r="T34" s="11">
        <v>24922222</v>
      </c>
      <c r="U34" s="11">
        <v>27820275</v>
      </c>
      <c r="V34" s="11">
        <v>27800107</v>
      </c>
      <c r="W34" s="11">
        <v>27778003</v>
      </c>
      <c r="X34" s="11">
        <v>27816721</v>
      </c>
      <c r="Y34" s="11">
        <v>27720532</v>
      </c>
      <c r="Z34" s="11">
        <v>27704462</v>
      </c>
      <c r="AA34" s="11">
        <v>27217844</v>
      </c>
      <c r="AB34" s="11">
        <v>27221815</v>
      </c>
      <c r="AC34" s="11">
        <v>27094540</v>
      </c>
      <c r="AD34" s="11">
        <v>26431353</v>
      </c>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row>
    <row r="35" spans="1:56" s="10" customFormat="1" x14ac:dyDescent="0.3">
      <c r="A35" s="10" t="s">
        <v>170</v>
      </c>
      <c r="B35" s="11">
        <v>66.099999999999994</v>
      </c>
      <c r="C35" s="11">
        <v>66.099999999999994</v>
      </c>
      <c r="D35" s="11">
        <v>65.900000000000006</v>
      </c>
      <c r="E35" s="11">
        <v>65.5</v>
      </c>
      <c r="F35" s="11">
        <v>65.400000000000006</v>
      </c>
      <c r="G35" s="11">
        <v>65</v>
      </c>
      <c r="H35" s="11">
        <v>64.3</v>
      </c>
      <c r="I35" s="11">
        <v>65.2</v>
      </c>
      <c r="J35" s="11">
        <v>65.599999999999994</v>
      </c>
      <c r="K35" s="11">
        <v>65.599999999999994</v>
      </c>
      <c r="L35" s="11">
        <v>65.2</v>
      </c>
      <c r="M35" s="11">
        <v>64.900000000000006</v>
      </c>
      <c r="N35" s="11">
        <v>64.7</v>
      </c>
      <c r="O35" s="11">
        <v>64.7</v>
      </c>
      <c r="P35" s="11">
        <v>65</v>
      </c>
      <c r="Q35" s="11">
        <v>65.7</v>
      </c>
      <c r="R35" s="11">
        <v>66.599999999999994</v>
      </c>
      <c r="S35" s="11">
        <v>66.7</v>
      </c>
      <c r="T35" s="11">
        <v>67.900000000000006</v>
      </c>
      <c r="U35" s="11">
        <v>67.2</v>
      </c>
      <c r="V35" s="11">
        <v>67.5</v>
      </c>
      <c r="W35" s="11">
        <v>67.3</v>
      </c>
      <c r="X35" s="11">
        <v>67</v>
      </c>
      <c r="Y35" s="11">
        <v>67.3</v>
      </c>
      <c r="Z35" s="11">
        <v>67.8</v>
      </c>
      <c r="AA35" s="11">
        <v>69</v>
      </c>
      <c r="AB35" s="11">
        <v>69.599999999999994</v>
      </c>
      <c r="AC35" s="11">
        <v>69.8</v>
      </c>
      <c r="AD35" s="11">
        <v>70.400000000000006</v>
      </c>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row>
    <row r="36" spans="1:56" s="10" customFormat="1" x14ac:dyDescent="0.3">
      <c r="A36" s="10" t="s">
        <v>169</v>
      </c>
      <c r="B36" s="11">
        <v>12040433.119406158</v>
      </c>
      <c r="C36" s="11">
        <v>12040433.119406158</v>
      </c>
      <c r="D36" s="11">
        <v>12040433.119406158</v>
      </c>
      <c r="E36" s="11">
        <v>12040433.119406158</v>
      </c>
      <c r="F36" s="11">
        <v>12040433.119406158</v>
      </c>
      <c r="G36" s="11">
        <v>12040433.119406158</v>
      </c>
      <c r="H36" s="11">
        <v>12040433.119406158</v>
      </c>
      <c r="I36" s="11">
        <v>12040433.119406158</v>
      </c>
      <c r="J36" s="11">
        <v>12040433.119406158</v>
      </c>
      <c r="K36" s="11">
        <v>12040433.119406158</v>
      </c>
      <c r="L36" s="11">
        <v>12040433.119406158</v>
      </c>
      <c r="M36" s="11">
        <v>12040433.119406158</v>
      </c>
      <c r="N36" s="11">
        <v>12040433.119406158</v>
      </c>
      <c r="O36" s="11">
        <v>12040433.119406158</v>
      </c>
      <c r="P36" s="11">
        <v>12040433.119406158</v>
      </c>
      <c r="Q36" s="11">
        <v>12040433.119406158</v>
      </c>
      <c r="R36" s="11">
        <v>12040433.119406158</v>
      </c>
      <c r="S36" s="11">
        <v>12040433.119406158</v>
      </c>
      <c r="T36" s="11">
        <v>12040433.119406158</v>
      </c>
      <c r="U36" s="11">
        <v>12040433.119406158</v>
      </c>
      <c r="V36" s="11">
        <v>12040433.119406158</v>
      </c>
      <c r="W36" s="11">
        <v>12040433.119406158</v>
      </c>
      <c r="X36" s="11">
        <v>12040433.119406158</v>
      </c>
      <c r="Y36" s="11">
        <v>12040433.119406158</v>
      </c>
      <c r="Z36" s="11">
        <v>12040433.119406158</v>
      </c>
      <c r="AA36" s="11">
        <v>12040433.119406158</v>
      </c>
      <c r="AB36" s="11">
        <v>12040433.119406158</v>
      </c>
      <c r="AC36" s="11">
        <v>12040433.119406158</v>
      </c>
      <c r="AD36" s="11">
        <v>12040433.119406158</v>
      </c>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row>
    <row r="37" spans="1:56" s="10" customFormat="1" x14ac:dyDescent="0.3">
      <c r="A37" s="10" t="s">
        <v>168</v>
      </c>
      <c r="B37" s="11">
        <v>0</v>
      </c>
      <c r="C37" s="11">
        <v>0</v>
      </c>
      <c r="D37" s="11">
        <v>12455509.939999999</v>
      </c>
      <c r="E37" s="11">
        <v>12468004.09</v>
      </c>
      <c r="F37" s="11">
        <v>12422846.24</v>
      </c>
      <c r="G37" s="11">
        <v>12431105.800000001</v>
      </c>
      <c r="H37" s="11">
        <v>12445678.43</v>
      </c>
      <c r="I37" s="11">
        <v>12503005.16</v>
      </c>
      <c r="J37" s="11">
        <v>12443362.130000001</v>
      </c>
      <c r="K37" s="11">
        <v>12435859.460000001</v>
      </c>
      <c r="L37" s="11">
        <v>12439462.810000001</v>
      </c>
      <c r="M37" s="11">
        <v>12486664.369999999</v>
      </c>
      <c r="N37" s="11">
        <v>12480319.109999999</v>
      </c>
      <c r="O37" s="11">
        <v>12461916.93</v>
      </c>
      <c r="P37" s="11">
        <v>12428347.720000001</v>
      </c>
      <c r="Q37" s="11">
        <v>12425107.359999999</v>
      </c>
      <c r="R37" s="11">
        <v>12450521.220000001</v>
      </c>
      <c r="S37" s="11">
        <v>12377372.07</v>
      </c>
      <c r="T37" s="11">
        <v>12401937.85</v>
      </c>
      <c r="U37" s="11">
        <v>12433070.289999999</v>
      </c>
      <c r="V37" s="11">
        <v>12460495.5</v>
      </c>
      <c r="W37" s="11">
        <v>12413714.35</v>
      </c>
      <c r="X37" s="11">
        <v>12389145.91</v>
      </c>
      <c r="Y37" s="11">
        <v>12395968</v>
      </c>
      <c r="Z37" s="11">
        <v>12398933.77</v>
      </c>
      <c r="AA37" s="11">
        <v>12404735.039999999</v>
      </c>
      <c r="AB37" s="11">
        <v>12408525.550000001</v>
      </c>
      <c r="AC37" s="11">
        <v>12424778.02</v>
      </c>
      <c r="AD37" s="11">
        <v>12412789.449999999</v>
      </c>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row>
    <row r="38" spans="1:56" s="10" customFormat="1" x14ac:dyDescent="0.3">
      <c r="A38" s="10" t="s">
        <v>167</v>
      </c>
      <c r="B38" s="11">
        <v>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row>
    <row r="39" spans="1:56" s="10" customFormat="1" x14ac:dyDescent="0.3">
      <c r="A39" s="10" t="s">
        <v>166</v>
      </c>
      <c r="B39" s="11">
        <v>2179570.9117850829</v>
      </c>
      <c r="C39" s="11">
        <v>2179570.9117850829</v>
      </c>
      <c r="D39" s="11">
        <v>2179570.9117850829</v>
      </c>
      <c r="E39" s="11">
        <v>2179570.9117850829</v>
      </c>
      <c r="F39" s="11">
        <v>2179570.9117850829</v>
      </c>
      <c r="G39" s="11">
        <v>2179570.9117850829</v>
      </c>
      <c r="H39" s="11">
        <v>2179570.9117850829</v>
      </c>
      <c r="I39" s="11">
        <v>2179570.9117850829</v>
      </c>
      <c r="J39" s="11">
        <v>2179570.9117850829</v>
      </c>
      <c r="K39" s="11">
        <v>2179570.9117850829</v>
      </c>
      <c r="L39" s="11">
        <v>2179570.9117850829</v>
      </c>
      <c r="M39" s="11">
        <v>2179570.9117850829</v>
      </c>
      <c r="N39" s="11">
        <v>2179570.9117850829</v>
      </c>
      <c r="O39" s="11">
        <v>2179570.9117850829</v>
      </c>
      <c r="P39" s="11">
        <v>2179570.9117850829</v>
      </c>
      <c r="Q39" s="11">
        <v>2179570.9117850829</v>
      </c>
      <c r="R39" s="11">
        <v>2179570.9117850829</v>
      </c>
      <c r="S39" s="11">
        <v>2179570.9117850829</v>
      </c>
      <c r="T39" s="11">
        <v>2179570.9117850829</v>
      </c>
      <c r="U39" s="11">
        <v>2179570.9117850829</v>
      </c>
      <c r="V39" s="11">
        <v>2179570.9117850829</v>
      </c>
      <c r="W39" s="11">
        <v>2179570.9117850829</v>
      </c>
      <c r="X39" s="11">
        <v>2179570.9117850829</v>
      </c>
      <c r="Y39" s="11">
        <v>2179570.9117850829</v>
      </c>
      <c r="Z39" s="11">
        <v>2179570.9117850829</v>
      </c>
      <c r="AA39" s="11">
        <v>2179570.9117850829</v>
      </c>
      <c r="AB39" s="11">
        <v>2179570.9117850829</v>
      </c>
      <c r="AC39" s="11">
        <v>2179570.9117850829</v>
      </c>
      <c r="AD39" s="11">
        <v>2179570.9117850829</v>
      </c>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row>
    <row r="40" spans="1:56" s="10" customFormat="1" x14ac:dyDescent="0.3">
      <c r="A40" s="10" t="s">
        <v>165</v>
      </c>
      <c r="B40" s="11">
        <v>5784264.1500000004</v>
      </c>
      <c r="C40" s="11">
        <v>5841641.21</v>
      </c>
      <c r="D40" s="11">
        <v>5688141.9100000001</v>
      </c>
      <c r="E40" s="11">
        <v>5632716.5</v>
      </c>
      <c r="F40" s="11">
        <v>5518782.1500000004</v>
      </c>
      <c r="G40" s="11">
        <v>5630463.9400000004</v>
      </c>
      <c r="H40" s="11">
        <v>5651008.71</v>
      </c>
      <c r="I40" s="11">
        <v>5570470.79</v>
      </c>
      <c r="J40" s="11">
        <v>5633724.6799999997</v>
      </c>
      <c r="K40" s="11">
        <v>5625791.7999999998</v>
      </c>
      <c r="L40" s="11">
        <v>5651407.5199999996</v>
      </c>
      <c r="M40" s="11">
        <v>5645815.1200000001</v>
      </c>
      <c r="N40" s="11">
        <v>5571178.79</v>
      </c>
      <c r="O40" s="11">
        <v>5627643.46</v>
      </c>
      <c r="P40" s="11">
        <v>5671811.8499999996</v>
      </c>
      <c r="Q40" s="11">
        <v>5317374.5199999996</v>
      </c>
      <c r="R40" s="11">
        <v>5789222.75</v>
      </c>
      <c r="S40" s="11">
        <v>4277653.9000000004</v>
      </c>
      <c r="T40" s="11">
        <v>5613575.4699999997</v>
      </c>
      <c r="U40" s="11">
        <v>5664038.46</v>
      </c>
      <c r="V40" s="11">
        <v>5581669.7000000002</v>
      </c>
      <c r="W40" s="11">
        <v>5523311.79</v>
      </c>
      <c r="X40" s="11">
        <v>5562017.6500000004</v>
      </c>
      <c r="Y40" s="11">
        <v>5546929.3499999996</v>
      </c>
      <c r="Z40" s="11">
        <v>5576095.6500000004</v>
      </c>
      <c r="AA40" s="11">
        <v>5696381.9800000004</v>
      </c>
      <c r="AB40" s="11">
        <v>5593313.8099999996</v>
      </c>
      <c r="AC40" s="11">
        <v>5469049.25</v>
      </c>
      <c r="AD40" s="11">
        <v>5478793.3099999996</v>
      </c>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row>
    <row r="41" spans="1:56" s="10" customFormat="1" x14ac:dyDescent="0.3">
      <c r="A41" s="10" t="s">
        <v>164</v>
      </c>
      <c r="B41" s="11">
        <v>0</v>
      </c>
      <c r="C41" s="11">
        <v>0</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row>
    <row r="42" spans="1:56" s="10" customFormat="1" x14ac:dyDescent="0.3">
      <c r="A42" s="10" t="s">
        <v>163</v>
      </c>
      <c r="B42" s="11">
        <v>2649683.9402323146</v>
      </c>
      <c r="C42" s="11">
        <v>2649683.9402323146</v>
      </c>
      <c r="D42" s="11">
        <v>2649683.9402323146</v>
      </c>
      <c r="E42" s="11">
        <v>2649683.9402323146</v>
      </c>
      <c r="F42" s="11">
        <v>2649683.9402323146</v>
      </c>
      <c r="G42" s="11">
        <v>2649683.9402323146</v>
      </c>
      <c r="H42" s="11">
        <v>2649683.9402323146</v>
      </c>
      <c r="I42" s="11">
        <v>2649683.9402323146</v>
      </c>
      <c r="J42" s="11">
        <v>2649683.9402323146</v>
      </c>
      <c r="K42" s="11">
        <v>2649683.9402323146</v>
      </c>
      <c r="L42" s="11">
        <v>2649683.9402323146</v>
      </c>
      <c r="M42" s="11">
        <v>2649683.9402323146</v>
      </c>
      <c r="N42" s="11">
        <v>2649683.9402323146</v>
      </c>
      <c r="O42" s="11">
        <v>2649683.9402323146</v>
      </c>
      <c r="P42" s="11">
        <v>2649683.9402323146</v>
      </c>
      <c r="Q42" s="11">
        <v>2649683.9402323146</v>
      </c>
      <c r="R42" s="11">
        <v>2649683.9402323146</v>
      </c>
      <c r="S42" s="11">
        <v>2649683.9402323146</v>
      </c>
      <c r="T42" s="11">
        <v>2649683.9402323146</v>
      </c>
      <c r="U42" s="11">
        <v>2649683.9402323146</v>
      </c>
      <c r="V42" s="11">
        <v>2649683.9402323146</v>
      </c>
      <c r="W42" s="11">
        <v>2649683.9402323146</v>
      </c>
      <c r="X42" s="11">
        <v>2649683.9402323146</v>
      </c>
      <c r="Y42" s="11">
        <v>2649683.9402323146</v>
      </c>
      <c r="Z42" s="11">
        <v>2649683.9402323146</v>
      </c>
      <c r="AA42" s="11">
        <v>2649683.9402323146</v>
      </c>
      <c r="AB42" s="11">
        <v>2649683.9402323146</v>
      </c>
      <c r="AC42" s="11">
        <v>2649683.9402323146</v>
      </c>
      <c r="AD42" s="11">
        <v>2649683.9402323146</v>
      </c>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row>
    <row r="43" spans="1:56" s="10" customFormat="1" x14ac:dyDescent="0.3">
      <c r="A43" s="10" t="s">
        <v>162</v>
      </c>
      <c r="B43" s="11">
        <v>2919559.91</v>
      </c>
      <c r="C43" s="11">
        <v>2922038.52</v>
      </c>
      <c r="D43" s="11">
        <v>2912858.71</v>
      </c>
      <c r="E43" s="11">
        <v>2910137.33</v>
      </c>
      <c r="F43" s="11">
        <v>2911677.8</v>
      </c>
      <c r="G43" s="11">
        <v>2932191.25</v>
      </c>
      <c r="H43" s="11">
        <v>2944094.69</v>
      </c>
      <c r="I43" s="11">
        <v>2972233.51</v>
      </c>
      <c r="J43" s="11">
        <v>2988189.86</v>
      </c>
      <c r="K43" s="11">
        <v>2972634.41</v>
      </c>
      <c r="L43" s="11">
        <v>2981085.28</v>
      </c>
      <c r="M43" s="11">
        <v>2977558.13</v>
      </c>
      <c r="N43" s="11">
        <v>2944462.49</v>
      </c>
      <c r="O43" s="11">
        <v>3035881.74</v>
      </c>
      <c r="P43" s="11">
        <v>3027204.57</v>
      </c>
      <c r="Q43" s="11">
        <v>2989727.92</v>
      </c>
      <c r="R43" s="11">
        <v>2999723.62</v>
      </c>
      <c r="S43" s="11">
        <v>2869251.42</v>
      </c>
      <c r="T43" s="11">
        <v>2786205.79</v>
      </c>
      <c r="U43" s="11">
        <v>2645761.34</v>
      </c>
      <c r="V43" s="11">
        <v>2623430.8199999998</v>
      </c>
      <c r="W43" s="11">
        <v>2740699.79</v>
      </c>
      <c r="X43" s="11">
        <v>2944858.43</v>
      </c>
      <c r="Y43" s="11">
        <v>2836631.87</v>
      </c>
      <c r="Z43" s="11">
        <v>2769836.94</v>
      </c>
      <c r="AA43" s="11">
        <v>2865947.55</v>
      </c>
      <c r="AB43" s="11">
        <v>2970755.32</v>
      </c>
      <c r="AC43" s="11">
        <v>2922681.92</v>
      </c>
      <c r="AD43" s="11">
        <v>2959636.81</v>
      </c>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row>
    <row r="44" spans="1:56" s="10" customFormat="1" x14ac:dyDescent="0.3">
      <c r="A44" s="10" t="s">
        <v>161</v>
      </c>
      <c r="B44" s="11">
        <v>0</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row>
    <row r="45" spans="1:56" s="10" customFormat="1" x14ac:dyDescent="0.3">
      <c r="A45" s="10" t="s">
        <v>160</v>
      </c>
      <c r="B45" s="11">
        <v>1822636.7148387092</v>
      </c>
      <c r="C45" s="11">
        <v>1822636.7148387092</v>
      </c>
      <c r="D45" s="11">
        <v>1822636.7148387092</v>
      </c>
      <c r="E45" s="11">
        <v>1822636.7148387092</v>
      </c>
      <c r="F45" s="11">
        <v>1822636.7148387092</v>
      </c>
      <c r="G45" s="11">
        <v>1822636.7148387092</v>
      </c>
      <c r="H45" s="11">
        <v>1822636.7148387092</v>
      </c>
      <c r="I45" s="11">
        <v>1822636.7148387092</v>
      </c>
      <c r="J45" s="11">
        <v>1822636.7148387092</v>
      </c>
      <c r="K45" s="11">
        <v>1822636.7148387092</v>
      </c>
      <c r="L45" s="11">
        <v>1822636.7148387092</v>
      </c>
      <c r="M45" s="11">
        <v>1822636.7148387092</v>
      </c>
      <c r="N45" s="11">
        <v>1822636.7148387092</v>
      </c>
      <c r="O45" s="11">
        <v>1822636.7148387092</v>
      </c>
      <c r="P45" s="11">
        <v>1822636.7148387092</v>
      </c>
      <c r="Q45" s="11">
        <v>1822636.7148387092</v>
      </c>
      <c r="R45" s="11">
        <v>1822636.7148387092</v>
      </c>
      <c r="S45" s="11">
        <v>1822636.7148387092</v>
      </c>
      <c r="T45" s="11">
        <v>1822636.7148387092</v>
      </c>
      <c r="U45" s="11">
        <v>1822636.7148387092</v>
      </c>
      <c r="V45" s="11">
        <v>1822636.7148387092</v>
      </c>
      <c r="W45" s="11">
        <v>1822636.7148387092</v>
      </c>
      <c r="X45" s="11">
        <v>1822636.7148387092</v>
      </c>
      <c r="Y45" s="11">
        <v>1822636.7148387092</v>
      </c>
      <c r="Z45" s="11">
        <v>1822636.7148387092</v>
      </c>
      <c r="AA45" s="11">
        <v>1822636.7148387092</v>
      </c>
      <c r="AB45" s="11">
        <v>1822636.7148387092</v>
      </c>
      <c r="AC45" s="11">
        <v>1822636.7148387092</v>
      </c>
      <c r="AD45" s="11">
        <v>1822636.7148387092</v>
      </c>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row>
    <row r="46" spans="1:56" s="10" customFormat="1" x14ac:dyDescent="0.3">
      <c r="A46" s="10" t="s">
        <v>159</v>
      </c>
      <c r="B46" s="11">
        <v>0</v>
      </c>
      <c r="C46" s="11">
        <v>0</v>
      </c>
      <c r="D46" s="11">
        <v>1724551.5</v>
      </c>
      <c r="E46" s="11">
        <v>1685034.75</v>
      </c>
      <c r="F46" s="11">
        <v>1713405.75</v>
      </c>
      <c r="G46" s="11">
        <v>1733670.75</v>
      </c>
      <c r="H46" s="11">
        <v>1674902.2499999998</v>
      </c>
      <c r="I46" s="11">
        <v>1752922.5</v>
      </c>
      <c r="J46" s="11">
        <v>1737723.7499999998</v>
      </c>
      <c r="K46" s="11">
        <v>1706312.9999999998</v>
      </c>
      <c r="L46" s="11">
        <v>1706312.9999999998</v>
      </c>
      <c r="M46" s="11">
        <v>1746843</v>
      </c>
      <c r="N46" s="11">
        <v>1726578</v>
      </c>
      <c r="O46" s="11">
        <v>1713405.75</v>
      </c>
      <c r="P46" s="11">
        <v>1726578</v>
      </c>
      <c r="Q46" s="11">
        <v>1730631</v>
      </c>
      <c r="R46" s="11">
        <v>1754949</v>
      </c>
      <c r="S46" s="11">
        <v>1754949</v>
      </c>
      <c r="T46" s="11">
        <v>1753935.7499999998</v>
      </c>
      <c r="U46" s="11">
        <v>1755962.25</v>
      </c>
      <c r="V46" s="11">
        <v>1765081.5</v>
      </c>
      <c r="W46" s="11">
        <v>1769134.5</v>
      </c>
      <c r="X46" s="11">
        <v>1775214</v>
      </c>
      <c r="Y46" s="11">
        <v>1647544.5</v>
      </c>
      <c r="Z46" s="11">
        <v>1627279.4999999998</v>
      </c>
      <c r="AA46" s="11">
        <v>1763055</v>
      </c>
      <c r="AB46" s="11">
        <v>1764068.25</v>
      </c>
      <c r="AC46" s="11">
        <v>1765081.5</v>
      </c>
      <c r="AD46" s="11">
        <v>1768121.25</v>
      </c>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row>
    <row r="47" spans="1:56" s="10" customFormat="1" x14ac:dyDescent="0.3">
      <c r="A47" s="10" t="s">
        <v>158</v>
      </c>
      <c r="B47" s="11">
        <v>0</v>
      </c>
      <c r="C47" s="11">
        <v>0</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11">
        <v>0</v>
      </c>
      <c r="AA47" s="11">
        <v>0</v>
      </c>
      <c r="AB47" s="11">
        <v>0</v>
      </c>
      <c r="AC47" s="11">
        <v>0</v>
      </c>
      <c r="AD47" s="11">
        <v>0</v>
      </c>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row>
    <row r="48" spans="1:56" s="10" customFormat="1" x14ac:dyDescent="0.3">
      <c r="A48" s="10" t="s">
        <v>157</v>
      </c>
      <c r="B48" s="11">
        <v>1921292.2586854838</v>
      </c>
      <c r="C48" s="11">
        <v>1921292.2586854838</v>
      </c>
      <c r="D48" s="11">
        <v>1921292.2586854838</v>
      </c>
      <c r="E48" s="11">
        <v>1921292.2586854838</v>
      </c>
      <c r="F48" s="11">
        <v>1921292.2586854838</v>
      </c>
      <c r="G48" s="11">
        <v>1921292.2586854838</v>
      </c>
      <c r="H48" s="11">
        <v>1921292.2586854838</v>
      </c>
      <c r="I48" s="11">
        <v>1921292.2586854838</v>
      </c>
      <c r="J48" s="11">
        <v>1921292.2586854838</v>
      </c>
      <c r="K48" s="11">
        <v>1921292.2586854838</v>
      </c>
      <c r="L48" s="11">
        <v>1921292.2586854838</v>
      </c>
      <c r="M48" s="11">
        <v>1921292.2586854838</v>
      </c>
      <c r="N48" s="11">
        <v>1921292.2586854838</v>
      </c>
      <c r="O48" s="11">
        <v>1921292.2586854838</v>
      </c>
      <c r="P48" s="11">
        <v>1921292.2586854838</v>
      </c>
      <c r="Q48" s="11">
        <v>1921292.2586854838</v>
      </c>
      <c r="R48" s="11">
        <v>1921292.2586854838</v>
      </c>
      <c r="S48" s="11">
        <v>1921292.2586854838</v>
      </c>
      <c r="T48" s="11">
        <v>1921292.2586854838</v>
      </c>
      <c r="U48" s="11">
        <v>1921292.2586854838</v>
      </c>
      <c r="V48" s="11">
        <v>1921292.2586854838</v>
      </c>
      <c r="W48" s="11">
        <v>1921292.2586854838</v>
      </c>
      <c r="X48" s="11">
        <v>1921292.2586854838</v>
      </c>
      <c r="Y48" s="11">
        <v>1921292.2586854838</v>
      </c>
      <c r="Z48" s="11">
        <v>1921292.2586854838</v>
      </c>
      <c r="AA48" s="11">
        <v>1921292.2586854838</v>
      </c>
      <c r="AB48" s="11">
        <v>1921292.2586854838</v>
      </c>
      <c r="AC48" s="11">
        <v>1921292.2586854838</v>
      </c>
      <c r="AD48" s="11">
        <v>1921292.2586854838</v>
      </c>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row>
    <row r="49" spans="1:56" s="10" customFormat="1" x14ac:dyDescent="0.3">
      <c r="A49" s="10" t="s">
        <v>156</v>
      </c>
      <c r="B49" s="11">
        <v>0</v>
      </c>
      <c r="C49" s="11">
        <v>0</v>
      </c>
      <c r="D49" s="11">
        <v>2303117.25</v>
      </c>
      <c r="E49" s="11">
        <v>2290958.25</v>
      </c>
      <c r="F49" s="11">
        <v>2296024.5</v>
      </c>
      <c r="G49" s="11">
        <v>2284878.75</v>
      </c>
      <c r="H49" s="11">
        <v>2296024.5</v>
      </c>
      <c r="I49" s="11">
        <v>2251441.5</v>
      </c>
      <c r="J49" s="11">
        <v>2261574</v>
      </c>
      <c r="K49" s="11">
        <v>2282852.25</v>
      </c>
      <c r="L49" s="11">
        <v>2282852.25</v>
      </c>
      <c r="M49" s="11">
        <v>2256507.7499999995</v>
      </c>
      <c r="N49" s="11">
        <v>1906936.5</v>
      </c>
      <c r="O49" s="11">
        <v>2329461.75</v>
      </c>
      <c r="P49" s="11">
        <v>2328448.5</v>
      </c>
      <c r="Q49" s="11">
        <v>2342634</v>
      </c>
      <c r="R49" s="11">
        <v>2343647.25</v>
      </c>
      <c r="S49" s="11">
        <v>2320342.4999999995</v>
      </c>
      <c r="T49" s="11">
        <v>2318316</v>
      </c>
      <c r="U49" s="11">
        <v>2325408.75</v>
      </c>
      <c r="V49" s="11">
        <v>2319329.25</v>
      </c>
      <c r="W49" s="11">
        <v>2304130.4999999995</v>
      </c>
      <c r="X49" s="11">
        <v>2290958.25</v>
      </c>
      <c r="Y49" s="11">
        <v>2285892</v>
      </c>
      <c r="Z49" s="11">
        <v>2298051</v>
      </c>
      <c r="AA49" s="11">
        <v>2300077.5</v>
      </c>
      <c r="AB49" s="11">
        <v>2310210</v>
      </c>
      <c r="AC49" s="11">
        <v>2313249.75</v>
      </c>
      <c r="AD49" s="11">
        <v>2313249.75</v>
      </c>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row>
    <row r="50" spans="1:56" s="10" customFormat="1" x14ac:dyDescent="0.3">
      <c r="A50" s="10" t="s">
        <v>155</v>
      </c>
      <c r="B50" s="11">
        <v>0</v>
      </c>
      <c r="C50" s="11">
        <v>0</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row>
    <row r="51" spans="1:56" s="10" customFormat="1" x14ac:dyDescent="0.3">
      <c r="A51" s="10" t="s">
        <v>154</v>
      </c>
      <c r="B51" s="11">
        <v>4215768.4773640735</v>
      </c>
      <c r="C51" s="11">
        <v>4215768.4773640735</v>
      </c>
      <c r="D51" s="11">
        <v>4215768.4773640735</v>
      </c>
      <c r="E51" s="11">
        <v>4215768.4773640735</v>
      </c>
      <c r="F51" s="11">
        <v>4215768.4773640735</v>
      </c>
      <c r="G51" s="11">
        <v>4215768.4773640735</v>
      </c>
      <c r="H51" s="11">
        <v>4215768.4773640735</v>
      </c>
      <c r="I51" s="11">
        <v>4215768.4773640735</v>
      </c>
      <c r="J51" s="11">
        <v>4215768.4773640735</v>
      </c>
      <c r="K51" s="11">
        <v>4215768.4773640735</v>
      </c>
      <c r="L51" s="11">
        <v>4215768.4773640735</v>
      </c>
      <c r="M51" s="11">
        <v>4215768.4773640735</v>
      </c>
      <c r="N51" s="11">
        <v>4215768.4773640735</v>
      </c>
      <c r="O51" s="11">
        <v>4215768.4773640735</v>
      </c>
      <c r="P51" s="11">
        <v>4215768.4773640735</v>
      </c>
      <c r="Q51" s="11">
        <v>4215768.4773640735</v>
      </c>
      <c r="R51" s="11">
        <v>4215768.4773640735</v>
      </c>
      <c r="S51" s="11">
        <v>4215768.4773640735</v>
      </c>
      <c r="T51" s="11">
        <v>4215768.4773640735</v>
      </c>
      <c r="U51" s="11">
        <v>4215768.4773640735</v>
      </c>
      <c r="V51" s="11">
        <v>4215768.4773640735</v>
      </c>
      <c r="W51" s="11">
        <v>4215768.4773640735</v>
      </c>
      <c r="X51" s="11">
        <v>4215768.4773640735</v>
      </c>
      <c r="Y51" s="11">
        <v>4215768.4773640735</v>
      </c>
      <c r="Z51" s="11">
        <v>4215768.4773640735</v>
      </c>
      <c r="AA51" s="11">
        <v>4215768.4773640735</v>
      </c>
      <c r="AB51" s="11">
        <v>4215768.4773640735</v>
      </c>
      <c r="AC51" s="11">
        <v>4215768.4773640735</v>
      </c>
      <c r="AD51" s="11">
        <v>4215768.4773640735</v>
      </c>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row>
    <row r="52" spans="1:56" s="10" customFormat="1" x14ac:dyDescent="0.3">
      <c r="A52" s="10" t="s">
        <v>153</v>
      </c>
      <c r="B52" s="11">
        <v>0</v>
      </c>
      <c r="C52" s="11">
        <v>0</v>
      </c>
      <c r="D52" s="11">
        <v>4189788.7499999995</v>
      </c>
      <c r="E52" s="11">
        <v>4195868.25</v>
      </c>
      <c r="F52" s="11">
        <v>4198908</v>
      </c>
      <c r="G52" s="11">
        <v>4206000.75</v>
      </c>
      <c r="H52" s="11">
        <v>4209040.5</v>
      </c>
      <c r="I52" s="11">
        <v>4208027.25</v>
      </c>
      <c r="J52" s="11">
        <v>4208027.25</v>
      </c>
      <c r="K52" s="11">
        <v>4228292.2499999991</v>
      </c>
      <c r="L52" s="11">
        <v>4228292.2499999991</v>
      </c>
      <c r="M52" s="11">
        <v>4193841.7499999995</v>
      </c>
      <c r="N52" s="11">
        <v>4216133.25</v>
      </c>
      <c r="O52" s="11">
        <v>4236398.25</v>
      </c>
      <c r="P52" s="11">
        <v>4207014</v>
      </c>
      <c r="Q52" s="11">
        <v>4229305.4999999991</v>
      </c>
      <c r="R52" s="11">
        <v>4233358.5</v>
      </c>
      <c r="S52" s="11">
        <v>4228292.2499999991</v>
      </c>
      <c r="T52" s="11">
        <v>4220186.25</v>
      </c>
      <c r="U52" s="11">
        <v>4223226</v>
      </c>
      <c r="V52" s="11">
        <v>4211067</v>
      </c>
      <c r="W52" s="11">
        <v>4253623.5</v>
      </c>
      <c r="X52" s="11">
        <v>4245517.5</v>
      </c>
      <c r="Y52" s="11">
        <v>4264769.25</v>
      </c>
      <c r="Z52" s="11">
        <v>4263756</v>
      </c>
      <c r="AA52" s="11">
        <v>4237411.5</v>
      </c>
      <c r="AB52" s="11">
        <v>4257676.5</v>
      </c>
      <c r="AC52" s="11">
        <v>4235385</v>
      </c>
      <c r="AD52" s="11">
        <v>4235385</v>
      </c>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row>
    <row r="53" spans="1:56" s="10" customFormat="1" x14ac:dyDescent="0.3">
      <c r="A53" s="10" t="s">
        <v>152</v>
      </c>
      <c r="B53" s="11">
        <v>0</v>
      </c>
      <c r="C53" s="11">
        <v>0</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0</v>
      </c>
      <c r="Z53" s="11">
        <v>0</v>
      </c>
      <c r="AA53" s="11">
        <v>0</v>
      </c>
      <c r="AB53" s="11">
        <v>0</v>
      </c>
      <c r="AC53" s="11">
        <v>0</v>
      </c>
      <c r="AD53" s="11">
        <v>0</v>
      </c>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row>
    <row r="54" spans="1:56" s="10" customFormat="1" x14ac:dyDescent="0.3">
      <c r="A54" s="10" t="s">
        <v>151</v>
      </c>
      <c r="B54" s="11">
        <v>0</v>
      </c>
      <c r="C54" s="11">
        <v>0</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11">
        <v>0</v>
      </c>
      <c r="Z54" s="11">
        <v>0</v>
      </c>
      <c r="AA54" s="11">
        <v>0</v>
      </c>
      <c r="AB54" s="11">
        <v>0</v>
      </c>
      <c r="AC54" s="11">
        <v>0</v>
      </c>
      <c r="AD54" s="11">
        <v>0</v>
      </c>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row>
    <row r="55" spans="1:56" s="10" customFormat="1" x14ac:dyDescent="0.3">
      <c r="A55" s="10" t="s">
        <v>150</v>
      </c>
      <c r="B55" s="11">
        <v>184929.11283498752</v>
      </c>
      <c r="C55" s="11">
        <v>189458.01088181627</v>
      </c>
      <c r="D55" s="11">
        <v>192477.63254391</v>
      </c>
      <c r="E55" s="11">
        <v>198127.79895305252</v>
      </c>
      <c r="F55" s="11">
        <v>198385.40207537625</v>
      </c>
      <c r="G55" s="11">
        <v>171821.28258994126</v>
      </c>
      <c r="H55" s="11">
        <v>181682.88593665877</v>
      </c>
      <c r="I55" s="11">
        <v>181387.87157250376</v>
      </c>
      <c r="J55" s="11">
        <v>175303.73475811875</v>
      </c>
      <c r="K55" s="11">
        <v>180492.13955380127</v>
      </c>
      <c r="L55" s="11">
        <v>183196.43789188875</v>
      </c>
      <c r="M55" s="11">
        <v>183467.93661832126</v>
      </c>
      <c r="N55" s="11">
        <v>193969.80664666501</v>
      </c>
      <c r="O55" s="11">
        <v>193465.28932825499</v>
      </c>
      <c r="P55" s="11">
        <v>288272.85837700876</v>
      </c>
      <c r="Q55" s="11">
        <v>187878.18758391376</v>
      </c>
      <c r="R55" s="11">
        <v>121161.11668731002</v>
      </c>
      <c r="S55" s="11">
        <v>163387.71978855375</v>
      </c>
      <c r="T55" s="11">
        <v>133124.16293232</v>
      </c>
      <c r="U55" s="11">
        <v>158102.04576411002</v>
      </c>
      <c r="V55" s="11">
        <v>174209.18871139878</v>
      </c>
      <c r="W55" s="11">
        <v>173779.49387665128</v>
      </c>
      <c r="X55" s="11">
        <v>174864.4198897575</v>
      </c>
      <c r="Y55" s="11">
        <v>183395.25191990627</v>
      </c>
      <c r="Z55" s="11">
        <v>180909.00767706378</v>
      </c>
      <c r="AA55" s="11">
        <v>180692.02247444249</v>
      </c>
      <c r="AB55" s="11">
        <v>185719.02448393876</v>
      </c>
      <c r="AC55" s="11">
        <v>188428.66728514503</v>
      </c>
      <c r="AD55" s="11">
        <v>188849.8109789025</v>
      </c>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row>
    <row r="56" spans="1:56" s="10" customFormat="1" x14ac:dyDescent="0.3">
      <c r="A56" s="10" t="s">
        <v>149</v>
      </c>
      <c r="B56" s="11">
        <v>0</v>
      </c>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row>
    <row r="57" spans="1:56" s="10" customFormat="1" x14ac:dyDescent="0.3">
      <c r="A57" s="10" t="s">
        <v>148</v>
      </c>
      <c r="B57" s="11">
        <v>0</v>
      </c>
      <c r="C57" s="11">
        <v>0</v>
      </c>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row>
    <row r="58" spans="1:56" s="10" customFormat="1" x14ac:dyDescent="0.3">
      <c r="A58" s="10" t="s">
        <v>147</v>
      </c>
      <c r="B58" s="11">
        <v>141855</v>
      </c>
      <c r="C58" s="11">
        <v>140841.75</v>
      </c>
      <c r="D58" s="11">
        <v>142868.25</v>
      </c>
      <c r="E58" s="11">
        <v>142868.25</v>
      </c>
      <c r="F58" s="11">
        <v>143881.5</v>
      </c>
      <c r="G58" s="11">
        <v>142868.25</v>
      </c>
      <c r="H58" s="11">
        <v>144894.75</v>
      </c>
      <c r="I58" s="11">
        <v>143881.5</v>
      </c>
      <c r="J58" s="11">
        <v>142868.25</v>
      </c>
      <c r="K58" s="11">
        <v>146921.25</v>
      </c>
      <c r="L58" s="11">
        <v>146921.25</v>
      </c>
      <c r="M58" s="11">
        <v>145908</v>
      </c>
      <c r="N58" s="11">
        <v>144894.75</v>
      </c>
      <c r="O58" s="11">
        <v>144894.75</v>
      </c>
      <c r="P58" s="11">
        <v>143881.5</v>
      </c>
      <c r="Q58" s="11">
        <v>143881.5</v>
      </c>
      <c r="R58" s="11">
        <v>142868.25</v>
      </c>
      <c r="S58" s="11">
        <v>142868.25</v>
      </c>
      <c r="T58" s="11">
        <v>142868.25</v>
      </c>
      <c r="U58" s="11">
        <v>143881.5</v>
      </c>
      <c r="V58" s="11">
        <v>143881.5</v>
      </c>
      <c r="W58" s="11">
        <v>142868.25</v>
      </c>
      <c r="X58" s="11">
        <v>142868.25</v>
      </c>
      <c r="Y58" s="11">
        <v>141855</v>
      </c>
      <c r="Z58" s="11">
        <v>139828.5</v>
      </c>
      <c r="AA58" s="11">
        <v>137802</v>
      </c>
      <c r="AB58" s="11">
        <v>139828.5</v>
      </c>
      <c r="AC58" s="11">
        <v>139828.5</v>
      </c>
      <c r="AD58" s="11">
        <v>139828.5</v>
      </c>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row>
    <row r="59" spans="1:56" s="10" customFormat="1" x14ac:dyDescent="0.3">
      <c r="A59" s="10" t="s">
        <v>146</v>
      </c>
      <c r="B59" s="11">
        <v>0</v>
      </c>
      <c r="C59" s="11">
        <v>0</v>
      </c>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row>
    <row r="60" spans="1:56" s="10" customFormat="1" x14ac:dyDescent="0.3">
      <c r="A60" s="10" t="s">
        <v>145</v>
      </c>
      <c r="B60" s="11">
        <v>14619072.257335879</v>
      </c>
      <c r="C60" s="11">
        <v>14619072.257335879</v>
      </c>
      <c r="D60" s="11">
        <v>14619072.257335879</v>
      </c>
      <c r="E60" s="11">
        <v>14619072.257335879</v>
      </c>
      <c r="F60" s="11">
        <v>14619072.257335879</v>
      </c>
      <c r="G60" s="11">
        <v>14619072.257335879</v>
      </c>
      <c r="H60" s="11">
        <v>14619072.257335879</v>
      </c>
      <c r="I60" s="11">
        <v>14619072.257335879</v>
      </c>
      <c r="J60" s="11">
        <v>14619072.257335879</v>
      </c>
      <c r="K60" s="11">
        <v>14619072.257335879</v>
      </c>
      <c r="L60" s="11">
        <v>14619072.257335879</v>
      </c>
      <c r="M60" s="11">
        <v>14619072.257335879</v>
      </c>
      <c r="N60" s="11">
        <v>14619072.257335879</v>
      </c>
      <c r="O60" s="11">
        <v>14619072.257335879</v>
      </c>
      <c r="P60" s="11">
        <v>14619072.257335879</v>
      </c>
      <c r="Q60" s="11">
        <v>14619072.257335879</v>
      </c>
      <c r="R60" s="11">
        <v>14619072.257335879</v>
      </c>
      <c r="S60" s="11">
        <v>14619072.257335879</v>
      </c>
      <c r="T60" s="11">
        <v>14619072.257335879</v>
      </c>
      <c r="U60" s="11">
        <v>14619072.257335879</v>
      </c>
      <c r="V60" s="11">
        <v>14619072.257335879</v>
      </c>
      <c r="W60" s="11">
        <v>14619072.257335879</v>
      </c>
      <c r="X60" s="11">
        <v>14619072.257335879</v>
      </c>
      <c r="Y60" s="11">
        <v>14619072.257335879</v>
      </c>
      <c r="Z60" s="11">
        <v>14619072.257335879</v>
      </c>
      <c r="AA60" s="11">
        <v>14619072.257335879</v>
      </c>
      <c r="AB60" s="11">
        <v>14619072.257335879</v>
      </c>
      <c r="AC60" s="11">
        <v>14619072.257335879</v>
      </c>
      <c r="AD60" s="11">
        <v>14619072.257335879</v>
      </c>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row>
    <row r="61" spans="1:56" s="10" customFormat="1" x14ac:dyDescent="0.3">
      <c r="A61" s="10" t="s">
        <v>144</v>
      </c>
      <c r="B61" s="11">
        <v>14898079.800000001</v>
      </c>
      <c r="C61" s="11">
        <v>14365485.91</v>
      </c>
      <c r="D61" s="11">
        <v>14363689.85</v>
      </c>
      <c r="E61" s="11">
        <v>13488627.26</v>
      </c>
      <c r="F61" s="11">
        <v>13488848.710000001</v>
      </c>
      <c r="G61" s="11">
        <v>14183131.300000001</v>
      </c>
      <c r="H61" s="11">
        <v>14185515.26</v>
      </c>
      <c r="I61" s="11">
        <v>14185758.869999999</v>
      </c>
      <c r="J61" s="11">
        <v>14184699.35</v>
      </c>
      <c r="K61" s="11">
        <v>14185220.630000001</v>
      </c>
      <c r="L61" s="11">
        <v>14183555.77</v>
      </c>
      <c r="M61" s="11">
        <v>14183491.83</v>
      </c>
      <c r="N61" s="11">
        <v>14258655.810000001</v>
      </c>
      <c r="O61" s="11">
        <v>14257880.550000001</v>
      </c>
      <c r="P61" s="11">
        <v>14259536.73</v>
      </c>
      <c r="Q61" s="11">
        <v>14258488.9</v>
      </c>
      <c r="R61" s="11">
        <v>14259185.279999999</v>
      </c>
      <c r="S61" s="11">
        <v>14258807.810000001</v>
      </c>
      <c r="T61" s="11">
        <v>14258034.800000001</v>
      </c>
      <c r="U61" s="11">
        <v>14180634.029999999</v>
      </c>
      <c r="V61" s="11">
        <v>14173065.720000001</v>
      </c>
      <c r="W61" s="11">
        <v>14177808</v>
      </c>
      <c r="X61" s="11">
        <v>14178849.07</v>
      </c>
      <c r="Y61" s="11">
        <v>14178233.039999999</v>
      </c>
      <c r="Z61" s="11">
        <v>14178901.199999999</v>
      </c>
      <c r="AA61" s="11">
        <v>13959431.52</v>
      </c>
      <c r="AB61" s="11">
        <v>14024230.949999999</v>
      </c>
      <c r="AC61" s="11">
        <v>14024701.4</v>
      </c>
      <c r="AD61" s="11">
        <v>14024449.01</v>
      </c>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row>
    <row r="62" spans="1:56" s="10" customFormat="1" x14ac:dyDescent="0.3">
      <c r="A62" s="10" t="s">
        <v>143</v>
      </c>
      <c r="B62" s="11">
        <v>65.900000000000006</v>
      </c>
      <c r="C62" s="11">
        <v>65.900000000000006</v>
      </c>
      <c r="D62" s="11">
        <v>65.599999999999994</v>
      </c>
      <c r="E62" s="11">
        <v>65.3</v>
      </c>
      <c r="F62" s="11">
        <v>65.2</v>
      </c>
      <c r="G62" s="11">
        <v>64.900000000000006</v>
      </c>
      <c r="H62" s="11">
        <v>65.400000000000006</v>
      </c>
      <c r="I62" s="11">
        <v>65</v>
      </c>
      <c r="J62" s="11">
        <v>65.3</v>
      </c>
      <c r="K62" s="11">
        <v>65.400000000000006</v>
      </c>
      <c r="L62" s="11">
        <v>65</v>
      </c>
      <c r="M62" s="11">
        <v>64.7</v>
      </c>
      <c r="N62" s="11">
        <v>64.5</v>
      </c>
      <c r="O62" s="11">
        <v>64.5</v>
      </c>
      <c r="P62" s="11">
        <v>64.8</v>
      </c>
      <c r="Q62" s="11">
        <v>65.599999999999994</v>
      </c>
      <c r="R62" s="11">
        <v>66.400000000000006</v>
      </c>
      <c r="S62" s="11">
        <v>66.5</v>
      </c>
      <c r="T62" s="11">
        <v>67.7</v>
      </c>
      <c r="U62" s="11">
        <v>67</v>
      </c>
      <c r="V62" s="11">
        <v>67.400000000000006</v>
      </c>
      <c r="W62" s="11">
        <v>67.099999999999994</v>
      </c>
      <c r="X62" s="11">
        <v>66.900000000000006</v>
      </c>
      <c r="Y62" s="11">
        <v>67.2</v>
      </c>
      <c r="Z62" s="11">
        <v>67.599999999999994</v>
      </c>
      <c r="AA62" s="11">
        <v>68.900000000000006</v>
      </c>
      <c r="AB62" s="11">
        <v>69.400000000000006</v>
      </c>
      <c r="AC62" s="11">
        <v>69.599999999999994</v>
      </c>
      <c r="AD62" s="11">
        <v>70.2</v>
      </c>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row>
    <row r="63" spans="1:56" s="10" customFormat="1" x14ac:dyDescent="0.3">
      <c r="A63" s="10" t="s">
        <v>142</v>
      </c>
      <c r="B63" s="11">
        <v>69762950.167145565</v>
      </c>
      <c r="C63" s="11">
        <v>69762950.167145565</v>
      </c>
      <c r="D63" s="11">
        <v>69762950.167145565</v>
      </c>
      <c r="E63" s="11">
        <v>69762950.167145565</v>
      </c>
      <c r="F63" s="11">
        <v>69762950.167145565</v>
      </c>
      <c r="G63" s="11">
        <v>69762950.167145565</v>
      </c>
      <c r="H63" s="11">
        <v>69762950.167145565</v>
      </c>
      <c r="I63" s="11">
        <v>69762950.167145565</v>
      </c>
      <c r="J63" s="11">
        <v>69762950.167145565</v>
      </c>
      <c r="K63" s="11">
        <v>69762950.167145565</v>
      </c>
      <c r="L63" s="11">
        <v>69762950.167145565</v>
      </c>
      <c r="M63" s="11">
        <v>69762950.167145565</v>
      </c>
      <c r="N63" s="11">
        <v>69762950.167145565</v>
      </c>
      <c r="O63" s="11">
        <v>69762950.167145565</v>
      </c>
      <c r="P63" s="11">
        <v>69762950.167145565</v>
      </c>
      <c r="Q63" s="11">
        <v>69762950.167145565</v>
      </c>
      <c r="R63" s="11">
        <v>69762950.167145565</v>
      </c>
      <c r="S63" s="11">
        <v>69762950.167145565</v>
      </c>
      <c r="T63" s="11">
        <v>69762950.167145565</v>
      </c>
      <c r="U63" s="11">
        <v>69762950.167145565</v>
      </c>
      <c r="V63" s="11">
        <v>69762950.167145565</v>
      </c>
      <c r="W63" s="11">
        <v>69762950.167145565</v>
      </c>
      <c r="X63" s="11">
        <v>69762950.167145565</v>
      </c>
      <c r="Y63" s="11">
        <v>69762950.167145565</v>
      </c>
      <c r="Z63" s="11">
        <v>69762950.167145565</v>
      </c>
      <c r="AA63" s="11">
        <v>69762950.167145565</v>
      </c>
      <c r="AB63" s="11">
        <v>69762950.167145565</v>
      </c>
      <c r="AC63" s="11">
        <v>69762950.167145565</v>
      </c>
      <c r="AD63" s="11">
        <v>69762950.167145565</v>
      </c>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row>
    <row r="64" spans="1:56" s="10" customFormat="1" x14ac:dyDescent="0.3">
      <c r="A64" s="10" t="s">
        <v>141</v>
      </c>
      <c r="B64" s="11">
        <v>70714688</v>
      </c>
      <c r="C64" s="11">
        <v>70799976</v>
      </c>
      <c r="D64" s="11">
        <v>68063520</v>
      </c>
      <c r="E64" s="11">
        <v>67981800</v>
      </c>
      <c r="F64" s="11">
        <v>61989328</v>
      </c>
      <c r="G64" s="11">
        <v>62489328</v>
      </c>
      <c r="H64" s="11">
        <v>71533632</v>
      </c>
      <c r="I64" s="11">
        <v>71533632</v>
      </c>
      <c r="J64" s="11">
        <v>71270784</v>
      </c>
      <c r="K64" s="11">
        <v>71533632</v>
      </c>
      <c r="L64" s="11">
        <v>71415552</v>
      </c>
      <c r="M64" s="11">
        <v>66711120</v>
      </c>
      <c r="N64" s="11">
        <v>66843552</v>
      </c>
      <c r="O64" s="11">
        <v>71415552</v>
      </c>
      <c r="P64" s="11">
        <v>71415552</v>
      </c>
      <c r="Q64" s="11">
        <v>71415552</v>
      </c>
      <c r="R64" s="11">
        <v>71415552</v>
      </c>
      <c r="S64" s="11">
        <v>71415552</v>
      </c>
      <c r="T64" s="11">
        <v>68491176</v>
      </c>
      <c r="U64" s="11">
        <v>68491176</v>
      </c>
      <c r="V64" s="11">
        <v>71415552</v>
      </c>
      <c r="W64" s="11">
        <v>71415552</v>
      </c>
      <c r="X64" s="11">
        <v>71415552</v>
      </c>
      <c r="Y64" s="11">
        <v>71415552</v>
      </c>
      <c r="Z64" s="11">
        <v>71415552</v>
      </c>
      <c r="AA64" s="11">
        <v>66711120</v>
      </c>
      <c r="AB64" s="11">
        <v>66843552</v>
      </c>
      <c r="AC64" s="11">
        <v>66725520</v>
      </c>
      <c r="AD64" s="11">
        <v>65711120</v>
      </c>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row>
    <row r="65" spans="1:56" s="10" customFormat="1" x14ac:dyDescent="0.3">
      <c r="A65" s="10" t="s">
        <v>140</v>
      </c>
      <c r="B65" s="11">
        <v>73729997</v>
      </c>
      <c r="C65" s="11">
        <v>72799138</v>
      </c>
      <c r="D65" s="11">
        <v>72764122</v>
      </c>
      <c r="E65" s="11">
        <v>69126270</v>
      </c>
      <c r="F65" s="11">
        <v>66448190</v>
      </c>
      <c r="G65" s="11">
        <v>68355548</v>
      </c>
      <c r="H65" s="11">
        <v>73049103</v>
      </c>
      <c r="I65" s="11">
        <v>73303087</v>
      </c>
      <c r="J65" s="11">
        <v>73612973</v>
      </c>
      <c r="K65" s="11">
        <v>74534892</v>
      </c>
      <c r="L65" s="11">
        <v>72924040</v>
      </c>
      <c r="M65" s="11">
        <v>70183719</v>
      </c>
      <c r="N65" s="11">
        <v>71663505</v>
      </c>
      <c r="O65" s="11">
        <v>73482984</v>
      </c>
      <c r="P65" s="11">
        <v>72582704</v>
      </c>
      <c r="Q65" s="11">
        <v>71875634</v>
      </c>
      <c r="R65" s="11">
        <v>74252955</v>
      </c>
      <c r="S65" s="11">
        <v>70399555</v>
      </c>
      <c r="T65" s="11">
        <v>72016445</v>
      </c>
      <c r="U65" s="11">
        <v>71647490</v>
      </c>
      <c r="V65" s="11">
        <v>74657996</v>
      </c>
      <c r="W65" s="11">
        <v>74051536</v>
      </c>
      <c r="X65" s="11">
        <v>72895199</v>
      </c>
      <c r="Y65" s="11">
        <v>72759555</v>
      </c>
      <c r="Z65" s="11">
        <v>71812287</v>
      </c>
      <c r="AA65" s="11">
        <v>69109094</v>
      </c>
      <c r="AB65" s="11">
        <v>69557228</v>
      </c>
      <c r="AC65" s="11">
        <v>69031433</v>
      </c>
      <c r="AD65" s="11">
        <v>70452274</v>
      </c>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row>
    <row r="66" spans="1:56" s="10" customFormat="1" x14ac:dyDescent="0.3">
      <c r="A66" s="10" t="s">
        <v>139</v>
      </c>
      <c r="B66" s="11">
        <v>25434051.139840767</v>
      </c>
      <c r="C66" s="11">
        <v>25434051.139840767</v>
      </c>
      <c r="D66" s="11">
        <v>25434051.139840767</v>
      </c>
      <c r="E66" s="11">
        <v>25434051.139840767</v>
      </c>
      <c r="F66" s="11">
        <v>25434051.139840767</v>
      </c>
      <c r="G66" s="11">
        <v>25434051.139840767</v>
      </c>
      <c r="H66" s="11">
        <v>25434051.139840767</v>
      </c>
      <c r="I66" s="11">
        <v>25434051.139840767</v>
      </c>
      <c r="J66" s="11">
        <v>25434051.139840767</v>
      </c>
      <c r="K66" s="11">
        <v>25434051.139840767</v>
      </c>
      <c r="L66" s="11">
        <v>25434051.139840767</v>
      </c>
      <c r="M66" s="11">
        <v>25434051.139840767</v>
      </c>
      <c r="N66" s="11">
        <v>25434051.139840767</v>
      </c>
      <c r="O66" s="11">
        <v>25434051.139840767</v>
      </c>
      <c r="P66" s="11">
        <v>25434051.139840767</v>
      </c>
      <c r="Q66" s="11">
        <v>25434051.139840767</v>
      </c>
      <c r="R66" s="11">
        <v>25434051.139840767</v>
      </c>
      <c r="S66" s="11">
        <v>25434051.139840767</v>
      </c>
      <c r="T66" s="11">
        <v>25434051.139840767</v>
      </c>
      <c r="U66" s="11">
        <v>25434051.139840767</v>
      </c>
      <c r="V66" s="11">
        <v>25434051.139840767</v>
      </c>
      <c r="W66" s="11">
        <v>25434051.139840767</v>
      </c>
      <c r="X66" s="11">
        <v>25434051.139840767</v>
      </c>
      <c r="Y66" s="11">
        <v>25434051.139840767</v>
      </c>
      <c r="Z66" s="11">
        <v>25434051.139840767</v>
      </c>
      <c r="AA66" s="11">
        <v>25434051.139840767</v>
      </c>
      <c r="AB66" s="11">
        <v>25434051.139840767</v>
      </c>
      <c r="AC66" s="11">
        <v>25434051.139840767</v>
      </c>
      <c r="AD66" s="11">
        <v>25434051.139840767</v>
      </c>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row>
    <row r="67" spans="1:56" s="10" customFormat="1" x14ac:dyDescent="0.3">
      <c r="A67" s="10" t="s">
        <v>138</v>
      </c>
      <c r="B67" s="11">
        <v>24275017</v>
      </c>
      <c r="C67" s="11">
        <v>24191012</v>
      </c>
      <c r="D67" s="11">
        <v>24263017</v>
      </c>
      <c r="E67" s="11">
        <v>24758733</v>
      </c>
      <c r="F67" s="11">
        <v>24125483</v>
      </c>
      <c r="G67" s="11">
        <v>24025147</v>
      </c>
      <c r="H67" s="11">
        <v>24727499</v>
      </c>
      <c r="I67" s="11">
        <v>24827835</v>
      </c>
      <c r="J67" s="11">
        <v>24827835</v>
      </c>
      <c r="K67" s="11">
        <v>24827835</v>
      </c>
      <c r="L67" s="11">
        <v>24827835</v>
      </c>
      <c r="M67" s="11">
        <v>24125483</v>
      </c>
      <c r="N67" s="11">
        <v>24025147</v>
      </c>
      <c r="O67" s="11">
        <v>24727499</v>
      </c>
      <c r="P67" s="11">
        <v>24827835</v>
      </c>
      <c r="Q67" s="11">
        <v>24827835</v>
      </c>
      <c r="R67" s="11">
        <v>24827835</v>
      </c>
      <c r="S67" s="11">
        <v>24827835</v>
      </c>
      <c r="T67" s="11">
        <v>24125483</v>
      </c>
      <c r="U67" s="11">
        <v>24025147</v>
      </c>
      <c r="V67" s="11">
        <v>24727499</v>
      </c>
      <c r="W67" s="11">
        <v>24827835</v>
      </c>
      <c r="X67" s="11">
        <v>23567756</v>
      </c>
      <c r="Y67" s="11">
        <v>23387744</v>
      </c>
      <c r="Z67" s="11">
        <v>23387744</v>
      </c>
      <c r="AA67" s="11">
        <v>22685392</v>
      </c>
      <c r="AB67" s="11">
        <v>22585056</v>
      </c>
      <c r="AC67" s="11">
        <v>23287408</v>
      </c>
      <c r="AD67" s="11">
        <v>23387744</v>
      </c>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row>
    <row r="68" spans="1:56" s="10" customFormat="1" x14ac:dyDescent="0.3">
      <c r="A68" s="10" t="s">
        <v>137</v>
      </c>
      <c r="B68" s="11">
        <v>32983949</v>
      </c>
      <c r="C68" s="11">
        <v>33237987</v>
      </c>
      <c r="D68" s="11">
        <v>33696013</v>
      </c>
      <c r="E68" s="11">
        <v>33222034</v>
      </c>
      <c r="F68" s="11">
        <v>33154209</v>
      </c>
      <c r="G68" s="11">
        <v>33080554</v>
      </c>
      <c r="H68" s="11">
        <v>32509832</v>
      </c>
      <c r="I68" s="11">
        <v>32981226</v>
      </c>
      <c r="J68" s="11">
        <v>33340950</v>
      </c>
      <c r="K68" s="11">
        <v>32997446</v>
      </c>
      <c r="L68" s="11">
        <v>32051406</v>
      </c>
      <c r="M68" s="11">
        <v>32541380</v>
      </c>
      <c r="N68" s="11">
        <v>32447537</v>
      </c>
      <c r="O68" s="11">
        <v>32930801</v>
      </c>
      <c r="P68" s="11">
        <v>33392282</v>
      </c>
      <c r="Q68" s="11">
        <v>33397563</v>
      </c>
      <c r="R68" s="11">
        <v>30441714</v>
      </c>
      <c r="S68" s="11">
        <v>28431949</v>
      </c>
      <c r="T68" s="11">
        <v>28806188</v>
      </c>
      <c r="U68" s="11">
        <v>28216227</v>
      </c>
      <c r="V68" s="11">
        <v>28521228</v>
      </c>
      <c r="W68" s="11">
        <v>28381519</v>
      </c>
      <c r="X68" s="11">
        <v>29221572</v>
      </c>
      <c r="Y68" s="11">
        <v>28955783</v>
      </c>
      <c r="Z68" s="11">
        <v>28801128</v>
      </c>
      <c r="AA68" s="11">
        <v>28451070</v>
      </c>
      <c r="AB68" s="11">
        <v>28572853</v>
      </c>
      <c r="AC68" s="11">
        <v>28867575</v>
      </c>
      <c r="AD68" s="11">
        <v>28285470</v>
      </c>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row>
    <row r="69" spans="1:56" s="10" customFormat="1" x14ac:dyDescent="0.3">
      <c r="A69" s="10" t="s">
        <v>136</v>
      </c>
      <c r="B69" s="11">
        <v>27324759.666774731</v>
      </c>
      <c r="C69" s="11">
        <v>27324759.666774731</v>
      </c>
      <c r="D69" s="11">
        <v>27324759.666774731</v>
      </c>
      <c r="E69" s="11">
        <v>27324759.666774731</v>
      </c>
      <c r="F69" s="11">
        <v>27324759.666774731</v>
      </c>
      <c r="G69" s="11">
        <v>27324759.666774731</v>
      </c>
      <c r="H69" s="11">
        <v>27324759.666774731</v>
      </c>
      <c r="I69" s="11">
        <v>27324759.666774731</v>
      </c>
      <c r="J69" s="11">
        <v>27324759.666774731</v>
      </c>
      <c r="K69" s="11">
        <v>27324759.666774731</v>
      </c>
      <c r="L69" s="11">
        <v>27324759.666774731</v>
      </c>
      <c r="M69" s="11">
        <v>27324759.666774731</v>
      </c>
      <c r="N69" s="11">
        <v>27324759.666774731</v>
      </c>
      <c r="O69" s="11">
        <v>27324759.666774731</v>
      </c>
      <c r="P69" s="11">
        <v>27324759.666774731</v>
      </c>
      <c r="Q69" s="11">
        <v>27324759.666774731</v>
      </c>
      <c r="R69" s="11">
        <v>27324759.666774731</v>
      </c>
      <c r="S69" s="11">
        <v>27324759.666774731</v>
      </c>
      <c r="T69" s="11">
        <v>27324759.666774731</v>
      </c>
      <c r="U69" s="11">
        <v>27324759.666774731</v>
      </c>
      <c r="V69" s="11">
        <v>27324759.666774731</v>
      </c>
      <c r="W69" s="11">
        <v>27324759.666774731</v>
      </c>
      <c r="X69" s="11">
        <v>27324759.666774731</v>
      </c>
      <c r="Y69" s="11">
        <v>27324759.666774731</v>
      </c>
      <c r="Z69" s="11">
        <v>27324759.666774731</v>
      </c>
      <c r="AA69" s="11">
        <v>27324759.666774731</v>
      </c>
      <c r="AB69" s="11">
        <v>27324759.666774731</v>
      </c>
      <c r="AC69" s="11">
        <v>27324759.666774731</v>
      </c>
      <c r="AD69" s="11">
        <v>27324759.666774731</v>
      </c>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row>
    <row r="70" spans="1:56" s="10" customFormat="1" x14ac:dyDescent="0.3">
      <c r="A70" s="10" t="s">
        <v>135</v>
      </c>
      <c r="B70" s="11">
        <v>0</v>
      </c>
      <c r="C70" s="11">
        <v>0</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11">
        <v>0</v>
      </c>
      <c r="Y70" s="11">
        <v>0</v>
      </c>
      <c r="Z70" s="11">
        <v>0</v>
      </c>
      <c r="AA70" s="11">
        <v>0</v>
      </c>
      <c r="AB70" s="11">
        <v>0</v>
      </c>
      <c r="AC70" s="11">
        <v>0</v>
      </c>
      <c r="AD70" s="11">
        <v>0</v>
      </c>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row>
    <row r="71" spans="1:56" s="10" customFormat="1" x14ac:dyDescent="0.3">
      <c r="A71" s="10" t="s">
        <v>134</v>
      </c>
      <c r="B71" s="11">
        <v>22266298</v>
      </c>
      <c r="C71" s="11">
        <v>22843978</v>
      </c>
      <c r="D71" s="11">
        <v>23465614</v>
      </c>
      <c r="E71" s="11">
        <v>22813318</v>
      </c>
      <c r="F71" s="11">
        <v>23095388</v>
      </c>
      <c r="G71" s="11">
        <v>22941124</v>
      </c>
      <c r="H71" s="11">
        <v>23002928</v>
      </c>
      <c r="I71" s="11">
        <v>23108162</v>
      </c>
      <c r="J71" s="11">
        <v>23374902</v>
      </c>
      <c r="K71" s="11">
        <v>22680940</v>
      </c>
      <c r="L71" s="11">
        <v>22555014</v>
      </c>
      <c r="M71" s="11">
        <v>22732900</v>
      </c>
      <c r="N71" s="11">
        <v>22469012</v>
      </c>
      <c r="O71" s="11">
        <v>23045360</v>
      </c>
      <c r="P71" s="11">
        <v>22884790</v>
      </c>
      <c r="Q71" s="11">
        <v>21963970</v>
      </c>
      <c r="R71" s="11">
        <v>23866492</v>
      </c>
      <c r="S71" s="11">
        <v>24290748</v>
      </c>
      <c r="T71" s="11">
        <v>24519792</v>
      </c>
      <c r="U71" s="11">
        <v>23653160</v>
      </c>
      <c r="V71" s="11">
        <v>24223962</v>
      </c>
      <c r="W71" s="11">
        <v>24570254</v>
      </c>
      <c r="X71" s="11">
        <v>24593876</v>
      </c>
      <c r="Y71" s="11">
        <v>25097754</v>
      </c>
      <c r="Z71" s="11">
        <v>24692984</v>
      </c>
      <c r="AA71" s="11">
        <v>23984504</v>
      </c>
      <c r="AB71" s="11">
        <v>24903786</v>
      </c>
      <c r="AC71" s="11">
        <v>24677264</v>
      </c>
      <c r="AD71" s="11">
        <v>25510990</v>
      </c>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row>
    <row r="72" spans="1:56" s="10" customFormat="1" x14ac:dyDescent="0.3">
      <c r="A72" s="10" t="s">
        <v>133</v>
      </c>
      <c r="B72" s="11">
        <v>250109000</v>
      </c>
      <c r="C72" s="11">
        <v>249876000</v>
      </c>
      <c r="D72" s="11">
        <v>250071000</v>
      </c>
      <c r="E72" s="11">
        <v>249255000</v>
      </c>
      <c r="F72" s="11">
        <v>249574000</v>
      </c>
      <c r="G72" s="11">
        <v>249862000</v>
      </c>
      <c r="H72" s="11">
        <v>249677000</v>
      </c>
      <c r="I72" s="11">
        <v>250884000</v>
      </c>
      <c r="J72" s="11">
        <v>247577000</v>
      </c>
      <c r="K72" s="11">
        <v>247607000</v>
      </c>
      <c r="L72" s="11">
        <v>248487000</v>
      </c>
      <c r="M72" s="11">
        <v>248399000</v>
      </c>
      <c r="N72" s="11">
        <v>255157000</v>
      </c>
      <c r="O72" s="11">
        <v>261049000</v>
      </c>
      <c r="P72" s="11">
        <v>259373000</v>
      </c>
      <c r="Q72" s="11">
        <v>257162000</v>
      </c>
      <c r="R72" s="11">
        <v>255259000</v>
      </c>
      <c r="S72" s="11">
        <v>254194000</v>
      </c>
      <c r="T72" s="11">
        <v>254562000</v>
      </c>
      <c r="U72" s="11">
        <v>255399000</v>
      </c>
      <c r="V72" s="11">
        <v>251929000</v>
      </c>
      <c r="W72" s="11">
        <v>249543000</v>
      </c>
      <c r="X72" s="11">
        <v>243134000</v>
      </c>
      <c r="Y72" s="11">
        <v>250563000</v>
      </c>
      <c r="Z72" s="11">
        <v>243595000</v>
      </c>
      <c r="AA72" s="11">
        <v>237254000</v>
      </c>
      <c r="AB72" s="11">
        <v>235838000</v>
      </c>
      <c r="AC72" s="11">
        <v>244725000</v>
      </c>
      <c r="AD72" s="11">
        <v>251487000</v>
      </c>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row>
    <row r="73" spans="1:56" s="10" customFormat="1" ht="15" x14ac:dyDescent="0.25"/>
    <row r="74" spans="1:56" s="10" customFormat="1" ht="15" x14ac:dyDescent="0.25"/>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1"/>
  <sheetViews>
    <sheetView workbookViewId="0">
      <selection activeCell="B2" sqref="B2:B31"/>
    </sheetView>
  </sheetViews>
  <sheetFormatPr baseColWidth="10" defaultRowHeight="16.5" x14ac:dyDescent="0.3"/>
  <sheetData>
    <row r="2" spans="2:2" x14ac:dyDescent="0.3">
      <c r="B2" t="s">
        <v>86</v>
      </c>
    </row>
    <row r="3" spans="2:2" x14ac:dyDescent="0.3">
      <c r="B3" t="s">
        <v>104</v>
      </c>
    </row>
    <row r="4" spans="2:2" x14ac:dyDescent="0.3">
      <c r="B4" t="s">
        <v>83</v>
      </c>
    </row>
    <row r="5" spans="2:2" x14ac:dyDescent="0.3">
      <c r="B5" t="s">
        <v>119</v>
      </c>
    </row>
    <row r="6" spans="2:2" x14ac:dyDescent="0.3">
      <c r="B6" t="s">
        <v>85</v>
      </c>
    </row>
    <row r="7" spans="2:2" x14ac:dyDescent="0.3">
      <c r="B7" t="s">
        <v>93</v>
      </c>
    </row>
    <row r="8" spans="2:2" x14ac:dyDescent="0.3">
      <c r="B8" t="s">
        <v>121</v>
      </c>
    </row>
    <row r="9" spans="2:2" x14ac:dyDescent="0.3">
      <c r="B9" t="s">
        <v>127</v>
      </c>
    </row>
    <row r="10" spans="2:2" x14ac:dyDescent="0.3">
      <c r="B10" t="s">
        <v>122</v>
      </c>
    </row>
    <row r="11" spans="2:2" x14ac:dyDescent="0.3">
      <c r="B11" t="s">
        <v>91</v>
      </c>
    </row>
    <row r="12" spans="2:2" x14ac:dyDescent="0.3">
      <c r="B12" t="s">
        <v>124</v>
      </c>
    </row>
    <row r="13" spans="2:2" x14ac:dyDescent="0.3">
      <c r="B13" t="s">
        <v>343</v>
      </c>
    </row>
    <row r="14" spans="2:2" x14ac:dyDescent="0.3">
      <c r="B14" t="s">
        <v>101</v>
      </c>
    </row>
    <row r="15" spans="2:2" x14ac:dyDescent="0.3">
      <c r="B15" t="s">
        <v>82</v>
      </c>
    </row>
    <row r="16" spans="2:2" x14ac:dyDescent="0.3">
      <c r="B16" t="s">
        <v>89</v>
      </c>
    </row>
    <row r="17" spans="2:2" x14ac:dyDescent="0.3">
      <c r="B17" t="s">
        <v>94</v>
      </c>
    </row>
    <row r="18" spans="2:2" x14ac:dyDescent="0.3">
      <c r="B18" t="s">
        <v>92</v>
      </c>
    </row>
    <row r="19" spans="2:2" x14ac:dyDescent="0.3">
      <c r="B19" t="s">
        <v>123</v>
      </c>
    </row>
    <row r="20" spans="2:2" x14ac:dyDescent="0.3">
      <c r="B20" t="s">
        <v>128</v>
      </c>
    </row>
    <row r="21" spans="2:2" x14ac:dyDescent="0.3">
      <c r="B21" t="s">
        <v>88</v>
      </c>
    </row>
    <row r="22" spans="2:2" x14ac:dyDescent="0.3">
      <c r="B22" t="s">
        <v>120</v>
      </c>
    </row>
    <row r="23" spans="2:2" x14ac:dyDescent="0.3">
      <c r="B23" t="s">
        <v>103</v>
      </c>
    </row>
    <row r="24" spans="2:2" x14ac:dyDescent="0.3">
      <c r="B24" t="s">
        <v>126</v>
      </c>
    </row>
    <row r="25" spans="2:2" x14ac:dyDescent="0.3">
      <c r="B25" t="s">
        <v>130</v>
      </c>
    </row>
    <row r="26" spans="2:2" x14ac:dyDescent="0.3">
      <c r="B26" t="s">
        <v>95</v>
      </c>
    </row>
    <row r="27" spans="2:2" x14ac:dyDescent="0.3">
      <c r="B27" t="s">
        <v>13</v>
      </c>
    </row>
    <row r="28" spans="2:2" x14ac:dyDescent="0.3">
      <c r="B28" t="s">
        <v>129</v>
      </c>
    </row>
    <row r="29" spans="2:2" x14ac:dyDescent="0.3">
      <c r="B29" t="s">
        <v>90</v>
      </c>
    </row>
    <row r="30" spans="2:2" x14ac:dyDescent="0.3">
      <c r="B30" t="s">
        <v>84</v>
      </c>
    </row>
    <row r="31" spans="2:2" x14ac:dyDescent="0.3">
      <c r="B31"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27</vt:i4>
      </vt:variant>
    </vt:vector>
  </HeadingPairs>
  <TitlesOfParts>
    <vt:vector size="27" baseType="lpstr">
      <vt:lpstr>Zone</vt:lpstr>
      <vt:lpstr>Region</vt:lpstr>
      <vt:lpstr>Location</vt:lpstr>
      <vt:lpstr>Feuil5</vt:lpstr>
      <vt:lpstr>Product</vt:lpstr>
      <vt:lpstr>Metal</vt:lpstr>
      <vt:lpstr>Operational Status</vt:lpstr>
      <vt:lpstr>FacilityType</vt:lpstr>
      <vt:lpstr>EquipmentType</vt:lpstr>
      <vt:lpstr>Status</vt:lpstr>
      <vt:lpstr>Infrastructure</vt:lpstr>
      <vt:lpstr>Facility</vt:lpstr>
      <vt:lpstr>Stations</vt:lpstr>
      <vt:lpstr>Feuil7</vt:lpstr>
      <vt:lpstr>Feuil8</vt:lpstr>
      <vt:lpstr>Equipment</vt:lpstr>
      <vt:lpstr>System</vt:lpstr>
      <vt:lpstr>Pipeline</vt:lpstr>
      <vt:lpstr>Segment</vt:lpstr>
      <vt:lpstr>Station</vt:lpstr>
      <vt:lpstr>PS</vt:lpstr>
      <vt:lpstr>Injection</vt:lpstr>
      <vt:lpstr>Facility (2)</vt:lpstr>
      <vt:lpstr>Feuil3</vt:lpstr>
      <vt:lpstr>Feuil2</vt:lpstr>
      <vt:lpstr>Feuil1</vt:lpstr>
      <vt:lpstr>Feuil4</vt:lpstr>
    </vt:vector>
  </TitlesOfParts>
  <Company>SDR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BSR</dc:creator>
  <cp:lastModifiedBy>BSR</cp:lastModifiedBy>
  <dcterms:created xsi:type="dcterms:W3CDTF">2025-06-01T13:20:57Z</dcterms:created>
  <dcterms:modified xsi:type="dcterms:W3CDTF">2025-12-21T22:15:14Z</dcterms:modified>
</cp:coreProperties>
</file>